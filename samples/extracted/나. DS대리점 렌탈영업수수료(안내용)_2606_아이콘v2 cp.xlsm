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pivotTables/pivotTable1.xml" ContentType="application/vnd.openxmlformats-officedocument.spreadsheetml.pivotTable+xml"/>
  <Override PartName="/xl/customProperty6.bin" ContentType="application/vnd.openxmlformats-officedocument.spreadsheetml.customProperty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조아름\2026년\05. 렌탈영업수수료\★현장교육용\"/>
    </mc:Choice>
  </mc:AlternateContent>
  <xr:revisionPtr revIDLastSave="0" documentId="13_ncr:1_{DDCC9DB1-2243-400C-B56A-4D29B2FF1202}" xr6:coauthVersionLast="47" xr6:coauthVersionMax="47" xr10:uidLastSave="{00000000-0000-0000-0000-000000000000}"/>
  <bookViews>
    <workbookView xWindow="-110" yWindow="-110" windowWidth="29020" windowHeight="17500" xr2:uid="{00000000-000D-0000-FFFF-FFFF00000000}"/>
  </bookViews>
  <sheets>
    <sheet name="안내사항" sheetId="13" r:id="rId1"/>
    <sheet name="대리점신규렌탈영업수수료" sheetId="3" r:id="rId2"/>
    <sheet name="유상별매수수료" sheetId="17" r:id="rId3"/>
    <sheet name="주요제품_출력용(업데이트)" sheetId="16" r:id="rId4"/>
    <sheet name="드롭다운" sheetId="12" state="hidden" r:id="rId5"/>
    <sheet name="Sheet3" sheetId="11" state="hidden" r:id="rId6"/>
  </sheets>
  <definedNames>
    <definedName name="_xlnm._FilterDatabase" localSheetId="1" hidden="1">대리점신규렌탈영업수수료!$B$11:$J$2178</definedName>
    <definedName name="_xlnm.Criteria" localSheetId="1">대리점신규렌탈영업수수료!#REF!</definedName>
    <definedName name="_xlnm.Print_Area" localSheetId="3">'주요제품_출력용(업데이트)'!$B$1:$O$605</definedName>
    <definedName name="_xlnm.Print_Titles" localSheetId="1">대리점신규렌탈영업수수료!$11:$11</definedName>
    <definedName name="마케팅네임">드롭다운!$C$2:$C$103</definedName>
    <definedName name="소유권">드롭다운!$F$2:$F$6</definedName>
    <definedName name="점검주기">드롭다운!$G$2:$G$13</definedName>
    <definedName name="제품군">드롭다운!$B$2:$B$11</definedName>
    <definedName name="제품명">드롭다운!$E$2:$E$482</definedName>
    <definedName name="제품코드">드롭다운!$D$2:$D$482</definedName>
  </definedNames>
  <calcPr calcId="191029" concurrentManualCount="12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185" i="3" l="1"/>
  <c r="A184" i="3"/>
  <c r="A186" i="3"/>
  <c r="A187" i="3"/>
  <c r="A189" i="3"/>
  <c r="A188" i="3"/>
  <c r="A190" i="3"/>
  <c r="A191" i="3"/>
  <c r="A426" i="3"/>
  <c r="A425" i="3"/>
  <c r="A427" i="3"/>
  <c r="A428" i="3"/>
  <c r="A430" i="3"/>
  <c r="A429" i="3"/>
  <c r="A431" i="3"/>
  <c r="A432" i="3"/>
  <c r="A357" i="3"/>
  <c r="A2119" i="3"/>
  <c r="A2120" i="3"/>
  <c r="A2121" i="3"/>
  <c r="A2122" i="3"/>
  <c r="A2123" i="3"/>
  <c r="A2124" i="3"/>
  <c r="A2108" i="3"/>
  <c r="A2107" i="3"/>
  <c r="A2109" i="3"/>
  <c r="A2111" i="3"/>
  <c r="A2110" i="3"/>
  <c r="A2112" i="3"/>
  <c r="A2102" i="3"/>
  <c r="A2101" i="3"/>
  <c r="A2103" i="3"/>
  <c r="A2105" i="3"/>
  <c r="A2104" i="3"/>
  <c r="A2106" i="3"/>
  <c r="A1143" i="3" l="1"/>
  <c r="A1144" i="3"/>
  <c r="A1141" i="3"/>
  <c r="A1142" i="3"/>
  <c r="A1167" i="3"/>
  <c r="A1168" i="3"/>
  <c r="A1165" i="3"/>
  <c r="A1166" i="3"/>
  <c r="A1139" i="3"/>
  <c r="A1140" i="3"/>
  <c r="A1137" i="3"/>
  <c r="A1138" i="3"/>
  <c r="A1163" i="3"/>
  <c r="A1164" i="3"/>
  <c r="A1161" i="3"/>
  <c r="A1162" i="3"/>
  <c r="A1131" i="3"/>
  <c r="A1132" i="3"/>
  <c r="A1129" i="3"/>
  <c r="A1130" i="3"/>
  <c r="A1155" i="3"/>
  <c r="A1156" i="3"/>
  <c r="A1153" i="3"/>
  <c r="A1154" i="3"/>
  <c r="A1135" i="3"/>
  <c r="A1136" i="3"/>
  <c r="A1133" i="3"/>
  <c r="A1134" i="3"/>
  <c r="A1159" i="3"/>
  <c r="A1160" i="3"/>
  <c r="A1157" i="3"/>
  <c r="A1158" i="3"/>
  <c r="A1123" i="3"/>
  <c r="A1124" i="3"/>
  <c r="A1121" i="3"/>
  <c r="A1122" i="3"/>
  <c r="A1127" i="3"/>
  <c r="A1128" i="3"/>
  <c r="A1125" i="3"/>
  <c r="A1126" i="3"/>
  <c r="A1147" i="3"/>
  <c r="A1148" i="3"/>
  <c r="A1145" i="3"/>
  <c r="A1146" i="3"/>
  <c r="A1151" i="3"/>
  <c r="A1152" i="3"/>
  <c r="A1149" i="3"/>
  <c r="A1150" i="3"/>
  <c r="A1905" i="3"/>
  <c r="A1906" i="3"/>
  <c r="A1915" i="3"/>
  <c r="A1916" i="3"/>
  <c r="A1903" i="3"/>
  <c r="A1904" i="3"/>
  <c r="A1913" i="3"/>
  <c r="A1914" i="3"/>
  <c r="A1899" i="3"/>
  <c r="A1900" i="3"/>
  <c r="A1909" i="3"/>
  <c r="A1910" i="3"/>
  <c r="A1901" i="3"/>
  <c r="A1902" i="3"/>
  <c r="A1911" i="3"/>
  <c r="A1912" i="3"/>
  <c r="A1897" i="3"/>
  <c r="A1898" i="3"/>
  <c r="A1907" i="3"/>
  <c r="A1908" i="3"/>
  <c r="A177" i="3"/>
  <c r="A176" i="3"/>
  <c r="A178" i="3"/>
  <c r="A179" i="3"/>
  <c r="A181" i="3"/>
  <c r="A180" i="3"/>
  <c r="A182" i="3"/>
  <c r="A183" i="3"/>
  <c r="A1107" i="3"/>
  <c r="A1108" i="3"/>
  <c r="A1105" i="3"/>
  <c r="A1106" i="3"/>
  <c r="A1111" i="3"/>
  <c r="A1112" i="3"/>
  <c r="A1109" i="3"/>
  <c r="A1110" i="3"/>
  <c r="A1889" i="3"/>
  <c r="A1890" i="3"/>
  <c r="A1891" i="3"/>
  <c r="A1892" i="3"/>
  <c r="A1893" i="3"/>
  <c r="A1894" i="3"/>
  <c r="A1883" i="3"/>
  <c r="A1884" i="3"/>
  <c r="A1885" i="3"/>
  <c r="A1886" i="3"/>
  <c r="A1887" i="3"/>
  <c r="A1888" i="3"/>
  <c r="A1099" i="3"/>
  <c r="A1100" i="3"/>
  <c r="A1097" i="3"/>
  <c r="A1098" i="3"/>
  <c r="A1103" i="3"/>
  <c r="A1104" i="3"/>
  <c r="A1101" i="3"/>
  <c r="A1102" i="3"/>
  <c r="A1877" i="3"/>
  <c r="A1878" i="3"/>
  <c r="A1879" i="3"/>
  <c r="A1880" i="3"/>
  <c r="A1881" i="3"/>
  <c r="A1882" i="3"/>
  <c r="A1895" i="3"/>
  <c r="A1896" i="3"/>
  <c r="A1871" i="3"/>
  <c r="A1872" i="3"/>
  <c r="A1873" i="3"/>
  <c r="A1874" i="3"/>
  <c r="A1875" i="3"/>
  <c r="A1876" i="3"/>
  <c r="A1115" i="3"/>
  <c r="A1116" i="3"/>
  <c r="A1113" i="3"/>
  <c r="A1114" i="3"/>
  <c r="A1119" i="3"/>
  <c r="A1120" i="3"/>
  <c r="A1117" i="3"/>
  <c r="A1118" i="3"/>
  <c r="A809" i="3"/>
  <c r="A2173" i="3"/>
  <c r="A2174" i="3"/>
  <c r="A2175" i="3"/>
  <c r="A2170" i="3"/>
  <c r="A2171" i="3"/>
  <c r="A2172" i="3"/>
  <c r="A674" i="3"/>
  <c r="A678" i="3"/>
  <c r="A682" i="3"/>
  <c r="A692" i="3"/>
  <c r="A696" i="3"/>
  <c r="A700" i="3"/>
  <c r="A612" i="3"/>
  <c r="A616" i="3"/>
  <c r="A620" i="3"/>
  <c r="A630" i="3"/>
  <c r="A634" i="3"/>
  <c r="A638" i="3"/>
  <c r="A582" i="3"/>
  <c r="A583" i="3"/>
  <c r="A584" i="3"/>
  <c r="A579" i="3"/>
  <c r="A580" i="3"/>
  <c r="A581" i="3"/>
  <c r="A576" i="3"/>
  <c r="A577" i="3"/>
  <c r="A578" i="3"/>
  <c r="A573" i="3"/>
  <c r="A574" i="3"/>
  <c r="A575" i="3"/>
  <c r="A28" i="3"/>
  <c r="A592" i="3"/>
  <c r="A591" i="3"/>
  <c r="A593" i="3"/>
  <c r="A594" i="3"/>
  <c r="A596" i="3"/>
  <c r="A595" i="3"/>
  <c r="A597" i="3"/>
  <c r="A598" i="3"/>
  <c r="A600" i="3"/>
  <c r="A599" i="3"/>
  <c r="A601" i="3"/>
  <c r="A602" i="3"/>
  <c r="A2069" i="3"/>
  <c r="A2070" i="3"/>
  <c r="A2073" i="3"/>
  <c r="A2074" i="3"/>
  <c r="A2071" i="3"/>
  <c r="A2072" i="3"/>
  <c r="A2075" i="3"/>
  <c r="A2076" i="3"/>
  <c r="A2077" i="3"/>
  <c r="A2078" i="3"/>
  <c r="A2081" i="3"/>
  <c r="A2082" i="3"/>
  <c r="A2079" i="3"/>
  <c r="A2080" i="3"/>
  <c r="A2083" i="3"/>
  <c r="A2084" i="3"/>
  <c r="A2085" i="3"/>
  <c r="A2086" i="3"/>
  <c r="A2089" i="3"/>
  <c r="A2090" i="3"/>
  <c r="A2087" i="3"/>
  <c r="A2088" i="3"/>
  <c r="A2091" i="3"/>
  <c r="A2092" i="3"/>
  <c r="A2093" i="3"/>
  <c r="A2094" i="3"/>
  <c r="A2097" i="3"/>
  <c r="A2098" i="3"/>
  <c r="A2095" i="3"/>
  <c r="A2096" i="3"/>
  <c r="A2099" i="3"/>
  <c r="A2100" i="3"/>
  <c r="A2176" i="3" l="1"/>
  <c r="A2177" i="3"/>
  <c r="A1850" i="3" l="1"/>
  <c r="A1851" i="3"/>
  <c r="A1852" i="3"/>
  <c r="A1847" i="3"/>
  <c r="A1848" i="3"/>
  <c r="A1849" i="3"/>
  <c r="A1853" i="3"/>
  <c r="A1854" i="3"/>
  <c r="A1855" i="3"/>
  <c r="A1856" i="3"/>
  <c r="A1857" i="3"/>
  <c r="A1858" i="3"/>
  <c r="A1938" i="3"/>
  <c r="A1939" i="3"/>
  <c r="A1940" i="3"/>
  <c r="A1935" i="3"/>
  <c r="A1936" i="3"/>
  <c r="A1937" i="3"/>
  <c r="A1941" i="3"/>
  <c r="A1942" i="3"/>
  <c r="A1943" i="3"/>
  <c r="A1944" i="3"/>
  <c r="A1945" i="3"/>
  <c r="A1946" i="3"/>
  <c r="A2167" i="3"/>
  <c r="A2168" i="3"/>
  <c r="A2169" i="3"/>
  <c r="A358" i="3" l="1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737" i="3"/>
  <c r="A738" i="3"/>
  <c r="A739" i="3"/>
  <c r="G177" i="16"/>
  <c r="G176" i="16"/>
  <c r="G175" i="16"/>
  <c r="G174" i="16"/>
  <c r="G173" i="16"/>
  <c r="G172" i="16"/>
  <c r="A29" i="3" l="1"/>
  <c r="A30" i="3"/>
  <c r="A31" i="3"/>
  <c r="A32" i="3"/>
  <c r="A33" i="3"/>
  <c r="G306" i="16"/>
  <c r="G305" i="16"/>
  <c r="G304" i="16"/>
  <c r="G303" i="16"/>
  <c r="G302" i="16"/>
  <c r="G301" i="16"/>
  <c r="G300" i="16"/>
  <c r="G299" i="16"/>
  <c r="G298" i="16"/>
  <c r="G137" i="16"/>
  <c r="G136" i="16"/>
  <c r="G135" i="16"/>
  <c r="G132" i="16"/>
  <c r="G131" i="16"/>
  <c r="G130" i="16"/>
  <c r="G129" i="16"/>
  <c r="G128" i="16"/>
  <c r="G127" i="16"/>
  <c r="N154" i="16"/>
  <c r="N153" i="16"/>
  <c r="N152" i="16"/>
  <c r="N151" i="16"/>
  <c r="N150" i="16"/>
  <c r="N149" i="16"/>
  <c r="N159" i="16"/>
  <c r="N158" i="16"/>
  <c r="N157" i="16"/>
  <c r="N138" i="16"/>
  <c r="N137" i="16"/>
  <c r="N136" i="16"/>
  <c r="N135" i="16"/>
  <c r="N134" i="16"/>
  <c r="N133" i="16"/>
  <c r="N132" i="16"/>
  <c r="N131" i="16"/>
  <c r="N130" i="16"/>
  <c r="N129" i="16"/>
  <c r="N128" i="16"/>
  <c r="N127" i="16"/>
  <c r="G169" i="16"/>
  <c r="G168" i="16"/>
  <c r="G167" i="16"/>
  <c r="G166" i="16"/>
  <c r="G165" i="16"/>
  <c r="G164" i="16"/>
  <c r="G163" i="16"/>
  <c r="G162" i="16"/>
  <c r="G161" i="16"/>
  <c r="G160" i="16"/>
  <c r="G159" i="16"/>
  <c r="G158" i="16"/>
  <c r="N59" i="16"/>
  <c r="N58" i="16"/>
  <c r="N57" i="16"/>
  <c r="N56" i="16"/>
  <c r="N55" i="16"/>
  <c r="N54" i="16"/>
  <c r="N53" i="16"/>
  <c r="N52" i="16"/>
  <c r="N37" i="16"/>
  <c r="N36" i="16"/>
  <c r="N35" i="16"/>
  <c r="N34" i="16"/>
  <c r="N33" i="16"/>
  <c r="N32" i="16"/>
  <c r="N31" i="16"/>
  <c r="N30" i="16"/>
  <c r="N29" i="16"/>
  <c r="N28" i="16"/>
  <c r="N27" i="16"/>
  <c r="N26" i="16"/>
  <c r="N25" i="16"/>
  <c r="N24" i="16"/>
  <c r="N23" i="16"/>
  <c r="N22" i="16"/>
  <c r="N87" i="16"/>
  <c r="N86" i="16"/>
  <c r="N85" i="16"/>
  <c r="N84" i="16"/>
  <c r="N83" i="16"/>
  <c r="N82" i="16"/>
  <c r="N81" i="16"/>
  <c r="N80" i="16"/>
  <c r="N79" i="16"/>
  <c r="N78" i="16"/>
  <c r="N77" i="16"/>
  <c r="N76" i="16"/>
  <c r="N75" i="16"/>
  <c r="N74" i="16"/>
  <c r="N73" i="16"/>
  <c r="N72" i="16"/>
  <c r="G100" i="16"/>
  <c r="G99" i="16"/>
  <c r="G98" i="16"/>
  <c r="G97" i="16"/>
  <c r="G96" i="16"/>
  <c r="G95" i="16"/>
  <c r="G94" i="16"/>
  <c r="G93" i="16"/>
  <c r="G92" i="16"/>
  <c r="G91" i="16"/>
  <c r="G90" i="16"/>
  <c r="G89" i="16"/>
  <c r="G88" i="16"/>
  <c r="G87" i="16"/>
  <c r="G86" i="16"/>
  <c r="G85" i="16"/>
  <c r="G82" i="16"/>
  <c r="G81" i="16"/>
  <c r="G80" i="16"/>
  <c r="G79" i="16"/>
  <c r="G78" i="16"/>
  <c r="G77" i="16"/>
  <c r="G76" i="16"/>
  <c r="G75" i="16"/>
  <c r="G72" i="16"/>
  <c r="G71" i="16"/>
  <c r="G70" i="16"/>
  <c r="G67" i="16"/>
  <c r="G66" i="16"/>
  <c r="G65" i="16"/>
  <c r="G64" i="16"/>
  <c r="G63" i="16"/>
  <c r="G62" i="16"/>
  <c r="G61" i="16"/>
  <c r="G60" i="16"/>
  <c r="G59" i="16"/>
  <c r="G58" i="16"/>
  <c r="G57" i="16"/>
  <c r="G56" i="16"/>
  <c r="G55" i="16"/>
  <c r="G54" i="16"/>
  <c r="G53" i="16"/>
  <c r="G52" i="16"/>
  <c r="G49" i="16"/>
  <c r="G48" i="16"/>
  <c r="G47" i="16"/>
  <c r="G46" i="16"/>
  <c r="G45" i="16"/>
  <c r="G44" i="16"/>
  <c r="G43" i="16"/>
  <c r="G42" i="16"/>
  <c r="G39" i="16"/>
  <c r="G38" i="16"/>
  <c r="G37" i="16"/>
  <c r="G36" i="16"/>
  <c r="G35" i="16"/>
  <c r="G34" i="16"/>
  <c r="G33" i="16"/>
  <c r="G32" i="16"/>
  <c r="G29" i="16"/>
  <c r="G28" i="16"/>
  <c r="G27" i="16"/>
  <c r="G26" i="16"/>
  <c r="G25" i="16"/>
  <c r="G24" i="16"/>
  <c r="G23" i="16"/>
  <c r="G22" i="16"/>
  <c r="G19" i="16"/>
  <c r="G18" i="16"/>
  <c r="G17" i="16"/>
  <c r="G16" i="16"/>
  <c r="G15" i="16"/>
  <c r="G14" i="16"/>
  <c r="G13" i="16"/>
  <c r="G12" i="16"/>
  <c r="G11" i="16"/>
  <c r="G10" i="16"/>
  <c r="G9" i="16"/>
  <c r="G8" i="16"/>
  <c r="G7" i="16"/>
  <c r="G6" i="16"/>
  <c r="G5" i="16"/>
  <c r="G4" i="16"/>
  <c r="A742" i="3"/>
  <c r="A741" i="3"/>
  <c r="A740" i="3"/>
  <c r="N303" i="16"/>
  <c r="N302" i="16"/>
  <c r="N301" i="16"/>
  <c r="A603" i="3" l="1"/>
  <c r="A604" i="3"/>
  <c r="A605" i="3"/>
  <c r="A606" i="3"/>
  <c r="A607" i="3"/>
  <c r="A608" i="3"/>
  <c r="A609" i="3"/>
  <c r="A610" i="3"/>
  <c r="A611" i="3"/>
  <c r="A613" i="3"/>
  <c r="A614" i="3"/>
  <c r="A615" i="3"/>
  <c r="A617" i="3"/>
  <c r="A618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2178" i="3"/>
  <c r="A723" i="3"/>
  <c r="A724" i="3"/>
  <c r="A725" i="3"/>
  <c r="A726" i="3"/>
  <c r="A727" i="3"/>
  <c r="A728" i="3"/>
  <c r="A729" i="3"/>
  <c r="A730" i="3"/>
  <c r="A731" i="3"/>
  <c r="A732" i="3"/>
  <c r="A733" i="3"/>
  <c r="A735" i="3"/>
  <c r="A736" i="3"/>
  <c r="A157" i="3" l="1"/>
  <c r="A156" i="3"/>
  <c r="A158" i="3"/>
  <c r="A160" i="3"/>
  <c r="A159" i="3"/>
  <c r="A161" i="3"/>
  <c r="A324" i="3"/>
  <c r="A323" i="3"/>
  <c r="A319" i="3"/>
  <c r="A318" i="3"/>
  <c r="A743" i="3"/>
  <c r="A744" i="3"/>
  <c r="A745" i="3"/>
  <c r="A746" i="3"/>
  <c r="A747" i="3"/>
  <c r="A748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94" i="3"/>
  <c r="A795" i="3"/>
  <c r="A796" i="3"/>
  <c r="A797" i="3"/>
  <c r="A798" i="3"/>
  <c r="A799" i="3"/>
  <c r="A313" i="3" l="1"/>
  <c r="A312" i="3"/>
  <c r="A314" i="3"/>
  <c r="A556" i="3"/>
  <c r="A555" i="3"/>
  <c r="A557" i="3"/>
  <c r="A558" i="3"/>
  <c r="A560" i="3"/>
  <c r="A559" i="3"/>
  <c r="A561" i="3"/>
  <c r="A562" i="3"/>
  <c r="A564" i="3"/>
  <c r="A563" i="3"/>
  <c r="A565" i="3"/>
  <c r="A566" i="3"/>
  <c r="A619" i="3"/>
  <c r="A621" i="3"/>
  <c r="A622" i="3"/>
  <c r="A623" i="3"/>
  <c r="A624" i="3"/>
  <c r="A625" i="3"/>
  <c r="A626" i="3"/>
  <c r="A1772" i="3"/>
  <c r="A1773" i="3"/>
  <c r="A1774" i="3"/>
  <c r="A1775" i="3"/>
  <c r="A1776" i="3"/>
  <c r="A1777" i="3"/>
  <c r="A1778" i="3"/>
  <c r="A1779" i="3"/>
  <c r="A1780" i="3"/>
  <c r="A1781" i="3"/>
  <c r="A1782" i="3"/>
  <c r="A1783" i="3"/>
  <c r="A1760" i="3"/>
  <c r="A1761" i="3"/>
  <c r="A1762" i="3"/>
  <c r="A1763" i="3"/>
  <c r="A1764" i="3"/>
  <c r="A1765" i="3"/>
  <c r="A1766" i="3"/>
  <c r="A1767" i="3"/>
  <c r="A1768" i="3"/>
  <c r="A1769" i="3"/>
  <c r="A1770" i="3"/>
  <c r="A1771" i="3"/>
  <c r="A856" i="3"/>
  <c r="A855" i="3"/>
  <c r="A854" i="3"/>
  <c r="A853" i="3"/>
  <c r="A852" i="3"/>
  <c r="A851" i="3"/>
  <c r="A850" i="3"/>
  <c r="A849" i="3"/>
  <c r="A848" i="3"/>
  <c r="A847" i="3"/>
  <c r="A846" i="3"/>
  <c r="A845" i="3"/>
  <c r="A844" i="3"/>
  <c r="A843" i="3"/>
  <c r="A842" i="3"/>
  <c r="A841" i="3"/>
  <c r="A840" i="3"/>
  <c r="A839" i="3"/>
  <c r="A838" i="3"/>
  <c r="A837" i="3"/>
  <c r="A836" i="3"/>
  <c r="A835" i="3"/>
  <c r="A834" i="3"/>
  <c r="A833" i="3"/>
  <c r="A832" i="3"/>
  <c r="A831" i="3"/>
  <c r="A830" i="3"/>
  <c r="A829" i="3"/>
  <c r="A828" i="3"/>
  <c r="A827" i="3"/>
  <c r="A826" i="3"/>
  <c r="A825" i="3"/>
  <c r="A824" i="3"/>
  <c r="A823" i="3"/>
  <c r="A822" i="3"/>
  <c r="A821" i="3"/>
  <c r="A820" i="3"/>
  <c r="A819" i="3"/>
  <c r="A818" i="3"/>
  <c r="A817" i="3"/>
  <c r="A816" i="3"/>
  <c r="A815" i="3"/>
  <c r="A814" i="3"/>
  <c r="A813" i="3"/>
  <c r="A812" i="3"/>
  <c r="A811" i="3"/>
  <c r="A810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316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90" i="3"/>
  <c r="A91" i="3"/>
  <c r="A92" i="3"/>
  <c r="A93" i="3"/>
  <c r="A94" i="3"/>
  <c r="A95" i="3"/>
  <c r="A96" i="3"/>
  <c r="A97" i="3"/>
  <c r="A98" i="3"/>
  <c r="A99" i="3"/>
  <c r="A100" i="3"/>
  <c r="A2159" i="3"/>
  <c r="A2160" i="3"/>
  <c r="A2161" i="3"/>
  <c r="A2162" i="3"/>
  <c r="A2163" i="3"/>
  <c r="A2164" i="3"/>
  <c r="A2165" i="3"/>
  <c r="A2166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69" i="3"/>
  <c r="A470" i="3"/>
  <c r="A471" i="3"/>
  <c r="A472" i="3"/>
  <c r="A473" i="3"/>
  <c r="A474" i="3"/>
  <c r="A475" i="3"/>
  <c r="A476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77" i="3"/>
  <c r="A78" i="3"/>
  <c r="A79" i="3"/>
  <c r="A80" i="3"/>
  <c r="A81" i="3"/>
  <c r="A82" i="3"/>
  <c r="A83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12" i="3"/>
  <c r="A511" i="3" l="1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43" i="3" l="1"/>
  <c r="A544" i="3"/>
  <c r="A545" i="3"/>
  <c r="A546" i="3"/>
  <c r="A547" i="3"/>
  <c r="A548" i="3"/>
  <c r="A549" i="3"/>
  <c r="A550" i="3"/>
  <c r="A551" i="3"/>
  <c r="A552" i="3"/>
  <c r="A553" i="3"/>
  <c r="A554" i="3"/>
  <c r="A84" i="3" l="1"/>
  <c r="A85" i="3"/>
  <c r="A86" i="3"/>
  <c r="A87" i="3"/>
  <c r="A88" i="3"/>
  <c r="A89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5" i="3"/>
  <c r="A317" i="3"/>
  <c r="A320" i="3"/>
  <c r="A321" i="3"/>
  <c r="A322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539" i="3"/>
  <c r="A540" i="3"/>
  <c r="A541" i="3"/>
  <c r="A542" i="3"/>
  <c r="A567" i="3"/>
  <c r="A568" i="3"/>
  <c r="A569" i="3"/>
  <c r="A570" i="3"/>
  <c r="A571" i="3"/>
  <c r="A572" i="3"/>
  <c r="A585" i="3"/>
  <c r="A586" i="3"/>
  <c r="A587" i="3"/>
  <c r="A588" i="3"/>
  <c r="A589" i="3"/>
  <c r="A590" i="3"/>
  <c r="A627" i="3"/>
  <c r="A628" i="3"/>
  <c r="A629" i="3"/>
  <c r="A631" i="3"/>
  <c r="A632" i="3"/>
  <c r="A633" i="3"/>
  <c r="A635" i="3"/>
  <c r="A636" i="3"/>
  <c r="A637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5" i="3"/>
  <c r="A676" i="3"/>
  <c r="A677" i="3"/>
  <c r="A679" i="3"/>
  <c r="A680" i="3"/>
  <c r="A681" i="3"/>
  <c r="A683" i="3"/>
  <c r="A684" i="3"/>
  <c r="A685" i="3"/>
  <c r="A686" i="3"/>
  <c r="A687" i="3"/>
  <c r="A688" i="3"/>
  <c r="A689" i="3"/>
  <c r="A690" i="3"/>
  <c r="A691" i="3"/>
  <c r="A693" i="3"/>
  <c r="A694" i="3"/>
  <c r="A695" i="3"/>
  <c r="A697" i="3"/>
  <c r="A698" i="3"/>
  <c r="A699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34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800" i="3"/>
  <c r="A801" i="3"/>
  <c r="A802" i="3"/>
  <c r="A803" i="3"/>
  <c r="A804" i="3"/>
  <c r="A805" i="3"/>
  <c r="A806" i="3"/>
  <c r="A807" i="3"/>
  <c r="A808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A1501" i="3"/>
  <c r="A1502" i="3"/>
  <c r="A1503" i="3"/>
  <c r="A1504" i="3"/>
  <c r="A1505" i="3"/>
  <c r="A1506" i="3"/>
  <c r="A1507" i="3"/>
  <c r="A1508" i="3"/>
  <c r="A1509" i="3"/>
  <c r="A1510" i="3"/>
  <c r="A1511" i="3"/>
  <c r="A1512" i="3"/>
  <c r="A1513" i="3"/>
  <c r="A1514" i="3"/>
  <c r="A1515" i="3"/>
  <c r="A1516" i="3"/>
  <c r="A1517" i="3"/>
  <c r="A1518" i="3"/>
  <c r="A1519" i="3"/>
  <c r="A1520" i="3"/>
  <c r="A1521" i="3"/>
  <c r="A1522" i="3"/>
  <c r="A1523" i="3"/>
  <c r="A1524" i="3"/>
  <c r="A1525" i="3"/>
  <c r="A1526" i="3"/>
  <c r="A1527" i="3"/>
  <c r="A1528" i="3"/>
  <c r="A1529" i="3"/>
  <c r="A1530" i="3"/>
  <c r="A1531" i="3"/>
  <c r="A1532" i="3"/>
  <c r="A1533" i="3"/>
  <c r="A1534" i="3"/>
  <c r="A1535" i="3"/>
  <c r="A1536" i="3"/>
  <c r="A1537" i="3"/>
  <c r="A1538" i="3"/>
  <c r="A1539" i="3"/>
  <c r="A1540" i="3"/>
  <c r="A1541" i="3"/>
  <c r="A1542" i="3"/>
  <c r="A1543" i="3"/>
  <c r="A1544" i="3"/>
  <c r="A1545" i="3"/>
  <c r="A1546" i="3"/>
  <c r="A1547" i="3"/>
  <c r="A1548" i="3"/>
  <c r="A1549" i="3"/>
  <c r="A1550" i="3"/>
  <c r="A1551" i="3"/>
  <c r="A1552" i="3"/>
  <c r="A1553" i="3"/>
  <c r="A1554" i="3"/>
  <c r="A1555" i="3"/>
  <c r="A1556" i="3"/>
  <c r="A1557" i="3"/>
  <c r="A1558" i="3"/>
  <c r="A1559" i="3"/>
  <c r="A1560" i="3"/>
  <c r="A1561" i="3"/>
  <c r="A1562" i="3"/>
  <c r="A1563" i="3"/>
  <c r="A1564" i="3"/>
  <c r="A1565" i="3"/>
  <c r="A1566" i="3"/>
  <c r="A1567" i="3"/>
  <c r="A1568" i="3"/>
  <c r="A1569" i="3"/>
  <c r="A1570" i="3"/>
  <c r="A1571" i="3"/>
  <c r="A1572" i="3"/>
  <c r="A1573" i="3"/>
  <c r="A1574" i="3"/>
  <c r="A1575" i="3"/>
  <c r="A1576" i="3"/>
  <c r="A1577" i="3"/>
  <c r="A1578" i="3"/>
  <c r="A1579" i="3"/>
  <c r="A1580" i="3"/>
  <c r="A1581" i="3"/>
  <c r="A1582" i="3"/>
  <c r="A1583" i="3"/>
  <c r="A1584" i="3"/>
  <c r="A1585" i="3"/>
  <c r="A1586" i="3"/>
  <c r="A1587" i="3"/>
  <c r="A1588" i="3"/>
  <c r="A1589" i="3"/>
  <c r="A1590" i="3"/>
  <c r="A1591" i="3"/>
  <c r="A1592" i="3"/>
  <c r="A1593" i="3"/>
  <c r="A1594" i="3"/>
  <c r="A1595" i="3"/>
  <c r="A1596" i="3"/>
  <c r="A1597" i="3"/>
  <c r="A1598" i="3"/>
  <c r="A1599" i="3"/>
  <c r="A1600" i="3"/>
  <c r="A1601" i="3"/>
  <c r="A1602" i="3"/>
  <c r="A1603" i="3"/>
  <c r="A1604" i="3"/>
  <c r="A1605" i="3"/>
  <c r="A1606" i="3"/>
  <c r="A1607" i="3"/>
  <c r="A1608" i="3"/>
  <c r="A1609" i="3"/>
  <c r="A1610" i="3"/>
  <c r="A1611" i="3"/>
  <c r="A1612" i="3"/>
  <c r="A1613" i="3"/>
  <c r="A1614" i="3"/>
  <c r="A1615" i="3"/>
  <c r="A1616" i="3"/>
  <c r="A1617" i="3"/>
  <c r="A1618" i="3"/>
  <c r="A1619" i="3"/>
  <c r="A1620" i="3"/>
  <c r="A1621" i="3"/>
  <c r="A1622" i="3"/>
  <c r="A1623" i="3"/>
  <c r="A1624" i="3"/>
  <c r="A1625" i="3"/>
  <c r="A1626" i="3"/>
  <c r="A1627" i="3"/>
  <c r="A1628" i="3"/>
  <c r="A1629" i="3"/>
  <c r="A1630" i="3"/>
  <c r="A1631" i="3"/>
  <c r="A1632" i="3"/>
  <c r="A1633" i="3"/>
  <c r="A1634" i="3"/>
  <c r="A1635" i="3"/>
  <c r="A1636" i="3"/>
  <c r="A1637" i="3"/>
  <c r="A1638" i="3"/>
  <c r="A1639" i="3"/>
  <c r="A1640" i="3"/>
  <c r="A1641" i="3"/>
  <c r="A1642" i="3"/>
  <c r="A1643" i="3"/>
  <c r="A1644" i="3"/>
  <c r="A1645" i="3"/>
  <c r="A1646" i="3"/>
  <c r="A1647" i="3"/>
  <c r="A1648" i="3"/>
  <c r="A1649" i="3"/>
  <c r="A1650" i="3"/>
  <c r="A1651" i="3"/>
  <c r="A1652" i="3"/>
  <c r="A1653" i="3"/>
  <c r="A1654" i="3"/>
  <c r="A1655" i="3"/>
  <c r="A1656" i="3"/>
  <c r="A1657" i="3"/>
  <c r="A1658" i="3"/>
  <c r="A1659" i="3"/>
  <c r="A1660" i="3"/>
  <c r="A1661" i="3"/>
  <c r="A1662" i="3"/>
  <c r="A1663" i="3"/>
  <c r="A1664" i="3"/>
  <c r="A1665" i="3"/>
  <c r="A1666" i="3"/>
  <c r="A1667" i="3"/>
  <c r="A1668" i="3"/>
  <c r="A1669" i="3"/>
  <c r="A1670" i="3"/>
  <c r="A1671" i="3"/>
  <c r="A1672" i="3"/>
  <c r="A1673" i="3"/>
  <c r="A1674" i="3"/>
  <c r="A1675" i="3"/>
  <c r="A1676" i="3"/>
  <c r="A1677" i="3"/>
  <c r="A1678" i="3"/>
  <c r="A1679" i="3"/>
  <c r="A1680" i="3"/>
  <c r="A1681" i="3"/>
  <c r="A1682" i="3"/>
  <c r="A1683" i="3"/>
  <c r="A1684" i="3"/>
  <c r="A1685" i="3"/>
  <c r="A1686" i="3"/>
  <c r="A1687" i="3"/>
  <c r="A1688" i="3"/>
  <c r="A1689" i="3"/>
  <c r="A1690" i="3"/>
  <c r="A1691" i="3"/>
  <c r="A1692" i="3"/>
  <c r="A1693" i="3"/>
  <c r="A1694" i="3"/>
  <c r="A1695" i="3"/>
  <c r="A1696" i="3"/>
  <c r="A1697" i="3"/>
  <c r="A1698" i="3"/>
  <c r="A1699" i="3"/>
  <c r="A1700" i="3"/>
  <c r="A1701" i="3"/>
  <c r="A1702" i="3"/>
  <c r="A1703" i="3"/>
  <c r="A1704" i="3"/>
  <c r="A1705" i="3"/>
  <c r="A1706" i="3"/>
  <c r="A1707" i="3"/>
  <c r="A1708" i="3"/>
  <c r="A1709" i="3"/>
  <c r="A1710" i="3"/>
  <c r="A1711" i="3"/>
  <c r="A1712" i="3"/>
  <c r="A1713" i="3"/>
  <c r="A1714" i="3"/>
  <c r="A1715" i="3"/>
  <c r="A1716" i="3"/>
  <c r="A1717" i="3"/>
  <c r="A1718" i="3"/>
  <c r="A1719" i="3"/>
  <c r="A1720" i="3"/>
  <c r="A1721" i="3"/>
  <c r="A1722" i="3"/>
  <c r="A1723" i="3"/>
  <c r="A1724" i="3"/>
  <c r="A1725" i="3"/>
  <c r="A1726" i="3"/>
  <c r="A1727" i="3"/>
  <c r="A1728" i="3"/>
  <c r="A1729" i="3"/>
  <c r="A1730" i="3"/>
  <c r="A1731" i="3"/>
  <c r="A1732" i="3"/>
  <c r="A1733" i="3"/>
  <c r="A1734" i="3"/>
  <c r="A1735" i="3"/>
  <c r="A1736" i="3"/>
  <c r="A1737" i="3"/>
  <c r="A1738" i="3"/>
  <c r="A1739" i="3"/>
  <c r="A1740" i="3"/>
  <c r="A1741" i="3"/>
  <c r="A1742" i="3"/>
  <c r="A1743" i="3"/>
  <c r="A1744" i="3"/>
  <c r="A1745" i="3"/>
  <c r="A1746" i="3"/>
  <c r="A1747" i="3"/>
  <c r="A1748" i="3"/>
  <c r="A1749" i="3"/>
  <c r="A1750" i="3"/>
  <c r="A1751" i="3"/>
  <c r="A1752" i="3"/>
  <c r="A1753" i="3"/>
  <c r="A1754" i="3"/>
  <c r="A1755" i="3"/>
  <c r="A1756" i="3"/>
  <c r="A1757" i="3"/>
  <c r="A1758" i="3"/>
  <c r="A1759" i="3"/>
  <c r="A1784" i="3"/>
  <c r="A1785" i="3"/>
  <c r="A1786" i="3"/>
  <c r="A1787" i="3"/>
  <c r="A1788" i="3"/>
  <c r="A1789" i="3"/>
  <c r="A1790" i="3"/>
  <c r="A1791" i="3"/>
  <c r="A1792" i="3"/>
  <c r="A1793" i="3"/>
  <c r="A1794" i="3"/>
  <c r="A1795" i="3"/>
  <c r="A1796" i="3"/>
  <c r="A1797" i="3"/>
  <c r="A1798" i="3"/>
  <c r="A1799" i="3"/>
  <c r="A1800" i="3"/>
  <c r="A1801" i="3"/>
  <c r="A1802" i="3"/>
  <c r="A1803" i="3"/>
  <c r="A1804" i="3"/>
  <c r="A1805" i="3"/>
  <c r="A1806" i="3"/>
  <c r="A1807" i="3"/>
  <c r="A1808" i="3"/>
  <c r="A1809" i="3"/>
  <c r="A1810" i="3"/>
  <c r="A1811" i="3"/>
  <c r="A1812" i="3"/>
  <c r="A1813" i="3"/>
  <c r="A1814" i="3"/>
  <c r="A1815" i="3"/>
  <c r="A1816" i="3"/>
  <c r="A1817" i="3"/>
  <c r="A1818" i="3"/>
  <c r="A1819" i="3"/>
  <c r="A1820" i="3"/>
  <c r="A1821" i="3"/>
  <c r="A1822" i="3"/>
  <c r="A1823" i="3"/>
  <c r="A1824" i="3"/>
  <c r="A1825" i="3"/>
  <c r="A1826" i="3"/>
  <c r="A1827" i="3"/>
  <c r="A1828" i="3"/>
  <c r="A1829" i="3"/>
  <c r="A1830" i="3"/>
  <c r="A1831" i="3"/>
  <c r="A1832" i="3"/>
  <c r="A1833" i="3"/>
  <c r="A1834" i="3"/>
  <c r="A1835" i="3"/>
  <c r="A1836" i="3"/>
  <c r="A1837" i="3"/>
  <c r="A1838" i="3"/>
  <c r="A1839" i="3"/>
  <c r="A1840" i="3"/>
  <c r="A1841" i="3"/>
  <c r="A1842" i="3"/>
  <c r="A1843" i="3"/>
  <c r="A1844" i="3"/>
  <c r="A1845" i="3"/>
  <c r="A1846" i="3"/>
  <c r="A1859" i="3"/>
  <c r="A1860" i="3"/>
  <c r="A1861" i="3"/>
  <c r="A1862" i="3"/>
  <c r="A1863" i="3"/>
  <c r="A1864" i="3"/>
  <c r="A1865" i="3"/>
  <c r="A1866" i="3"/>
  <c r="A1867" i="3"/>
  <c r="A1868" i="3"/>
  <c r="A1869" i="3"/>
  <c r="A1870" i="3"/>
  <c r="A1917" i="3"/>
  <c r="A1918" i="3"/>
  <c r="A1919" i="3"/>
  <c r="A1920" i="3"/>
  <c r="A1921" i="3"/>
  <c r="A1922" i="3"/>
  <c r="A1923" i="3"/>
  <c r="A1924" i="3"/>
  <c r="A1925" i="3"/>
  <c r="A1926" i="3"/>
  <c r="A1927" i="3"/>
  <c r="A1928" i="3"/>
  <c r="A1929" i="3"/>
  <c r="A1930" i="3"/>
  <c r="A1931" i="3"/>
  <c r="A1932" i="3"/>
  <c r="A1933" i="3"/>
  <c r="A1934" i="3"/>
  <c r="A1947" i="3"/>
  <c r="A1948" i="3"/>
  <c r="A1949" i="3"/>
  <c r="A1950" i="3"/>
  <c r="A1951" i="3"/>
  <c r="A1952" i="3"/>
  <c r="A1953" i="3"/>
  <c r="A1954" i="3"/>
  <c r="A1955" i="3"/>
  <c r="A1956" i="3"/>
  <c r="A1957" i="3"/>
  <c r="A1958" i="3"/>
  <c r="A1959" i="3"/>
  <c r="A1960" i="3"/>
  <c r="A1961" i="3"/>
  <c r="A1962" i="3"/>
  <c r="A1963" i="3"/>
  <c r="A1964" i="3"/>
  <c r="A1965" i="3"/>
  <c r="A1966" i="3"/>
  <c r="A1967" i="3"/>
  <c r="A1968" i="3"/>
  <c r="A1969" i="3"/>
  <c r="A1970" i="3"/>
  <c r="A1971" i="3"/>
  <c r="A1972" i="3"/>
  <c r="A1973" i="3"/>
  <c r="A1974" i="3"/>
  <c r="A1975" i="3"/>
  <c r="A1976" i="3"/>
  <c r="A1977" i="3"/>
  <c r="A1978" i="3"/>
  <c r="A1979" i="3"/>
  <c r="A1980" i="3"/>
  <c r="A1981" i="3"/>
  <c r="A1982" i="3"/>
  <c r="A1983" i="3"/>
  <c r="A1984" i="3"/>
  <c r="A1985" i="3"/>
  <c r="A1986" i="3"/>
  <c r="A1987" i="3"/>
  <c r="A1988" i="3"/>
  <c r="A1989" i="3"/>
  <c r="A1990" i="3"/>
  <c r="A1991" i="3"/>
  <c r="A1992" i="3"/>
  <c r="A1993" i="3"/>
  <c r="A1994" i="3"/>
  <c r="A1995" i="3"/>
  <c r="A1996" i="3"/>
  <c r="A1997" i="3"/>
  <c r="A1998" i="3"/>
  <c r="A1999" i="3"/>
  <c r="A2000" i="3"/>
  <c r="A2001" i="3"/>
  <c r="A2002" i="3"/>
  <c r="A2003" i="3"/>
  <c r="A2004" i="3"/>
  <c r="A2005" i="3"/>
  <c r="A2006" i="3"/>
  <c r="A2007" i="3"/>
  <c r="A2008" i="3"/>
  <c r="A2009" i="3"/>
  <c r="A2010" i="3"/>
  <c r="A2011" i="3"/>
  <c r="A2012" i="3"/>
  <c r="A2013" i="3"/>
  <c r="A2014" i="3"/>
  <c r="A2015" i="3"/>
  <c r="A2016" i="3"/>
  <c r="A2017" i="3"/>
  <c r="A2018" i="3"/>
  <c r="A2019" i="3"/>
  <c r="A2020" i="3"/>
  <c r="A2021" i="3"/>
  <c r="A2022" i="3"/>
  <c r="A2023" i="3"/>
  <c r="A2024" i="3"/>
  <c r="A2025" i="3"/>
  <c r="A2026" i="3"/>
  <c r="A2027" i="3"/>
  <c r="A2028" i="3"/>
  <c r="A2029" i="3"/>
  <c r="A2030" i="3"/>
  <c r="A2031" i="3"/>
  <c r="A2032" i="3"/>
  <c r="A2033" i="3"/>
  <c r="A2034" i="3"/>
  <c r="A2035" i="3"/>
  <c r="A2036" i="3"/>
  <c r="A2037" i="3"/>
  <c r="A2038" i="3"/>
  <c r="A2039" i="3"/>
  <c r="A2040" i="3"/>
  <c r="A2041" i="3"/>
  <c r="A2042" i="3"/>
  <c r="A2043" i="3"/>
  <c r="A2044" i="3"/>
  <c r="A2045" i="3"/>
  <c r="A2046" i="3"/>
  <c r="A2047" i="3"/>
  <c r="A2048" i="3"/>
  <c r="A2049" i="3"/>
  <c r="A2050" i="3"/>
  <c r="A2051" i="3"/>
  <c r="A2052" i="3"/>
  <c r="A2053" i="3"/>
  <c r="A2054" i="3"/>
  <c r="A2055" i="3"/>
  <c r="A2056" i="3"/>
  <c r="A2057" i="3"/>
  <c r="A2058" i="3"/>
  <c r="A2059" i="3"/>
  <c r="A2060" i="3"/>
  <c r="A2061" i="3"/>
  <c r="A2062" i="3"/>
  <c r="A2063" i="3"/>
  <c r="A2064" i="3"/>
  <c r="A2065" i="3"/>
  <c r="A2066" i="3"/>
  <c r="A2067" i="3"/>
  <c r="A2068" i="3"/>
  <c r="A2113" i="3"/>
  <c r="A2114" i="3"/>
  <c r="A2115" i="3"/>
  <c r="A2116" i="3"/>
  <c r="A2117" i="3"/>
  <c r="A2118" i="3"/>
  <c r="A2125" i="3"/>
  <c r="A2126" i="3"/>
  <c r="A2127" i="3"/>
  <c r="A2128" i="3"/>
  <c r="A2129" i="3"/>
  <c r="A2130" i="3"/>
  <c r="A2131" i="3"/>
  <c r="A2132" i="3"/>
  <c r="A2133" i="3"/>
  <c r="A2134" i="3"/>
  <c r="A2135" i="3"/>
  <c r="A2136" i="3"/>
  <c r="A2137" i="3"/>
  <c r="A2138" i="3"/>
  <c r="A2139" i="3"/>
  <c r="A2140" i="3"/>
  <c r="A2141" i="3"/>
  <c r="A2142" i="3"/>
  <c r="A2143" i="3"/>
  <c r="A2144" i="3"/>
  <c r="A2145" i="3"/>
  <c r="A2146" i="3"/>
  <c r="A2147" i="3"/>
  <c r="A2148" i="3"/>
  <c r="A2149" i="3"/>
  <c r="A2150" i="3"/>
  <c r="A2151" i="3"/>
  <c r="A2152" i="3"/>
  <c r="A2153" i="3"/>
  <c r="A2154" i="3"/>
  <c r="A2155" i="3"/>
  <c r="A2156" i="3"/>
  <c r="A2157" i="3"/>
  <c r="A2158" i="3"/>
</calcChain>
</file>

<file path=xl/sharedStrings.xml><?xml version="1.0" encoding="utf-8"?>
<sst xmlns="http://schemas.openxmlformats.org/spreadsheetml/2006/main" count="14350" uniqueCount="1337">
  <si>
    <t>L</t>
  </si>
  <si>
    <t>R</t>
  </si>
  <si>
    <t>정수기</t>
  </si>
  <si>
    <t>자가관리</t>
  </si>
  <si>
    <t>P-150N</t>
  </si>
  <si>
    <t>P-6320L</t>
  </si>
  <si>
    <t>P-350N_WT(ON)(P-350N_WT(ON),내수)</t>
  </si>
  <si>
    <t>P-350N_BG(ON)(P-350N_BG(ON),내수)</t>
  </si>
  <si>
    <t>P-350N_SL(ON)(P-350N_SL(ON),내수)</t>
  </si>
  <si>
    <t>P-2200N_GR</t>
  </si>
  <si>
    <t>P-2200N_WT</t>
  </si>
  <si>
    <t>P-2200N_BG</t>
  </si>
  <si>
    <t>P-2200N_SL</t>
  </si>
  <si>
    <t>1회 서비스</t>
  </si>
  <si>
    <t>CP-6310L-RA</t>
  </si>
  <si>
    <t>CP-3140N_SL</t>
  </si>
  <si>
    <t>CP-8200N_WT</t>
  </si>
  <si>
    <t>CP-8310L_WT</t>
  </si>
  <si>
    <t>CP-8210N</t>
  </si>
  <si>
    <t>CP-8200N_SL</t>
  </si>
  <si>
    <t>CP-8200N_BG</t>
  </si>
  <si>
    <t>CP-8200N_GR</t>
  </si>
  <si>
    <t>CP-3140N_WT</t>
  </si>
  <si>
    <t>CP-3140N_BG</t>
  </si>
  <si>
    <t>CP-3140N_GR</t>
  </si>
  <si>
    <t>CP-3140N_BR</t>
  </si>
  <si>
    <t>CP-3140N_NV</t>
  </si>
  <si>
    <t>CP-8210N_BG</t>
  </si>
  <si>
    <t>CP-8210N_SL</t>
  </si>
  <si>
    <t>CP-8210N_GR</t>
  </si>
  <si>
    <t>CP-8210N_BR</t>
  </si>
  <si>
    <t>CP-8210N_NV</t>
  </si>
  <si>
    <t>CP-8200N_BR</t>
  </si>
  <si>
    <t>CP-8200N_NV</t>
  </si>
  <si>
    <t>CP-8310L_BG</t>
  </si>
  <si>
    <t>CP-8310L_SL</t>
  </si>
  <si>
    <t>CP-8310L_GR</t>
  </si>
  <si>
    <t>CP-8310L_BR</t>
  </si>
  <si>
    <t>CP-8310L_NV</t>
  </si>
  <si>
    <t>CP-7211N_WT</t>
  </si>
  <si>
    <t>CP-7211N_GR</t>
  </si>
  <si>
    <t>CP-7211N_SL</t>
  </si>
  <si>
    <t>CP-7211N_PK</t>
  </si>
  <si>
    <t>CP-7211N_GN</t>
  </si>
  <si>
    <t>CP-7211N_BU</t>
  </si>
  <si>
    <t>CP-6340L</t>
  </si>
  <si>
    <t>CHP-700L</t>
  </si>
  <si>
    <t>CHP-264L</t>
  </si>
  <si>
    <t>CHP-5700R</t>
  </si>
  <si>
    <t>CHP-3140N_SL</t>
  </si>
  <si>
    <t>CHP-8200N_WT</t>
  </si>
  <si>
    <t>CHP-5610N_BG</t>
  </si>
  <si>
    <t>CHP-5610N_BU</t>
  </si>
  <si>
    <t>CHP-8310L_WT</t>
  </si>
  <si>
    <t>CHP-8210N</t>
  </si>
  <si>
    <t>CHP-5610N</t>
  </si>
  <si>
    <t>CHP-8200N_SL</t>
  </si>
  <si>
    <t>CHP-8200N_BG</t>
  </si>
  <si>
    <t>CHP-8200N_GR</t>
  </si>
  <si>
    <t>CHP-3140N_WT</t>
  </si>
  <si>
    <t>CHP-3140N_BG</t>
  </si>
  <si>
    <t>CHP-3140N_GR</t>
  </si>
  <si>
    <t>CHP-3140N_BR</t>
  </si>
  <si>
    <t>CHP-3140N_NV</t>
  </si>
  <si>
    <t>CHP-8210N_BG</t>
  </si>
  <si>
    <t>CHP-8210N_SL</t>
  </si>
  <si>
    <t>CHP-8210N_GR</t>
  </si>
  <si>
    <t>CHP-8210N_BR</t>
  </si>
  <si>
    <t>CHP-8210N_NV</t>
  </si>
  <si>
    <t>CHP-8200N_BR</t>
  </si>
  <si>
    <t>CHP-8200N_NV</t>
  </si>
  <si>
    <t>CHP-8310L_BG</t>
  </si>
  <si>
    <t>CHP-8310L_SL</t>
  </si>
  <si>
    <t>CHP-8310L_GR</t>
  </si>
  <si>
    <t>CHP-8310L_BR</t>
  </si>
  <si>
    <t>CHP-8310L_NV</t>
  </si>
  <si>
    <t>CHP-7211N_WT</t>
  </si>
  <si>
    <t>CHP-7211N_GR</t>
  </si>
  <si>
    <t>CHP-7211N_SL</t>
  </si>
  <si>
    <t>CHP-7211N_PK</t>
  </si>
  <si>
    <t>CHP-7211N_GN</t>
  </si>
  <si>
    <t>CHP-7211N_BU</t>
  </si>
  <si>
    <t>CHP-5720L</t>
  </si>
  <si>
    <t>CHP-6340L</t>
  </si>
  <si>
    <t>CHP-5711L</t>
  </si>
  <si>
    <t>CHP-5711R</t>
  </si>
  <si>
    <t>CHP-7212N_WT</t>
  </si>
  <si>
    <t>CHP-7212N_BK</t>
  </si>
  <si>
    <t>CHP-7212N_SL</t>
  </si>
  <si>
    <t>CHP-7212N_BG</t>
  </si>
  <si>
    <t>CHP-7212N_BU</t>
  </si>
  <si>
    <t>CHP-1111N_SL</t>
  </si>
  <si>
    <t>CHP-1111N_GR</t>
  </si>
  <si>
    <t>CHP-1111N_BR</t>
  </si>
  <si>
    <t>CHP-1111N_BU</t>
  </si>
  <si>
    <t>CHP-1112N_SL</t>
  </si>
  <si>
    <t>CHP-1112N_GR</t>
  </si>
  <si>
    <t>CHP-1112N_BR</t>
  </si>
  <si>
    <t>CHP-1112N_BU</t>
  </si>
  <si>
    <t>CHPI-620L(WHITE V2)</t>
  </si>
  <si>
    <t>CHPI-620L(BLACK V2)</t>
  </si>
  <si>
    <t>CHPI-5801LW</t>
  </si>
  <si>
    <t>CHPI-5801LB</t>
  </si>
  <si>
    <t>CHPI-7511L</t>
  </si>
  <si>
    <t>CPI-7511L</t>
  </si>
  <si>
    <t>CHPI-7400N_BU</t>
  </si>
  <si>
    <t>CPI-7400N_BU</t>
  </si>
  <si>
    <t>CHPI-5810L</t>
  </si>
  <si>
    <t>CHPI-7400N_PK</t>
  </si>
  <si>
    <t>CPI-7400N_PK</t>
  </si>
  <si>
    <t>CHPI-7400N_WT</t>
  </si>
  <si>
    <t>CPI-7400N_WT</t>
  </si>
  <si>
    <t>CHPI-7400N_GR</t>
  </si>
  <si>
    <t>CPI-7400N_GR</t>
  </si>
  <si>
    <t>CHPI-7521L_GR</t>
  </si>
  <si>
    <t>CHPI-7521L_WT</t>
  </si>
  <si>
    <t>CPSI-8510L</t>
  </si>
  <si>
    <t>비데</t>
  </si>
  <si>
    <t>BA20-D</t>
  </si>
  <si>
    <t>BA36-B</t>
  </si>
  <si>
    <t>BAS39-A</t>
  </si>
  <si>
    <t>BAS40-A</t>
  </si>
  <si>
    <t>BAS41-A_PK</t>
  </si>
  <si>
    <t>BAS37-B</t>
  </si>
  <si>
    <t>BAS38-B</t>
  </si>
  <si>
    <t>BAS41-A_GR</t>
  </si>
  <si>
    <t>BAS41-A_GN</t>
  </si>
  <si>
    <t>BAS25-B</t>
  </si>
  <si>
    <t>BAS37-C</t>
  </si>
  <si>
    <t>BAS38-C</t>
  </si>
  <si>
    <t>BAS47-AE</t>
  </si>
  <si>
    <t>BAS47-AR</t>
  </si>
  <si>
    <t>BAS29-C-RA</t>
  </si>
  <si>
    <t>BAS31-A-RA</t>
  </si>
  <si>
    <t>BA36-A_RA</t>
  </si>
  <si>
    <t>BA36-B_RA</t>
  </si>
  <si>
    <t>BAS40-A_RA</t>
  </si>
  <si>
    <t>연수기</t>
  </si>
  <si>
    <t>BB15-A</t>
  </si>
  <si>
    <t>BB16-A_GR</t>
  </si>
  <si>
    <t>BB17-A_GR</t>
  </si>
  <si>
    <t>BB16-A_WT</t>
  </si>
  <si>
    <t>BB17-A_WT</t>
  </si>
  <si>
    <t>청정기</t>
  </si>
  <si>
    <t>AP-3018B</t>
  </si>
  <si>
    <t>AP-3519A</t>
  </si>
  <si>
    <t>AP-1019D_GRAY</t>
  </si>
  <si>
    <t>AP-1019D_BEIGE</t>
  </si>
  <si>
    <t>AP-1220F</t>
  </si>
  <si>
    <t>AP-3021D_GR</t>
  </si>
  <si>
    <t>AP-3021D_BR</t>
  </si>
  <si>
    <t>AP-3021D_BG</t>
  </si>
  <si>
    <t>AP-3021D_WT</t>
  </si>
  <si>
    <t>AP-3522F</t>
  </si>
  <si>
    <t>AP-1523D</t>
  </si>
  <si>
    <t>AP-1023F</t>
  </si>
  <si>
    <t>AP-2023K_WT</t>
  </si>
  <si>
    <t>AP-1623M_WT</t>
  </si>
  <si>
    <t>AP-2023K_BG</t>
  </si>
  <si>
    <t>AP-2023K_BR</t>
  </si>
  <si>
    <t>AP-2023K_GR</t>
  </si>
  <si>
    <t>AP-2023K_GGR</t>
  </si>
  <si>
    <t>AP-1623M_BG</t>
  </si>
  <si>
    <t>AP-1623M_BR</t>
  </si>
  <si>
    <t>AP-1623M_GR</t>
  </si>
  <si>
    <t>AP-1623M_GGR</t>
  </si>
  <si>
    <t>AP-3024H_GR</t>
  </si>
  <si>
    <t>AP-3024H_BG</t>
  </si>
  <si>
    <t>AP-3024H_BR</t>
  </si>
  <si>
    <t>AP-3024H_GGR</t>
  </si>
  <si>
    <t>AP-3525I_WT</t>
  </si>
  <si>
    <t>AP-3525I_BG</t>
  </si>
  <si>
    <t>AP-3525I_GR</t>
  </si>
  <si>
    <t>AP-4025D_WT</t>
  </si>
  <si>
    <t>AP-4025D_BG</t>
  </si>
  <si>
    <t>AP-4025D_GGR</t>
  </si>
  <si>
    <t>AP-4025D_BR</t>
  </si>
  <si>
    <t>AP-4025D_GR</t>
  </si>
  <si>
    <t>APMS-1020A</t>
  </si>
  <si>
    <t>APD-1023A</t>
  </si>
  <si>
    <t>AP-1018F-RA</t>
  </si>
  <si>
    <t>AP-1023F_RA</t>
  </si>
  <si>
    <t>AD-1221E</t>
  </si>
  <si>
    <t>서비스프리</t>
  </si>
  <si>
    <t>CIR-F60GS</t>
  </si>
  <si>
    <t>CIR-F41GS</t>
  </si>
  <si>
    <t>CIR-F41PS</t>
  </si>
  <si>
    <t>CIR-F41BS</t>
  </si>
  <si>
    <t>CIR-303</t>
  </si>
  <si>
    <t>NIP-31KE</t>
  </si>
  <si>
    <t>CHR-04</t>
  </si>
  <si>
    <t>NHP-31KE</t>
  </si>
  <si>
    <t>CER-04</t>
  </si>
  <si>
    <t>CIP-30WWS</t>
  </si>
  <si>
    <t>CIP-30WPS</t>
  </si>
  <si>
    <t>CIP-30WLS</t>
  </si>
  <si>
    <t>CIP-30WGS</t>
  </si>
  <si>
    <t>MC-SC01(Gray)</t>
  </si>
  <si>
    <t>MC-SC01(Beige)</t>
  </si>
  <si>
    <t>MC-SC01(Black)</t>
  </si>
  <si>
    <t>MC-C01_BU</t>
  </si>
  <si>
    <t>MC-C01_GR(MC-C01)</t>
  </si>
  <si>
    <t>MC-C01_PK</t>
  </si>
  <si>
    <t>MB-B01_BR</t>
  </si>
  <si>
    <t>MB-B01_BK</t>
  </si>
  <si>
    <t>MB-B01_BG</t>
  </si>
  <si>
    <t>MB-B01_WT</t>
  </si>
  <si>
    <t>MC-C01_BG</t>
  </si>
  <si>
    <t>MB-C01_BR</t>
  </si>
  <si>
    <t>MB-C01_BK</t>
  </si>
  <si>
    <t>MB-C01_BG</t>
  </si>
  <si>
    <t>MB-C01_WT</t>
  </si>
  <si>
    <t>MC-B02_BK</t>
  </si>
  <si>
    <t>MB-M02_BR</t>
  </si>
  <si>
    <t>MB-M02_BK</t>
  </si>
  <si>
    <t>MB-M02_BG</t>
  </si>
  <si>
    <t>MB-M02_WT</t>
  </si>
  <si>
    <t>MB-R02_BR</t>
  </si>
  <si>
    <t>MB-R02_BK</t>
  </si>
  <si>
    <t>MB-R02_BG</t>
  </si>
  <si>
    <t>MB-R02_WT</t>
  </si>
  <si>
    <t>MC-B02_BG</t>
  </si>
  <si>
    <t>MC-B02_BR</t>
  </si>
  <si>
    <t>MC-R01_BG</t>
  </si>
  <si>
    <t>MC-R01_OR</t>
  </si>
  <si>
    <t>MC-R01_RD</t>
  </si>
  <si>
    <t>MC-R01_BR</t>
  </si>
  <si>
    <t>MC-R01_BK</t>
  </si>
  <si>
    <t>매트리스</t>
  </si>
  <si>
    <t>CMSS-SL01</t>
  </si>
  <si>
    <t>CMQ-SL01</t>
  </si>
  <si>
    <t>CMK-SL01</t>
  </si>
  <si>
    <t>CMQ-PR02</t>
  </si>
  <si>
    <t>CMK-PR02</t>
  </si>
  <si>
    <t>CMK-S03H</t>
  </si>
  <si>
    <t>CMK-S03M</t>
  </si>
  <si>
    <t>CMQ-S03H</t>
  </si>
  <si>
    <t>CMQ-S03M</t>
  </si>
  <si>
    <t>CMSS-S03H</t>
  </si>
  <si>
    <t>CMSS-S03M</t>
  </si>
  <si>
    <t>CMLK-S03H</t>
  </si>
  <si>
    <t>CMLK-S03M</t>
  </si>
  <si>
    <t>CMQ-M01S</t>
  </si>
  <si>
    <t>CMK-PR03</t>
  </si>
  <si>
    <t>CMQ-PR03</t>
  </si>
  <si>
    <t>CMSS-PR03</t>
  </si>
  <si>
    <t>CMQ-M01M</t>
  </si>
  <si>
    <t>CMSS-M01M</t>
  </si>
  <si>
    <t>CMK-PR04H_V2</t>
  </si>
  <si>
    <t>CMK-PR04M_V2</t>
  </si>
  <si>
    <t>CMQ-PR04H_V2</t>
  </si>
  <si>
    <t>CMQ-PR04M_V2</t>
  </si>
  <si>
    <t>CMSS-PR04H_V2</t>
  </si>
  <si>
    <t>CMSS-PR04M_V2</t>
  </si>
  <si>
    <t>CMK-AS02</t>
  </si>
  <si>
    <t>CMQ-AS02</t>
  </si>
  <si>
    <t>CMSS-AS02</t>
  </si>
  <si>
    <t>CMK-S03H_RA</t>
  </si>
  <si>
    <t>CMK-S03M_RA</t>
  </si>
  <si>
    <t>CMQ-S03H_RA</t>
  </si>
  <si>
    <t>CMQ-S03M_RA</t>
  </si>
  <si>
    <t>CMSS-S03H_RA</t>
  </si>
  <si>
    <t>CMSS-S03M_RA</t>
  </si>
  <si>
    <t>CMK-AS03</t>
  </si>
  <si>
    <t>CMQ-AS03</t>
  </si>
  <si>
    <t>CMSS-AS03</t>
  </si>
  <si>
    <t>CMK-S05</t>
  </si>
  <si>
    <t>CMQ-S05</t>
  </si>
  <si>
    <t>CMSS-S05</t>
  </si>
  <si>
    <t>CMS-S03_V2</t>
  </si>
  <si>
    <t>CMQ-OB03_BG</t>
  </si>
  <si>
    <t>CMQ-OB03_BK</t>
  </si>
  <si>
    <t>CMSS-OB03_BG</t>
  </si>
  <si>
    <t>CMSS-OB03_BK</t>
  </si>
  <si>
    <t>CMQ-ST01EH</t>
  </si>
  <si>
    <t>CMSS-ST01EH</t>
  </si>
  <si>
    <t>CMS-ST01EH</t>
  </si>
  <si>
    <t>CMK-SE01</t>
  </si>
  <si>
    <t>CMQ-SE01</t>
  </si>
  <si>
    <t>CMSS-SE01</t>
  </si>
  <si>
    <t>CMLK-SP01SC</t>
  </si>
  <si>
    <t>CMK-SP01SC</t>
  </si>
  <si>
    <t>CMQ-SP01SC</t>
  </si>
  <si>
    <t>CMSS-SP01SC</t>
  </si>
  <si>
    <t>CMLK-SP01S</t>
  </si>
  <si>
    <t>CMK-SP01S</t>
  </si>
  <si>
    <t>CMQ-SP01S</t>
  </si>
  <si>
    <t>CMSS-SP01S</t>
  </si>
  <si>
    <t>CMLK-AS05_NV</t>
  </si>
  <si>
    <t>CMK-AS05_NV</t>
  </si>
  <si>
    <t>CMQ-AS05_NV</t>
  </si>
  <si>
    <t>CMSS-AS05_NV</t>
  </si>
  <si>
    <t>CMLK-AS05_BG</t>
  </si>
  <si>
    <t>CMK-AS05_BG</t>
  </si>
  <si>
    <t>CMQ-AS05_BG</t>
  </si>
  <si>
    <t>CMSS-AS05_BG</t>
  </si>
  <si>
    <t>CMLK-AS04_NV</t>
  </si>
  <si>
    <t>CMK-AS04_NV</t>
  </si>
  <si>
    <t>CMQ-AS04_NV</t>
  </si>
  <si>
    <t>CMSS-AS04_NV</t>
  </si>
  <si>
    <t>CMLK-AS04_BG</t>
  </si>
  <si>
    <t>CMK-AS04_BG</t>
  </si>
  <si>
    <t>CMQ-AS04_BG</t>
  </si>
  <si>
    <t>CMSS-AS04_BG</t>
  </si>
  <si>
    <t>CFK-F02B(CFK-F02B)</t>
  </si>
  <si>
    <t>CFS-W02(S 사이즈)</t>
  </si>
  <si>
    <t>CFQ-F02B(CFQ-F02B)</t>
  </si>
  <si>
    <t>CFSS-F02B(CFSS-F02B)</t>
  </si>
  <si>
    <t>CFK-L01(K사이즈 단매트프레임)</t>
  </si>
  <si>
    <t>CFQ-L01(Q사이즈 단매트프레임)</t>
  </si>
  <si>
    <t>CFQ-SM01G</t>
  </si>
  <si>
    <t>CFSS-SM01G</t>
  </si>
  <si>
    <t>CFSS-SM01N</t>
  </si>
  <si>
    <t>CFQ-LM01G</t>
  </si>
  <si>
    <t>CFSS-LM01G</t>
  </si>
  <si>
    <t>CFQ-LM02G</t>
  </si>
  <si>
    <t>CFSS-LM02G</t>
  </si>
  <si>
    <t>CFS-SM01C</t>
  </si>
  <si>
    <t>CFK-F03G</t>
  </si>
  <si>
    <t>CFQ-F03G</t>
  </si>
  <si>
    <t>CFSS-F03G</t>
  </si>
  <si>
    <t>CFK-TM10C</t>
  </si>
  <si>
    <t>CFK-TM10G</t>
  </si>
  <si>
    <t>CFK-TM09N</t>
  </si>
  <si>
    <t>CFK-TM09W</t>
  </si>
  <si>
    <t>CFQ-TM10C</t>
  </si>
  <si>
    <t>CFQ-TM10G</t>
  </si>
  <si>
    <t>CFQ-TM09N</t>
  </si>
  <si>
    <t>CFQ-TM09W</t>
  </si>
  <si>
    <t>CFSS-TM10C</t>
  </si>
  <si>
    <t>CFSS-TM09N</t>
  </si>
  <si>
    <t>CFSS-TM09W</t>
  </si>
  <si>
    <t>CFLK-F02B(CFLK-F02B)</t>
  </si>
  <si>
    <t>CFLK-TM10G</t>
  </si>
  <si>
    <t>CFSS-FP01_BG</t>
  </si>
  <si>
    <t>CFSS-FP01_GR</t>
  </si>
  <si>
    <t>CFSS-FP01_BR</t>
  </si>
  <si>
    <t>CFSS-FP02_BG</t>
  </si>
  <si>
    <t>CFSS-FP02_GR</t>
  </si>
  <si>
    <t>CFSS-FP02_BR</t>
  </si>
  <si>
    <t>CFSS-FP01S_BG</t>
  </si>
  <si>
    <t>CFSS-FP01S_GR</t>
  </si>
  <si>
    <t>CFSS-FP01S_BR</t>
  </si>
  <si>
    <t>CFSS-FP02S_BG</t>
  </si>
  <si>
    <t>CFSS-FP02S_GR</t>
  </si>
  <si>
    <t>CFSS-FP02S_BR</t>
  </si>
  <si>
    <t>CFQ-FP01_BG</t>
  </si>
  <si>
    <t>CFQ-FP01_GR</t>
  </si>
  <si>
    <t>CFQ-FP01_BR</t>
  </si>
  <si>
    <t>CFQ-FP02_BG</t>
  </si>
  <si>
    <t>CFQ-FP02_GR</t>
  </si>
  <si>
    <t>CFQ-FP02_BR</t>
  </si>
  <si>
    <t>CFQ-FP01S_BG</t>
  </si>
  <si>
    <t>CFQ-FP01S_GR</t>
  </si>
  <si>
    <t>CFQ-FP01S_BR</t>
  </si>
  <si>
    <t>CFQ-FP02S_BG</t>
  </si>
  <si>
    <t>CFQ-FP02S_GR</t>
  </si>
  <si>
    <t>CFQ-FP02S_BR</t>
  </si>
  <si>
    <t>CFK-FP01_BG</t>
  </si>
  <si>
    <t>CFK-FP01_GR</t>
  </si>
  <si>
    <t>CFK-FP01_BR</t>
  </si>
  <si>
    <t>CFK-FP02_BG</t>
  </si>
  <si>
    <t>CFK-FP02_GR</t>
  </si>
  <si>
    <t>CFK-FP02_BR</t>
  </si>
  <si>
    <t>CFK-FP01S_GR</t>
  </si>
  <si>
    <t>CFK-FP01S_BR</t>
  </si>
  <si>
    <t>CFK-FP02S_BG</t>
  </si>
  <si>
    <t>CFK-FP02S_GR</t>
  </si>
  <si>
    <t>CFK-FP02S_BR</t>
  </si>
  <si>
    <t>CFSS-FP01_IV</t>
  </si>
  <si>
    <t>CFSS-FP01_GN</t>
  </si>
  <si>
    <t>CFSS-FP02_IV</t>
  </si>
  <si>
    <t>CFSS-FP02_GN</t>
  </si>
  <si>
    <t>CFSS-FP01S_IV</t>
  </si>
  <si>
    <t>CFSS-FP01S_GN</t>
  </si>
  <si>
    <t>CFSS-FP02S_IV</t>
  </si>
  <si>
    <t>CFSS-FP02S_GN</t>
  </si>
  <si>
    <t>CFQ-FP01_IV</t>
  </si>
  <si>
    <t>CFQ-FP01_GN</t>
  </si>
  <si>
    <t>CFQ-FP02_IV</t>
  </si>
  <si>
    <t>CFQ-FP02_GN</t>
  </si>
  <si>
    <t>CFQ-FP01S_IV</t>
  </si>
  <si>
    <t>CFQ-FP01S_GN</t>
  </si>
  <si>
    <t>CFQ-FP02S_IV</t>
  </si>
  <si>
    <t>CFQ-FP02S_GN</t>
  </si>
  <si>
    <t>CFK-FP01_IV</t>
  </si>
  <si>
    <t>CFK-FP01_GN</t>
  </si>
  <si>
    <t>CFK-FP02_IV</t>
  </si>
  <si>
    <t>CFK-FP02_GN</t>
  </si>
  <si>
    <t>CFK-FP01S_IV</t>
  </si>
  <si>
    <t>CFK-FP01S_GN</t>
  </si>
  <si>
    <t>CFK-FP02S_IV</t>
  </si>
  <si>
    <t>CFK-FP02S_GN</t>
  </si>
  <si>
    <t>CFSS-CB01_IV</t>
  </si>
  <si>
    <t>CFSS-CB01_GR</t>
  </si>
  <si>
    <t>CFQ-CB01_IV</t>
  </si>
  <si>
    <t>CFQ-CB01_GR</t>
  </si>
  <si>
    <t>CFQ-CB01_OR</t>
  </si>
  <si>
    <t>CFK-CB01_IV</t>
  </si>
  <si>
    <t>CFK-CB01_GR</t>
  </si>
  <si>
    <t>CFSS-TM11_NT</t>
  </si>
  <si>
    <t>CFSS-TM11_WT</t>
  </si>
  <si>
    <t>CFQ-TM11_NT</t>
  </si>
  <si>
    <t>CFQ-TM11_WT</t>
  </si>
  <si>
    <t>CFK-TM11_NT</t>
  </si>
  <si>
    <t>CFK-TM11_WT</t>
  </si>
  <si>
    <t>CFSS-F04_GR</t>
  </si>
  <si>
    <t>CFSS-F04_BG</t>
  </si>
  <si>
    <t>CFQ-F04_GR</t>
  </si>
  <si>
    <t>CFQ-F04_BG</t>
  </si>
  <si>
    <t>CFK-F04_GR</t>
  </si>
  <si>
    <t>CFK-F04_BG</t>
  </si>
  <si>
    <t>CFLK-F04_GR</t>
  </si>
  <si>
    <t>CFLK-F04_BG</t>
  </si>
  <si>
    <t>CFLK-TM12_BG</t>
  </si>
  <si>
    <t>CFLK-TM12_GR</t>
  </si>
  <si>
    <t>CFK-TM12_BG</t>
  </si>
  <si>
    <t>CFK-TM12_GR</t>
  </si>
  <si>
    <t>CFQ-TM12_BG</t>
  </si>
  <si>
    <t>CFQ-TM12_GR</t>
  </si>
  <si>
    <t>CFQ-TM12_RD</t>
  </si>
  <si>
    <t>CFSS-TM12_BG</t>
  </si>
  <si>
    <t>CFSS-TM12_GR</t>
  </si>
  <si>
    <t>CFS-SB01_BG</t>
  </si>
  <si>
    <t>CFSS-SB01_BG</t>
  </si>
  <si>
    <t>CFSS-SB01_PK</t>
  </si>
  <si>
    <t>CFSS-SB01_BU</t>
  </si>
  <si>
    <t>CFQ-SB01_BG</t>
  </si>
  <si>
    <t>CFLK-CB04_GR/HB</t>
  </si>
  <si>
    <t>CFLK-CB04_BK/HB</t>
  </si>
  <si>
    <t>CFLK-CB04_GR/GC</t>
  </si>
  <si>
    <t>CFK-CB04_GR/HB</t>
  </si>
  <si>
    <t>CFK-CB04_BK/HB</t>
  </si>
  <si>
    <t>CFK-CB04_GR/GC</t>
  </si>
  <si>
    <t>CFQ-CB04_GR/HB</t>
  </si>
  <si>
    <t>CFQ-CB04_BK/HB</t>
  </si>
  <si>
    <t>CFQ-CB04_GR/GC</t>
  </si>
  <si>
    <t>CFSS-CB03_IV</t>
  </si>
  <si>
    <t>CFSS-CB03_GR</t>
  </si>
  <si>
    <t>CFSS-CB03_PK</t>
  </si>
  <si>
    <t>CFQ-CB03_IV</t>
  </si>
  <si>
    <t>CFQ-CB03_GR</t>
  </si>
  <si>
    <t>CFQ-CB03_PK</t>
  </si>
  <si>
    <t>CFK-CB03_IV</t>
  </si>
  <si>
    <t>CFK-CB03_GR</t>
  </si>
  <si>
    <t>CFK-CB03_PK</t>
  </si>
  <si>
    <t>FAD-01S</t>
  </si>
  <si>
    <t>FAD-02S</t>
  </si>
  <si>
    <t>제품군</t>
  </si>
  <si>
    <t>제품코드</t>
  </si>
  <si>
    <t>제품명</t>
  </si>
  <si>
    <t>점검주기</t>
  </si>
  <si>
    <t>2M(2개월점검주기)</t>
  </si>
  <si>
    <t>4M(4개월점검주기)</t>
  </si>
  <si>
    <t>6M(6개월점검주기)</t>
  </si>
  <si>
    <t>12M(12개월점검주기)</t>
  </si>
  <si>
    <t>1M(1개월점검주기)</t>
  </si>
  <si>
    <t>1회서비스</t>
  </si>
  <si>
    <t>렌탈료소유권</t>
  </si>
  <si>
    <t>리스구분</t>
  </si>
  <si>
    <t>CHPI-7400N_V2_BU</t>
  </si>
  <si>
    <t>CHPI-7400N_V2_GR</t>
  </si>
  <si>
    <t>CHPI-7400N_V2_PK</t>
  </si>
  <si>
    <t>CHPI-7400N_V2_WT</t>
  </si>
  <si>
    <t>CPI-7400N_V2_BU</t>
  </si>
  <si>
    <t>CPI-7400N_V2_GR</t>
  </si>
  <si>
    <t>CPI-7400N_V2_PK</t>
  </si>
  <si>
    <t>CPI-7400N_V2_WT</t>
  </si>
  <si>
    <t>AP-1225</t>
  </si>
  <si>
    <t>AP-3024H_WH</t>
  </si>
  <si>
    <t>CMQ-SC04</t>
  </si>
  <si>
    <t>CMSS-SC04</t>
  </si>
  <si>
    <t xml:space="preserve"> CFSS-TM10G</t>
  </si>
  <si>
    <t xml:space="preserve"> CFK-FP01S_BG</t>
  </si>
  <si>
    <t>CMLK-PR04H_V2</t>
  </si>
  <si>
    <t>CMLK-PR04M_V2</t>
  </si>
  <si>
    <t>※ 제품군, 약정기간별 수수료 리스트</t>
    <phoneticPr fontId="1" type="noConversion"/>
  </si>
  <si>
    <t>마케팅네임</t>
    <phoneticPr fontId="1" type="noConversion"/>
  </si>
  <si>
    <t>렌탈영업수수료(DS)</t>
    <phoneticPr fontId="1" type="noConversion"/>
  </si>
  <si>
    <t>청정기_리퍼브</t>
  </si>
  <si>
    <t>정수기_리퍼브</t>
  </si>
  <si>
    <t>비데_리퍼브</t>
  </si>
  <si>
    <t>매트리스_리퍼브</t>
  </si>
  <si>
    <t>아이콘2.0</t>
  </si>
  <si>
    <t>행 레이블</t>
  </si>
  <si>
    <t>의류청정기</t>
  </si>
  <si>
    <t>전기레인지</t>
  </si>
  <si>
    <t>프레임</t>
  </si>
  <si>
    <t>힐링케어</t>
  </si>
  <si>
    <t>총합계</t>
  </si>
  <si>
    <t>더블사이드</t>
  </si>
  <si>
    <t>더블체인지</t>
  </si>
  <si>
    <t>메모리폼 매트리스</t>
  </si>
  <si>
    <t>스마트매트리스</t>
  </si>
  <si>
    <t>스마트매트리스(구)</t>
  </si>
  <si>
    <t>시그니처</t>
  </si>
  <si>
    <t>시그니처 컴포트</t>
  </si>
  <si>
    <t>엘리트</t>
  </si>
  <si>
    <t>원바디2</t>
  </si>
  <si>
    <t>프라임 매트리스</t>
  </si>
  <si>
    <t>프라임 플러스2</t>
  </si>
  <si>
    <t>프라임S</t>
  </si>
  <si>
    <t>프라임플러스 커버형</t>
  </si>
  <si>
    <t>하이브리드2</t>
  </si>
  <si>
    <t>하이브리드3</t>
  </si>
  <si>
    <t>하이브리드4</t>
  </si>
  <si>
    <t>더블케어</t>
  </si>
  <si>
    <t>더블케어플러스</t>
  </si>
  <si>
    <t>스스로케어 리모트</t>
  </si>
  <si>
    <t>스스로케어 리모트2</t>
  </si>
  <si>
    <t>스스로케어(일반)</t>
  </si>
  <si>
    <t>스스로케어(저수압)</t>
  </si>
  <si>
    <t>스타일케어</t>
  </si>
  <si>
    <t>프라임 비데</t>
  </si>
  <si>
    <t>프라임 비데(단체)</t>
  </si>
  <si>
    <t>스킨플러스</t>
  </si>
  <si>
    <t>더블케어 의류청정기</t>
  </si>
  <si>
    <t>W 인덕션</t>
  </si>
  <si>
    <t>노블인덕션</t>
  </si>
  <si>
    <t>프라임 인덕션</t>
  </si>
  <si>
    <t>프라임 하이브리드</t>
  </si>
  <si>
    <t>프라임S 인덕션</t>
  </si>
  <si>
    <t>프라임S 하이라이트</t>
  </si>
  <si>
    <t>프라임S 하이브리드</t>
  </si>
  <si>
    <t>AIS 3.0</t>
  </si>
  <si>
    <t>AIS 3.0 스파클링</t>
  </si>
  <si>
    <t>RO직수 스탠드</t>
  </si>
  <si>
    <t>나노직수 미니</t>
  </si>
  <si>
    <t>노블 빌트인</t>
  </si>
  <si>
    <t>노블 정수기 RO</t>
  </si>
  <si>
    <t>노블 정수기 가로</t>
  </si>
  <si>
    <t>노블 정수기 세로</t>
  </si>
  <si>
    <t>빌트인 정수기</t>
  </si>
  <si>
    <t>스위치</t>
  </si>
  <si>
    <t>스탠드 정수기</t>
  </si>
  <si>
    <t>아이스 스탠드</t>
  </si>
  <si>
    <t>아이스 스탠드 슬림</t>
  </si>
  <si>
    <t>아이콘 스탠드</t>
  </si>
  <si>
    <t>아이콘 프로</t>
  </si>
  <si>
    <t>아이콘얼음정수기</t>
  </si>
  <si>
    <t>얼음정수기 RO</t>
  </si>
  <si>
    <t>엘리트 빌트인</t>
  </si>
  <si>
    <t>엘리트 정수기</t>
  </si>
  <si>
    <t>워터스탠드2</t>
  </si>
  <si>
    <t>프라임 1.0</t>
  </si>
  <si>
    <t>프라임 베이직</t>
  </si>
  <si>
    <t>프라임 스탠드</t>
  </si>
  <si>
    <t>프라임 아이스 맥스</t>
  </si>
  <si>
    <t>노블 제습기</t>
  </si>
  <si>
    <t>노블청정기</t>
  </si>
  <si>
    <t>듀얼클린 가습</t>
  </si>
  <si>
    <t>벽걸이</t>
  </si>
  <si>
    <t>아이콘 공기청정기</t>
  </si>
  <si>
    <t>콰트로 파워</t>
  </si>
  <si>
    <t>파워업</t>
  </si>
  <si>
    <t>그레이스 프레임</t>
  </si>
  <si>
    <t>단매트리스 프레임</t>
  </si>
  <si>
    <t>마이프레임</t>
  </si>
  <si>
    <t>마이프레임(사이드)</t>
  </si>
  <si>
    <t>모던어반프레임</t>
  </si>
  <si>
    <t>볼륨 프레임</t>
  </si>
  <si>
    <t>소프트 쿠션프레임</t>
  </si>
  <si>
    <t>수납형 프레임</t>
  </si>
  <si>
    <t>싱글프레임</t>
  </si>
  <si>
    <t>우디 프레임</t>
  </si>
  <si>
    <t>원목 쿠션 프레임</t>
  </si>
  <si>
    <t>원목 프레임</t>
  </si>
  <si>
    <t>저상형 싱글 프레임</t>
  </si>
  <si>
    <t>컴포트 프레임</t>
  </si>
  <si>
    <t>파운데이션</t>
  </si>
  <si>
    <t>패밀리프레임</t>
  </si>
  <si>
    <t>리클라이닝 안마베드</t>
  </si>
  <si>
    <t>리클라이닝 척추베드</t>
  </si>
  <si>
    <t>마인</t>
  </si>
  <si>
    <t>마인플러스</t>
  </si>
  <si>
    <t>안마베드</t>
  </si>
  <si>
    <t>척추베드</t>
  </si>
  <si>
    <t>트리플체어</t>
  </si>
  <si>
    <t>페블체어</t>
  </si>
  <si>
    <t>CHP-5710L-RA</t>
  </si>
  <si>
    <t>CHP-7211N-RA</t>
  </si>
  <si>
    <t>MC-B02_GR</t>
  </si>
  <si>
    <t>MC-B03_BG</t>
  </si>
  <si>
    <t>MC-B03_BK</t>
  </si>
  <si>
    <t>MC-B03_BR</t>
  </si>
  <si>
    <t>MC-B03_GR</t>
  </si>
  <si>
    <t>CHP-6310L</t>
  </si>
  <si>
    <t>CP-6310L</t>
  </si>
  <si>
    <t>MC-R01M_BG</t>
  </si>
  <si>
    <t>MC-R01M_OR</t>
  </si>
  <si>
    <t>MC-R01M_RD</t>
  </si>
  <si>
    <t>MC-R01M_BR</t>
  </si>
  <si>
    <t>MC-R01M_BK</t>
  </si>
  <si>
    <t>렌탈영업수수료</t>
    <phoneticPr fontId="1" type="noConversion"/>
  </si>
  <si>
    <t>트리플체어(바퀴형)</t>
  </si>
  <si>
    <t>프라임 2.0</t>
  </si>
  <si>
    <t>방문관리(선택)</t>
  </si>
  <si>
    <t>제습기</t>
  </si>
  <si>
    <t>AD-2325C</t>
  </si>
  <si>
    <t>APD-1025E_BG</t>
  </si>
  <si>
    <t>APD-1025E_GR</t>
  </si>
  <si>
    <t>APD-1025E_WT</t>
  </si>
  <si>
    <t>제습기</t>
    <phoneticPr fontId="1" type="noConversion"/>
  </si>
  <si>
    <t>※ 업데이트 사항</t>
    <phoneticPr fontId="1" type="noConversion"/>
  </si>
  <si>
    <t>① 신규렌탈</t>
    <phoneticPr fontId="1" type="noConversion"/>
  </si>
  <si>
    <t xml:space="preserve"> : 제품별 렌탈영업 수수료 X 단체할인 구간에 따른 수수료 지급률</t>
    <phoneticPr fontId="1" type="noConversion"/>
  </si>
  <si>
    <t>② 재렌탈</t>
    <phoneticPr fontId="1" type="noConversion"/>
  </si>
  <si>
    <t xml:space="preserve"> : 제품별 재렌탈 수수료(제품별 렌탈영업수수료 X 12%) X 단체할인 구간에 따른 수수료 지급률 </t>
    <phoneticPr fontId="1" type="noConversion"/>
  </si>
  <si>
    <t>베이직케어(4M)</t>
  </si>
  <si>
    <t>베이직케어(6M)</t>
  </si>
  <si>
    <t>제습청정기</t>
  </si>
  <si>
    <t>정상가</t>
    <phoneticPr fontId="1" type="noConversion"/>
  </si>
  <si>
    <t>약정할인가</t>
    <phoneticPr fontId="1" type="noConversion"/>
  </si>
  <si>
    <t>CHPI-620L</t>
    <phoneticPr fontId="1" type="noConversion"/>
  </si>
  <si>
    <t>CHPI-5801L</t>
    <phoneticPr fontId="1" type="noConversion"/>
  </si>
  <si>
    <t>CHP-3140N</t>
    <phoneticPr fontId="1" type="noConversion"/>
  </si>
  <si>
    <t>CP-3140N</t>
    <phoneticPr fontId="1" type="noConversion"/>
  </si>
  <si>
    <t>CHP-8200N</t>
    <phoneticPr fontId="1" type="noConversion"/>
  </si>
  <si>
    <t>CP-8200N</t>
    <phoneticPr fontId="1" type="noConversion"/>
  </si>
  <si>
    <t>CHP-5610N</t>
    <phoneticPr fontId="1" type="noConversion"/>
  </si>
  <si>
    <t>CHP-8310L</t>
    <phoneticPr fontId="1" type="noConversion"/>
  </si>
  <si>
    <t>CP-8310L</t>
    <phoneticPr fontId="1" type="noConversion"/>
  </si>
  <si>
    <t>P-350N</t>
    <phoneticPr fontId="1" type="noConversion"/>
  </si>
  <si>
    <t>CHPI-7400N</t>
    <phoneticPr fontId="1" type="noConversion"/>
  </si>
  <si>
    <t>CPI-7400N</t>
    <phoneticPr fontId="1" type="noConversion"/>
  </si>
  <si>
    <t>CHP-7211N</t>
    <phoneticPr fontId="1" type="noConversion"/>
  </si>
  <si>
    <t>CP-7211N</t>
    <phoneticPr fontId="1" type="noConversion"/>
  </si>
  <si>
    <t>AP-1019D</t>
    <phoneticPr fontId="1" type="noConversion"/>
  </si>
  <si>
    <t>AP-3021D</t>
    <phoneticPr fontId="1" type="noConversion"/>
  </si>
  <si>
    <t>AP-2023K</t>
    <phoneticPr fontId="1" type="noConversion"/>
  </si>
  <si>
    <t>AP-1623M</t>
    <phoneticPr fontId="1" type="noConversion"/>
  </si>
  <si>
    <t>AP-3024H</t>
    <phoneticPr fontId="1" type="noConversion"/>
  </si>
  <si>
    <t>AP-4025D</t>
    <phoneticPr fontId="1" type="noConversion"/>
  </si>
  <si>
    <t>BB16-A</t>
    <phoneticPr fontId="1" type="noConversion"/>
  </si>
  <si>
    <t>BB17-A</t>
    <phoneticPr fontId="1" type="noConversion"/>
  </si>
  <si>
    <t>BAS41-A</t>
    <phoneticPr fontId="1" type="noConversion"/>
  </si>
  <si>
    <t>MC-SC01</t>
    <phoneticPr fontId="1" type="noConversion"/>
  </si>
  <si>
    <t>MC-C01</t>
    <phoneticPr fontId="1" type="noConversion"/>
  </si>
  <si>
    <t>MB-B01</t>
    <phoneticPr fontId="1" type="noConversion"/>
  </si>
  <si>
    <t>MB-C01</t>
    <phoneticPr fontId="1" type="noConversion"/>
  </si>
  <si>
    <t>MC-B02</t>
    <phoneticPr fontId="1" type="noConversion"/>
  </si>
  <si>
    <t>MB-M02</t>
    <phoneticPr fontId="1" type="noConversion"/>
  </si>
  <si>
    <t>MB-R02</t>
    <phoneticPr fontId="1" type="noConversion"/>
  </si>
  <si>
    <t>MC-B03</t>
    <phoneticPr fontId="1" type="noConversion"/>
  </si>
  <si>
    <t>MC-R01</t>
    <phoneticPr fontId="1" type="noConversion"/>
  </si>
  <si>
    <t>MC-R01M</t>
    <phoneticPr fontId="1" type="noConversion"/>
  </si>
  <si>
    <t>CIR-F60</t>
    <phoneticPr fontId="1" type="noConversion"/>
  </si>
  <si>
    <t>CIR-F41</t>
    <phoneticPr fontId="1" type="noConversion"/>
  </si>
  <si>
    <t>CIP-30W</t>
    <phoneticPr fontId="1" type="noConversion"/>
  </si>
  <si>
    <t>CMK-S03H/M</t>
    <phoneticPr fontId="1" type="noConversion"/>
  </si>
  <si>
    <t>CMQ-S03H/M</t>
    <phoneticPr fontId="1" type="noConversion"/>
  </si>
  <si>
    <t>CMSS-S03H/M</t>
    <phoneticPr fontId="1" type="noConversion"/>
  </si>
  <si>
    <t>CMLK-S03H/M</t>
    <phoneticPr fontId="1" type="noConversion"/>
  </si>
  <si>
    <t>CMK-PR04H/M</t>
    <phoneticPr fontId="1" type="noConversion"/>
  </si>
  <si>
    <t>CMQ-PR04H/M</t>
    <phoneticPr fontId="1" type="noConversion"/>
  </si>
  <si>
    <t>CMSS-PR04H/M</t>
    <phoneticPr fontId="1" type="noConversion"/>
  </si>
  <si>
    <t>CMQ-OB03</t>
    <phoneticPr fontId="1" type="noConversion"/>
  </si>
  <si>
    <t>CMSS-OB03</t>
    <phoneticPr fontId="1" type="noConversion"/>
  </si>
  <si>
    <t>CMLK-AS05</t>
    <phoneticPr fontId="1" type="noConversion"/>
  </si>
  <si>
    <t>CMK-AS05</t>
    <phoneticPr fontId="1" type="noConversion"/>
  </si>
  <si>
    <t>CMQ-AS05</t>
    <phoneticPr fontId="1" type="noConversion"/>
  </si>
  <si>
    <t>CMSS-AS05</t>
    <phoneticPr fontId="1" type="noConversion"/>
  </si>
  <si>
    <t>CMLK-AS04</t>
    <phoneticPr fontId="1" type="noConversion"/>
  </si>
  <si>
    <t>CMK-AS04</t>
    <phoneticPr fontId="1" type="noConversion"/>
  </si>
  <si>
    <t>CMQ-AS04</t>
    <phoneticPr fontId="1" type="noConversion"/>
  </si>
  <si>
    <t>CMSS-AS04</t>
    <phoneticPr fontId="1" type="noConversion"/>
  </si>
  <si>
    <t>CFLK-CB04</t>
    <phoneticPr fontId="1" type="noConversion"/>
  </si>
  <si>
    <t>CFK-CB04</t>
    <phoneticPr fontId="1" type="noConversion"/>
  </si>
  <si>
    <t>CFQ-CB04</t>
    <phoneticPr fontId="1" type="noConversion"/>
  </si>
  <si>
    <t>CFK-F02B</t>
    <phoneticPr fontId="1" type="noConversion"/>
  </si>
  <si>
    <t>CFQ-TM10C/G</t>
    <phoneticPr fontId="1" type="noConversion"/>
  </si>
  <si>
    <t>CFK-TM09N/W</t>
    <phoneticPr fontId="1" type="noConversion"/>
  </si>
  <si>
    <t>CFQ-TM09N/W</t>
    <phoneticPr fontId="1" type="noConversion"/>
  </si>
  <si>
    <t>CFSS-TM10C/G</t>
    <phoneticPr fontId="1" type="noConversion"/>
  </si>
  <si>
    <t>CFSS-TM09N/W</t>
    <phoneticPr fontId="1" type="noConversion"/>
  </si>
  <si>
    <t>CFSS-FP01</t>
    <phoneticPr fontId="1" type="noConversion"/>
  </si>
  <si>
    <t>CFSS-FP02</t>
    <phoneticPr fontId="1" type="noConversion"/>
  </si>
  <si>
    <t>CFSS-FP01S</t>
    <phoneticPr fontId="1" type="noConversion"/>
  </si>
  <si>
    <t>CFSS-FP02S</t>
    <phoneticPr fontId="1" type="noConversion"/>
  </si>
  <si>
    <t>CFQ-FP01</t>
    <phoneticPr fontId="1" type="noConversion"/>
  </si>
  <si>
    <t>CFQ-FP02</t>
    <phoneticPr fontId="1" type="noConversion"/>
  </si>
  <si>
    <t>CFQ-FP01S</t>
    <phoneticPr fontId="1" type="noConversion"/>
  </si>
  <si>
    <t>CFQ-FP02S</t>
    <phoneticPr fontId="1" type="noConversion"/>
  </si>
  <si>
    <t>CFK-FP01</t>
    <phoneticPr fontId="1" type="noConversion"/>
  </si>
  <si>
    <t>CFK-FP02</t>
    <phoneticPr fontId="1" type="noConversion"/>
  </si>
  <si>
    <t xml:space="preserve"> CFK-FP01S</t>
    <phoneticPr fontId="1" type="noConversion"/>
  </si>
  <si>
    <t>CFK-FP02S</t>
    <phoneticPr fontId="1" type="noConversion"/>
  </si>
  <si>
    <t>APD-1025E</t>
    <phoneticPr fontId="1" type="noConversion"/>
  </si>
  <si>
    <t>CHP-7212N</t>
    <phoneticPr fontId="1" type="noConversion"/>
  </si>
  <si>
    <t>CHP-1111N</t>
    <phoneticPr fontId="1" type="noConversion"/>
  </si>
  <si>
    <t>CHP-1112N</t>
    <phoneticPr fontId="1" type="noConversion"/>
  </si>
  <si>
    <t>AP-3525I</t>
    <phoneticPr fontId="1" type="noConversion"/>
  </si>
  <si>
    <t>CMLK-PR04H/M</t>
    <phoneticPr fontId="1" type="noConversion"/>
  </si>
  <si>
    <t>P-2200N</t>
    <phoneticPr fontId="1" type="noConversion"/>
  </si>
  <si>
    <t>CHPI-7521L</t>
    <phoneticPr fontId="1" type="noConversion"/>
  </si>
  <si>
    <t xml:space="preserve">  ■  DS대리점 제품별 렌탈영업수수료 조견표(간소화)</t>
    <phoneticPr fontId="1" type="noConversion"/>
  </si>
  <si>
    <t>제품군</t>
    <phoneticPr fontId="1" type="noConversion"/>
  </si>
  <si>
    <t>아이콘얼음 스탠다드</t>
  </si>
  <si>
    <t>CHPI-7410N</t>
    <phoneticPr fontId="1" type="noConversion"/>
  </si>
  <si>
    <t>CPI-7410N</t>
    <phoneticPr fontId="1" type="noConversion"/>
  </si>
  <si>
    <t>CFSS-CB01</t>
    <phoneticPr fontId="1" type="noConversion"/>
  </si>
  <si>
    <t>CFQ-CB01</t>
    <phoneticPr fontId="1" type="noConversion"/>
  </si>
  <si>
    <t>CFK-CB01</t>
    <phoneticPr fontId="1" type="noConversion"/>
  </si>
  <si>
    <t>CFSS-TM11</t>
    <phoneticPr fontId="1" type="noConversion"/>
  </si>
  <si>
    <t>CFQ-TM11</t>
    <phoneticPr fontId="1" type="noConversion"/>
  </si>
  <si>
    <t>CFK-TM11</t>
    <phoneticPr fontId="1" type="noConversion"/>
  </si>
  <si>
    <t>CFSS-F04</t>
    <phoneticPr fontId="1" type="noConversion"/>
  </si>
  <si>
    <t>CFQ-F04</t>
    <phoneticPr fontId="1" type="noConversion"/>
  </si>
  <si>
    <t>CFK-F04</t>
    <phoneticPr fontId="1" type="noConversion"/>
  </si>
  <si>
    <t>CFLK-F04</t>
    <phoneticPr fontId="1" type="noConversion"/>
  </si>
  <si>
    <t>CFLK-TM12</t>
    <phoneticPr fontId="1" type="noConversion"/>
  </si>
  <si>
    <t>CFK-TM12</t>
    <phoneticPr fontId="1" type="noConversion"/>
  </si>
  <si>
    <t>CFQ-TM12</t>
    <phoneticPr fontId="1" type="noConversion"/>
  </si>
  <si>
    <t>CFSS-TM12</t>
    <phoneticPr fontId="1" type="noConversion"/>
  </si>
  <si>
    <t>CFSS-CB03</t>
    <phoneticPr fontId="1" type="noConversion"/>
  </si>
  <si>
    <t>CFQ-CB03</t>
    <phoneticPr fontId="1" type="noConversion"/>
  </si>
  <si>
    <t>CFK-CB03</t>
    <phoneticPr fontId="1" type="noConversion"/>
  </si>
  <si>
    <t>CFQ-SB01</t>
    <phoneticPr fontId="1" type="noConversion"/>
  </si>
  <si>
    <t>CFSS-SB01</t>
    <phoneticPr fontId="1" type="noConversion"/>
  </si>
  <si>
    <t>CFS-SB01</t>
    <phoneticPr fontId="1" type="noConversion"/>
  </si>
  <si>
    <t>구분</t>
    <phoneticPr fontId="1" type="noConversion"/>
  </si>
  <si>
    <t>방문</t>
    <phoneticPr fontId="1" type="noConversion"/>
  </si>
  <si>
    <t>자가</t>
    <phoneticPr fontId="1" type="noConversion"/>
  </si>
  <si>
    <t>3년약정/방문</t>
  </si>
  <si>
    <t>5년약정/방문</t>
  </si>
  <si>
    <t>6년약정/방문</t>
  </si>
  <si>
    <t>7년약정/방문</t>
  </si>
  <si>
    <t>3년약정/자가</t>
  </si>
  <si>
    <t>5년약정/자가</t>
  </si>
  <si>
    <t>6년약정/자가</t>
  </si>
  <si>
    <t>7년약정/자가</t>
  </si>
  <si>
    <t>타사보상</t>
    <phoneticPr fontId="1" type="noConversion"/>
  </si>
  <si>
    <t>기능군</t>
    <phoneticPr fontId="1" type="noConversion"/>
  </si>
  <si>
    <t>아이콘 프로</t>
    <phoneticPr fontId="1" type="noConversion"/>
  </si>
  <si>
    <t>냉온정수기
(CHP-7212)</t>
    <phoneticPr fontId="1" type="noConversion"/>
  </si>
  <si>
    <t>얼음정수기
(CHPI-7400)</t>
    <phoneticPr fontId="1" type="noConversion"/>
  </si>
  <si>
    <t>얼음정수기
(CPI-7400)</t>
    <phoneticPr fontId="1" type="noConversion"/>
  </si>
  <si>
    <t>방문 4개월
자가 6개월</t>
    <phoneticPr fontId="1" type="noConversion"/>
  </si>
  <si>
    <t>방문 2개월</t>
    <phoneticPr fontId="1" type="noConversion"/>
  </si>
  <si>
    <t>방문 4개월</t>
    <phoneticPr fontId="1" type="noConversion"/>
  </si>
  <si>
    <t>아이콘 얼음 스탠다드</t>
    <phoneticPr fontId="1" type="noConversion"/>
  </si>
  <si>
    <t>얼음정수기
(CHPI-7410)</t>
    <phoneticPr fontId="1" type="noConversion"/>
  </si>
  <si>
    <t>얼음정수기
(CPI-7410)</t>
    <phoneticPr fontId="1" type="noConversion"/>
  </si>
  <si>
    <t>얼음 RO</t>
    <phoneticPr fontId="1" type="noConversion"/>
  </si>
  <si>
    <t>AIS 3.0</t>
    <phoneticPr fontId="1" type="noConversion"/>
  </si>
  <si>
    <t>얼음정수기
(CHPI-7521)</t>
    <phoneticPr fontId="1" type="noConversion"/>
  </si>
  <si>
    <t>얼음정수기
(CHPI-7511)</t>
    <phoneticPr fontId="1" type="noConversion"/>
  </si>
  <si>
    <t>얼음정수기
(CPI-7511)</t>
    <phoneticPr fontId="1" type="noConversion"/>
  </si>
  <si>
    <t>스위치</t>
    <phoneticPr fontId="1" type="noConversion"/>
  </si>
  <si>
    <t>일반정수기
(P-2200N)</t>
    <phoneticPr fontId="1" type="noConversion"/>
  </si>
  <si>
    <t>방문 6개월</t>
    <phoneticPr fontId="1" type="noConversion"/>
  </si>
  <si>
    <t>불가</t>
    <phoneticPr fontId="1" type="noConversion"/>
  </si>
  <si>
    <t>일반청정기
(AP-1623M)</t>
    <phoneticPr fontId="1" type="noConversion"/>
  </si>
  <si>
    <t>일반청정기
(AP-2023K)</t>
    <phoneticPr fontId="1" type="noConversion"/>
  </si>
  <si>
    <t>일반청정기
(AP-3024H)</t>
    <phoneticPr fontId="1" type="noConversion"/>
  </si>
  <si>
    <t>일반청정기
(AP-4025D)</t>
    <phoneticPr fontId="1" type="noConversion"/>
  </si>
  <si>
    <t>노블청정기2</t>
    <phoneticPr fontId="1" type="noConversion"/>
  </si>
  <si>
    <t>멀티액션 공기청정기2</t>
    <phoneticPr fontId="1" type="noConversion"/>
  </si>
  <si>
    <t>일반청정기
(AP-1523D)</t>
    <phoneticPr fontId="1" type="noConversion"/>
  </si>
  <si>
    <t>멀티액션</t>
  </si>
  <si>
    <t>싱글파워</t>
  </si>
  <si>
    <t>싱글파워</t>
    <phoneticPr fontId="1" type="noConversion"/>
  </si>
  <si>
    <t>일반청정기
(AP-1023F)</t>
    <phoneticPr fontId="1" type="noConversion"/>
  </si>
  <si>
    <t>듀얼클린 제습</t>
  </si>
  <si>
    <t>노블 제습기</t>
    <phoneticPr fontId="1" type="noConversion"/>
  </si>
  <si>
    <t>노블 제습청정기</t>
    <phoneticPr fontId="1" type="noConversion"/>
  </si>
  <si>
    <t>제습청정기
(AP-1025E)</t>
    <phoneticPr fontId="1" type="noConversion"/>
  </si>
  <si>
    <t>더블케어 비데2</t>
    <phoneticPr fontId="1" type="noConversion"/>
  </si>
  <si>
    <t>제습기
(AD-1221E)</t>
    <phoneticPr fontId="1" type="noConversion"/>
  </si>
  <si>
    <t>방문(선택)</t>
    <phoneticPr fontId="1" type="noConversion"/>
  </si>
  <si>
    <t>살균비데
(BAS37-C)</t>
    <phoneticPr fontId="1" type="noConversion"/>
  </si>
  <si>
    <t>더블케어 플러스 비데2</t>
    <phoneticPr fontId="1" type="noConversion"/>
  </si>
  <si>
    <t>살균비데
(BAS38-C)</t>
    <phoneticPr fontId="1" type="noConversion"/>
  </si>
  <si>
    <t>스스로케어 비데</t>
    <phoneticPr fontId="1" type="noConversion"/>
  </si>
  <si>
    <t>살균비데
(BAS41-A)</t>
    <phoneticPr fontId="1" type="noConversion"/>
  </si>
  <si>
    <t>살균비데
(BAS40-A)</t>
    <phoneticPr fontId="1" type="noConversion"/>
  </si>
  <si>
    <t>프라임 비데</t>
    <phoneticPr fontId="1" type="noConversion"/>
  </si>
  <si>
    <t>일반비데
(BA36-B)</t>
    <phoneticPr fontId="1" type="noConversion"/>
  </si>
  <si>
    <t>1. 정수기(주요제품/데스크탑)</t>
    <phoneticPr fontId="1" type="noConversion"/>
  </si>
  <si>
    <t>AIS 3.0 스파클링</t>
    <phoneticPr fontId="1" type="noConversion"/>
  </si>
  <si>
    <t>얼음정수기
(CPSI-8510)</t>
    <phoneticPr fontId="1" type="noConversion"/>
  </si>
  <si>
    <t>엘리트 빌트인</t>
    <phoneticPr fontId="1" type="noConversion"/>
  </si>
  <si>
    <t>냉온정수기
(CHP-1111/2)</t>
    <phoneticPr fontId="1" type="noConversion"/>
  </si>
  <si>
    <t>엘리트 정수기</t>
    <phoneticPr fontId="1" type="noConversion"/>
  </si>
  <si>
    <t>냉온정수기
(CHP-6340)</t>
    <phoneticPr fontId="1" type="noConversion"/>
  </si>
  <si>
    <t>냉정수기
(CP-6340)</t>
    <phoneticPr fontId="1" type="noConversion"/>
  </si>
  <si>
    <t>프라임 1.0</t>
    <phoneticPr fontId="1" type="noConversion"/>
  </si>
  <si>
    <t>냉온정수기
(CHP-264)</t>
    <phoneticPr fontId="1" type="noConversion"/>
  </si>
  <si>
    <t>프라임 베이직</t>
    <phoneticPr fontId="1" type="noConversion"/>
  </si>
  <si>
    <t>빌트인 정수기</t>
    <phoneticPr fontId="1" type="noConversion"/>
  </si>
  <si>
    <t>일반정수기
(P-150)</t>
    <phoneticPr fontId="1" type="noConversion"/>
  </si>
  <si>
    <t>나노직수 미니</t>
    <phoneticPr fontId="1" type="noConversion"/>
  </si>
  <si>
    <t>일반정수기
(P-350)</t>
    <phoneticPr fontId="1" type="noConversion"/>
  </si>
  <si>
    <t>워터 스탠드2</t>
    <phoneticPr fontId="1" type="noConversion"/>
  </si>
  <si>
    <t>냉온정수기
(CHP-5711R)</t>
  </si>
  <si>
    <t>냉온정수기
(CHP-5711R)</t>
    <phoneticPr fontId="1" type="noConversion"/>
  </si>
  <si>
    <t>냉온정수기
(CHP-5711L)</t>
  </si>
  <si>
    <t>냉온정수기
(CHP-5711L)</t>
    <phoneticPr fontId="1" type="noConversion"/>
  </si>
  <si>
    <t>프라임 스탠드</t>
    <phoneticPr fontId="1" type="noConversion"/>
  </si>
  <si>
    <t>냉온정수기
(CHP-5720)</t>
    <phoneticPr fontId="1" type="noConversion"/>
  </si>
  <si>
    <t xml:space="preserve"> 방문 2개월</t>
    <phoneticPr fontId="1" type="noConversion"/>
  </si>
  <si>
    <t>프라임 아이스 맥스</t>
    <phoneticPr fontId="1" type="noConversion"/>
  </si>
  <si>
    <t>얼음정수기
(CHPI-5810)</t>
    <phoneticPr fontId="1" type="noConversion"/>
  </si>
  <si>
    <t>아이스스탠드</t>
    <phoneticPr fontId="1" type="noConversion"/>
  </si>
  <si>
    <t>얼음정수기
(CHPI-5801)</t>
    <phoneticPr fontId="1" type="noConversion"/>
  </si>
  <si>
    <t>아이스스탠드 슬림</t>
    <phoneticPr fontId="1" type="noConversion"/>
  </si>
  <si>
    <t>얼음정수기
(CHPI-620)</t>
    <phoneticPr fontId="1" type="noConversion"/>
  </si>
  <si>
    <t>2. 정수기(주요제품/빌트인)</t>
    <phoneticPr fontId="1" type="noConversion"/>
  </si>
  <si>
    <t>3. 정수기(주요제품/스탠드)</t>
    <phoneticPr fontId="1" type="noConversion"/>
  </si>
  <si>
    <t>냉온정수기
(CHP-5610)</t>
    <phoneticPr fontId="1" type="noConversion"/>
  </si>
  <si>
    <t>아이콘 스탠드</t>
    <phoneticPr fontId="1" type="noConversion"/>
  </si>
  <si>
    <t>스탠드 정수기</t>
    <phoneticPr fontId="1" type="noConversion"/>
  </si>
  <si>
    <t>RO직수 스탠드</t>
    <phoneticPr fontId="1" type="noConversion"/>
  </si>
  <si>
    <t xml:space="preserve"> 방문 2개월
(화이트)</t>
    <phoneticPr fontId="1" type="noConversion"/>
  </si>
  <si>
    <t>방문 2개월
(블랙)</t>
    <phoneticPr fontId="1" type="noConversion"/>
  </si>
  <si>
    <t>냉온정수기
(CHP-700)</t>
    <phoneticPr fontId="1" type="noConversion"/>
  </si>
  <si>
    <t>냉온정수기
(CHP-5700)</t>
    <phoneticPr fontId="1" type="noConversion"/>
  </si>
  <si>
    <t>스킨플러스(수전일체형)</t>
    <phoneticPr fontId="1" type="noConversion"/>
  </si>
  <si>
    <t>연수기
(BB17-A)</t>
    <phoneticPr fontId="1" type="noConversion"/>
  </si>
  <si>
    <t>연수기
(BB16-A)</t>
    <phoneticPr fontId="1" type="noConversion"/>
  </si>
  <si>
    <t>스킨플러스(일반형)</t>
    <phoneticPr fontId="1" type="noConversion"/>
  </si>
  <si>
    <t>연수기(BB15-A)</t>
    <phoneticPr fontId="1" type="noConversion"/>
  </si>
  <si>
    <t>프라임</t>
    <phoneticPr fontId="1" type="noConversion"/>
  </si>
  <si>
    <t>사이즈</t>
    <phoneticPr fontId="1" type="noConversion"/>
  </si>
  <si>
    <t>관리/약정기간</t>
    <phoneticPr fontId="1" type="noConversion"/>
  </si>
  <si>
    <t>라지킹
(CMLK-S03)</t>
    <phoneticPr fontId="1" type="noConversion"/>
  </si>
  <si>
    <t>토탈케어</t>
    <phoneticPr fontId="1" type="noConversion"/>
  </si>
  <si>
    <t>스페셜체인지</t>
    <phoneticPr fontId="1" type="noConversion"/>
  </si>
  <si>
    <t>베이직케어</t>
    <phoneticPr fontId="1" type="noConversion"/>
  </si>
  <si>
    <t>5년약정</t>
  </si>
  <si>
    <t>5년약정</t>
    <phoneticPr fontId="1" type="noConversion"/>
  </si>
  <si>
    <t>7년약정</t>
  </si>
  <si>
    <t>7년약정</t>
    <phoneticPr fontId="1" type="noConversion"/>
  </si>
  <si>
    <t>9년약정</t>
  </si>
  <si>
    <t>9년약정</t>
    <phoneticPr fontId="1" type="noConversion"/>
  </si>
  <si>
    <t>킹
(CMK-S03)</t>
    <phoneticPr fontId="1" type="noConversion"/>
  </si>
  <si>
    <t>퀸
(CMQ-S03)</t>
    <phoneticPr fontId="1" type="noConversion"/>
  </si>
  <si>
    <t>슈퍼싱글
(CMSS-S03)</t>
    <phoneticPr fontId="1" type="noConversion"/>
  </si>
  <si>
    <t>하이브리드4</t>
    <phoneticPr fontId="1" type="noConversion"/>
  </si>
  <si>
    <t>라지킹
(CMLK-PR04)</t>
    <phoneticPr fontId="1" type="noConversion"/>
  </si>
  <si>
    <t>킹
(CMK-PR04)</t>
    <phoneticPr fontId="1" type="noConversion"/>
  </si>
  <si>
    <t>퀸
(CMQ-PR04)</t>
    <phoneticPr fontId="1" type="noConversion"/>
  </si>
  <si>
    <t>슈퍼싱글
(CMSS-PR04)</t>
    <phoneticPr fontId="1" type="noConversion"/>
  </si>
  <si>
    <t>엘리트</t>
    <phoneticPr fontId="1" type="noConversion"/>
  </si>
  <si>
    <t>프라임 플러스 2</t>
    <phoneticPr fontId="1" type="noConversion"/>
  </si>
  <si>
    <t>CMQ-ST01EH</t>
    <phoneticPr fontId="1" type="noConversion"/>
  </si>
  <si>
    <t>퀸
(CMQ-ST01EH)</t>
    <phoneticPr fontId="1" type="noConversion"/>
  </si>
  <si>
    <t>슈퍼싱글
(CMSS-ST01EH)</t>
    <phoneticPr fontId="1" type="noConversion"/>
  </si>
  <si>
    <t>싱글
(CMS-ST01EH)</t>
    <phoneticPr fontId="1" type="noConversion"/>
  </si>
  <si>
    <t>4. 청정기(주요제품)</t>
    <phoneticPr fontId="1" type="noConversion"/>
  </si>
  <si>
    <t>5. 비데(주요제품)</t>
    <phoneticPr fontId="1" type="noConversion"/>
  </si>
  <si>
    <t>6. 연수기(주요제품)</t>
    <phoneticPr fontId="1" type="noConversion"/>
  </si>
  <si>
    <t>7. 매트리스(주요제품)</t>
    <phoneticPr fontId="1" type="noConversion"/>
  </si>
  <si>
    <t>8. 매트리스(주요제품)</t>
    <phoneticPr fontId="1" type="noConversion"/>
  </si>
  <si>
    <t>9. 프레임(주요제품)</t>
    <phoneticPr fontId="1" type="noConversion"/>
  </si>
  <si>
    <t>마이프레임 기본형</t>
    <phoneticPr fontId="1" type="noConversion"/>
  </si>
  <si>
    <t>마이프레임 사이드형</t>
    <phoneticPr fontId="1" type="noConversion"/>
  </si>
  <si>
    <t>킹
(CFK-FP01/02)</t>
    <phoneticPr fontId="1" type="noConversion"/>
  </si>
  <si>
    <t>서비스프리</t>
    <phoneticPr fontId="1" type="noConversion"/>
  </si>
  <si>
    <t>슈퍼싱글
(CFSS-FP01/02)</t>
    <phoneticPr fontId="1" type="noConversion"/>
  </si>
  <si>
    <t>킹
(CFK-FP01S/02S)</t>
    <phoneticPr fontId="1" type="noConversion"/>
  </si>
  <si>
    <t>슈퍼싱글
(CFSS-FP01S/02S)</t>
    <phoneticPr fontId="1" type="noConversion"/>
  </si>
  <si>
    <t>정수기</t>
    <phoneticPr fontId="1" type="noConversion"/>
  </si>
  <si>
    <t>아이콘얼음 미니</t>
    <phoneticPr fontId="1" type="noConversion"/>
  </si>
  <si>
    <t>CHPI-7430N</t>
    <phoneticPr fontId="1" type="noConversion"/>
  </si>
  <si>
    <t>아이콘 얼음 미니</t>
    <phoneticPr fontId="1" type="noConversion"/>
  </si>
  <si>
    <t>얼음정수기
(CHPI-7430)</t>
    <phoneticPr fontId="1" type="noConversion"/>
  </si>
  <si>
    <t>W 인덕션</t>
    <phoneticPr fontId="1" type="noConversion"/>
  </si>
  <si>
    <t>CER-04</t>
    <phoneticPr fontId="1" type="noConversion"/>
  </si>
  <si>
    <t>1회서비스</t>
    <phoneticPr fontId="1" type="noConversion"/>
  </si>
  <si>
    <t>노블인덕션</t>
    <phoneticPr fontId="1" type="noConversion"/>
  </si>
  <si>
    <t>프라임 인덕션</t>
    <phoneticPr fontId="1" type="noConversion"/>
  </si>
  <si>
    <t>NIP-31KE</t>
    <phoneticPr fontId="1" type="noConversion"/>
  </si>
  <si>
    <t>프라임 하이브리드</t>
    <phoneticPr fontId="1" type="noConversion"/>
  </si>
  <si>
    <t>프라임S 인덕션</t>
    <phoneticPr fontId="1" type="noConversion"/>
  </si>
  <si>
    <t>CIR-303</t>
    <phoneticPr fontId="1" type="noConversion"/>
  </si>
  <si>
    <t>프라임S 하이라이트</t>
    <phoneticPr fontId="1" type="noConversion"/>
  </si>
  <si>
    <t>프라임S 하이브리드</t>
    <phoneticPr fontId="1" type="noConversion"/>
  </si>
  <si>
    <t>CHR-04</t>
    <phoneticPr fontId="1" type="noConversion"/>
  </si>
  <si>
    <t>MB-M02</t>
  </si>
  <si>
    <t>MB-R02</t>
  </si>
  <si>
    <t>MC-B03</t>
  </si>
  <si>
    <t>MC-B02</t>
  </si>
  <si>
    <t>MC-SC01</t>
  </si>
  <si>
    <t>MB-B01</t>
  </si>
  <si>
    <t>MC-R01</t>
  </si>
  <si>
    <t>MC-R01M</t>
  </si>
  <si>
    <t>MC-C01</t>
  </si>
  <si>
    <t>척추베드</t>
    <phoneticPr fontId="1" type="noConversion"/>
  </si>
  <si>
    <t>시그니처</t>
    <phoneticPr fontId="1" type="noConversion"/>
  </si>
  <si>
    <t>마인</t>
    <phoneticPr fontId="1" type="noConversion"/>
  </si>
  <si>
    <t>마인플러스</t>
    <phoneticPr fontId="1" type="noConversion"/>
  </si>
  <si>
    <t>트리플체어</t>
    <phoneticPr fontId="1" type="noConversion"/>
  </si>
  <si>
    <t>페블체어</t>
    <phoneticPr fontId="1" type="noConversion"/>
  </si>
  <si>
    <t>트리플체어(바퀴형)</t>
    <phoneticPr fontId="1" type="noConversion"/>
  </si>
  <si>
    <t>안마베드</t>
    <phoneticPr fontId="1" type="noConversion"/>
  </si>
  <si>
    <t>12M(12개월점검주기)</t>
    <phoneticPr fontId="1" type="noConversion"/>
  </si>
  <si>
    <t>4M(4개월점검주기)</t>
    <phoneticPr fontId="1" type="noConversion"/>
  </si>
  <si>
    <t>11. 전기레인지(주요제품)</t>
    <phoneticPr fontId="1" type="noConversion"/>
  </si>
  <si>
    <t>12. 안마의자(주요제품)</t>
    <phoneticPr fontId="1" type="noConversion"/>
  </si>
  <si>
    <t>10. 의류청정기</t>
    <phoneticPr fontId="1" type="noConversion"/>
  </si>
  <si>
    <t>13. 제습기</t>
    <phoneticPr fontId="1" type="noConversion"/>
  </si>
  <si>
    <t>AD-1221E</t>
    <phoneticPr fontId="1" type="noConversion"/>
  </si>
  <si>
    <t>방문관리(선택)</t>
    <phoneticPr fontId="1" type="noConversion"/>
  </si>
  <si>
    <t>AD-2325C</t>
    <phoneticPr fontId="1" type="noConversion"/>
  </si>
  <si>
    <t>노블제습기</t>
    <phoneticPr fontId="1" type="noConversion"/>
  </si>
  <si>
    <t>킹
(CMK-S05)</t>
    <phoneticPr fontId="1" type="noConversion"/>
  </si>
  <si>
    <t>퀸
(CMQ-S05)</t>
    <phoneticPr fontId="1" type="noConversion"/>
  </si>
  <si>
    <t>슈퍼싱글
(CMSS-S05)</t>
    <phoneticPr fontId="1" type="noConversion"/>
  </si>
  <si>
    <t>일반정수기
(P-6320)</t>
    <phoneticPr fontId="1" type="noConversion"/>
  </si>
  <si>
    <t>3년약정/방문</t>
    <phoneticPr fontId="1" type="noConversion"/>
  </si>
  <si>
    <t>5년약정/방문</t>
    <phoneticPr fontId="1" type="noConversion"/>
  </si>
  <si>
    <t>6년약정/방문</t>
    <phoneticPr fontId="1" type="noConversion"/>
  </si>
  <si>
    <t>7년약정/방문</t>
    <phoneticPr fontId="1" type="noConversion"/>
  </si>
  <si>
    <t>연수기
(BB15-A)</t>
    <phoneticPr fontId="1" type="noConversion"/>
  </si>
  <si>
    <t>퀸
(CFQ-FP01/02)</t>
    <phoneticPr fontId="1" type="noConversion"/>
  </si>
  <si>
    <t>퀸
(CFQ-FP01S/02S)</t>
    <phoneticPr fontId="1" type="noConversion"/>
  </si>
  <si>
    <t>청정기</t>
    <phoneticPr fontId="1" type="noConversion"/>
  </si>
  <si>
    <t>스퀘어핏</t>
    <phoneticPr fontId="1" type="noConversion"/>
  </si>
  <si>
    <t>일반청정기
(AP-1125G)</t>
    <phoneticPr fontId="1" type="noConversion"/>
  </si>
  <si>
    <t>AP-2425H</t>
    <phoneticPr fontId="1" type="noConversion"/>
  </si>
  <si>
    <t>AP-1125G</t>
    <phoneticPr fontId="1" type="noConversion"/>
  </si>
  <si>
    <t>스퀘어핏 공기청정기(38㎡)</t>
    <phoneticPr fontId="1" type="noConversion"/>
  </si>
  <si>
    <t>스퀘어핏 공기청정기(82㎡)</t>
    <phoneticPr fontId="1" type="noConversion"/>
  </si>
  <si>
    <t>일반청정기
(AP-2425G)</t>
    <phoneticPr fontId="1" type="noConversion"/>
  </si>
  <si>
    <t>아이콘얼음 맥스</t>
  </si>
  <si>
    <t>CHPI-7420N</t>
    <phoneticPr fontId="1" type="noConversion"/>
  </si>
  <si>
    <t>아이콘 얼음 맥스</t>
    <phoneticPr fontId="1" type="noConversion"/>
  </si>
  <si>
    <t>얼음정수기
(CHPI-7420)</t>
    <phoneticPr fontId="1" type="noConversion"/>
  </si>
  <si>
    <t>5년약정/자가</t>
    <phoneticPr fontId="1" type="noConversion"/>
  </si>
  <si>
    <t>정수기_리퍼브</t>
    <phoneticPr fontId="1" type="noConversion"/>
  </si>
  <si>
    <t>P-6320L_U등급</t>
  </si>
  <si>
    <t>P-6320L_S등급</t>
  </si>
  <si>
    <t>P-350N_U등급</t>
  </si>
  <si>
    <t>P-350N_S등급</t>
  </si>
  <si>
    <t>CHP-6340L_RA</t>
  </si>
  <si>
    <t>R</t>
    <phoneticPr fontId="1" type="noConversion"/>
  </si>
  <si>
    <t>CHPI-7400_V2_WT</t>
    <phoneticPr fontId="1" type="noConversion"/>
  </si>
  <si>
    <t>워터스탠드플러스</t>
    <phoneticPr fontId="1" type="noConversion"/>
  </si>
  <si>
    <t>CHP-5730L_WT</t>
  </si>
  <si>
    <t>CHP-5730R_WT</t>
  </si>
  <si>
    <t>냉온정수기
(CHP-5730L)</t>
    <phoneticPr fontId="1" type="noConversion"/>
  </si>
  <si>
    <t>냉온정수기
(CHP-5730R)</t>
    <phoneticPr fontId="1" type="noConversion"/>
  </si>
  <si>
    <t>스위치빌트인</t>
    <phoneticPr fontId="1" type="noConversion"/>
  </si>
  <si>
    <t>P-2210N</t>
    <phoneticPr fontId="1" type="noConversion"/>
  </si>
  <si>
    <t>스위치 빌트인</t>
    <phoneticPr fontId="1" type="noConversion"/>
  </si>
  <si>
    <t>일반정수기
(P-2210N)</t>
    <phoneticPr fontId="1" type="noConversion"/>
  </si>
  <si>
    <t>CHP-5711L_RA</t>
  </si>
  <si>
    <t>CMGK-SP01SC</t>
  </si>
  <si>
    <t>CMGK-SP01S</t>
  </si>
  <si>
    <t>시그니처파이어쉴드</t>
  </si>
  <si>
    <t>시그니처파이어쉴드컴포트</t>
  </si>
  <si>
    <t>CMGK-SP02S</t>
  </si>
  <si>
    <t>CMLK-SP02S</t>
  </si>
  <si>
    <t>CMK-SP02S</t>
  </si>
  <si>
    <t>CMQ-SP02S</t>
  </si>
  <si>
    <t>CMSS-SP02S</t>
  </si>
  <si>
    <t>CMGK-SP02SC</t>
  </si>
  <si>
    <t>CMLK-SP02SC</t>
  </si>
  <si>
    <t>CMK-SP02SC</t>
  </si>
  <si>
    <t>CMQ-SP02SC</t>
  </si>
  <si>
    <t>CMSS-SP02SC</t>
  </si>
  <si>
    <t>모디</t>
  </si>
  <si>
    <t>CMLK-SE02H</t>
  </si>
  <si>
    <t>CMLK-SE02M</t>
  </si>
  <si>
    <t>CMK-SE02H</t>
  </si>
  <si>
    <t>CMK-SE02M</t>
  </si>
  <si>
    <t>CMQ-SE02H</t>
  </si>
  <si>
    <t>CMQ-SE02M</t>
  </si>
  <si>
    <t>CMSS-SE02H</t>
  </si>
  <si>
    <t>CMSS-SE02M</t>
  </si>
  <si>
    <t>모던라운드프레임</t>
  </si>
  <si>
    <t>CFLK-CB02_BG/HC</t>
  </si>
  <si>
    <t>CFLK-CB02_BU/HC</t>
  </si>
  <si>
    <t>CFK-CB02_BR/HB</t>
  </si>
  <si>
    <t>CFK-CB02_BG/HC</t>
  </si>
  <si>
    <t>CFK-CB02_BU/HC</t>
  </si>
  <si>
    <t>CFQ-CB02_BR/HB</t>
  </si>
  <si>
    <t>CFQ-CB02_BG/HC</t>
  </si>
  <si>
    <t>CFQ-CB02_BU/HC</t>
  </si>
  <si>
    <t>CFSS-CB02_BR/HB</t>
  </si>
  <si>
    <t>CFSS-CB02_BG/HC</t>
  </si>
  <si>
    <t>CFSS-CB02_BU/HC</t>
  </si>
  <si>
    <t>CFGK-CB02_BG/HC</t>
  </si>
  <si>
    <t>CFGK-CB02_BU/HC</t>
  </si>
  <si>
    <t>매트리스</t>
    <phoneticPr fontId="1" type="noConversion"/>
  </si>
  <si>
    <t>루네어</t>
    <phoneticPr fontId="1" type="noConversion"/>
  </si>
  <si>
    <t>CMLK-SE03H/M</t>
    <phoneticPr fontId="1" type="noConversion"/>
  </si>
  <si>
    <t>CMK-SE03H/M</t>
    <phoneticPr fontId="1" type="noConversion"/>
  </si>
  <si>
    <t>CMQ-SE03H/M</t>
    <phoneticPr fontId="1" type="noConversion"/>
  </si>
  <si>
    <t>CMSS-SE03H/M</t>
    <phoneticPr fontId="1" type="noConversion"/>
  </si>
  <si>
    <t>코지 프레임</t>
    <phoneticPr fontId="1" type="noConversion"/>
  </si>
  <si>
    <t>CFLK-TM13</t>
    <phoneticPr fontId="1" type="noConversion"/>
  </si>
  <si>
    <t>CFK-TM13</t>
    <phoneticPr fontId="1" type="noConversion"/>
  </si>
  <si>
    <t>CFQ-TM13</t>
    <phoneticPr fontId="1" type="noConversion"/>
  </si>
  <si>
    <t>CFSS-TM13</t>
    <phoneticPr fontId="1" type="noConversion"/>
  </si>
  <si>
    <t>루나 프레임</t>
  </si>
  <si>
    <t>CFLK-TM14</t>
    <phoneticPr fontId="1" type="noConversion"/>
  </si>
  <si>
    <t>CFK-TM14</t>
    <phoneticPr fontId="1" type="noConversion"/>
  </si>
  <si>
    <t>CFQ-TM14</t>
    <phoneticPr fontId="1" type="noConversion"/>
  </si>
  <si>
    <t>CFSS-TM14</t>
    <phoneticPr fontId="1" type="noConversion"/>
  </si>
  <si>
    <t>의류청정기</t>
    <phoneticPr fontId="1" type="noConversion"/>
  </si>
  <si>
    <t>비데</t>
    <phoneticPr fontId="1" type="noConversion"/>
  </si>
  <si>
    <t>슬리믹</t>
    <phoneticPr fontId="1" type="noConversion"/>
  </si>
  <si>
    <t>BAS49-A</t>
    <phoneticPr fontId="1" type="noConversion"/>
  </si>
  <si>
    <t>슬리믹 비데</t>
    <phoneticPr fontId="1" type="noConversion"/>
  </si>
  <si>
    <t>살균비데
(BAS49-A)</t>
    <phoneticPr fontId="1" type="noConversion"/>
  </si>
  <si>
    <t>히티브 온풍청정기</t>
    <phoneticPr fontId="1" type="noConversion"/>
  </si>
  <si>
    <t>APH-0525F</t>
    <phoneticPr fontId="1" type="noConversion"/>
  </si>
  <si>
    <t>온풍청정기
(APH-05825F)</t>
    <phoneticPr fontId="1" type="noConversion"/>
  </si>
  <si>
    <t>워터스탠드플러스N</t>
    <phoneticPr fontId="1" type="noConversion"/>
  </si>
  <si>
    <t>CHP-5730N_WT</t>
  </si>
  <si>
    <t>냉온정수기
(CHP-5730N)</t>
    <phoneticPr fontId="1" type="noConversion"/>
  </si>
  <si>
    <t>리클라이닝 마사지셋</t>
  </si>
  <si>
    <t>리클라이닝 코어셋</t>
  </si>
  <si>
    <t>마사지셋</t>
  </si>
  <si>
    <t>코어셋</t>
  </si>
  <si>
    <t>MB-M05M</t>
    <phoneticPr fontId="1" type="noConversion"/>
  </si>
  <si>
    <t>12M</t>
  </si>
  <si>
    <t>MB-R05M</t>
    <phoneticPr fontId="1" type="noConversion"/>
  </si>
  <si>
    <t>MB-M03M</t>
    <phoneticPr fontId="1" type="noConversion"/>
  </si>
  <si>
    <t>MB-R03M</t>
    <phoneticPr fontId="1" type="noConversion"/>
  </si>
  <si>
    <t xml:space="preserve">     (개인사업자/법인/공공기간 10대 구간의 환경가전 28% 할인, 10대 구간의 제습기/안마의자/의청기/전기레인지 16%할인 적용 시 건당 1.5만원 추가수수료 지급)</t>
    <phoneticPr fontId="1" type="noConversion"/>
  </si>
  <si>
    <t>아이스스탠드 자이언트</t>
  </si>
  <si>
    <t>CP-7211N_WT_U등급</t>
  </si>
  <si>
    <t>CP-7211N_WT_S등급</t>
  </si>
  <si>
    <t>CHP-7211N_SL_U등급</t>
  </si>
  <si>
    <t>CHP-7211N_SL_S등급</t>
  </si>
  <si>
    <t>CHPI-5830L</t>
    <phoneticPr fontId="1" type="noConversion"/>
  </si>
  <si>
    <t>아이콘2 리퍼브</t>
    <phoneticPr fontId="1" type="noConversion"/>
  </si>
  <si>
    <t>리퍼브
아이콘2</t>
    <phoneticPr fontId="1" type="noConversion"/>
  </si>
  <si>
    <t>제품명</t>
    <phoneticPr fontId="1" type="noConversion"/>
  </si>
  <si>
    <t>방문 4M</t>
    <phoneticPr fontId="1" type="noConversion"/>
  </si>
  <si>
    <t>3년약정</t>
    <phoneticPr fontId="1" type="noConversion"/>
  </si>
  <si>
    <t>14. 리퍼브</t>
    <phoneticPr fontId="1" type="noConversion"/>
  </si>
  <si>
    <t>아이스스탠드 자이언트</t>
    <phoneticPr fontId="1" type="noConversion"/>
  </si>
  <si>
    <t>얼음정수기
(CHPI-5830)</t>
    <phoneticPr fontId="1" type="noConversion"/>
  </si>
  <si>
    <t xml:space="preserve">  ※ 단, 프로모션 성으로 단체 10대 구간 최대 할인율 적용시 1건당 1.5만원 추가 수수료 지급(별도 종료 안내 시 까지 운영)</t>
    <phoneticPr fontId="1" type="noConversion"/>
  </si>
  <si>
    <t>연수기</t>
    <phoneticPr fontId="1" type="noConversion"/>
  </si>
  <si>
    <t>홈메디</t>
    <phoneticPr fontId="1" type="noConversion"/>
  </si>
  <si>
    <t>테라솔U</t>
    <phoneticPr fontId="1" type="noConversion"/>
  </si>
  <si>
    <t>HCM-U01</t>
  </si>
  <si>
    <t>15. 요실금치료기(테라솔U)</t>
    <phoneticPr fontId="1" type="noConversion"/>
  </si>
  <si>
    <t>테라솔 U</t>
    <phoneticPr fontId="1" type="noConversion"/>
  </si>
  <si>
    <t>HCM-U01</t>
    <phoneticPr fontId="1" type="noConversion"/>
  </si>
  <si>
    <t>아이콘3.0</t>
    <phoneticPr fontId="1" type="noConversion"/>
  </si>
  <si>
    <t>CP-7220N</t>
    <phoneticPr fontId="1" type="noConversion"/>
  </si>
  <si>
    <t>CHP-7220N</t>
    <phoneticPr fontId="1" type="noConversion"/>
  </si>
  <si>
    <t>냉온정수기
(CHP-7220)</t>
    <phoneticPr fontId="1" type="noConversion"/>
  </si>
  <si>
    <t>냉정수기
(CP-7220)</t>
    <phoneticPr fontId="1" type="noConversion"/>
  </si>
  <si>
    <t>힐링케어</t>
    <phoneticPr fontId="1" type="noConversion"/>
  </si>
  <si>
    <t>페블체어2</t>
    <phoneticPr fontId="1" type="noConversion"/>
  </si>
  <si>
    <t>MC-C02AT</t>
    <phoneticPr fontId="1" type="noConversion"/>
  </si>
  <si>
    <t>L</t>
    <phoneticPr fontId="1" type="noConversion"/>
  </si>
  <si>
    <t xml:space="preserve">   ① 반값혜택 수수료 차감 : 아이콘시리즈(프로, 아이콘2, 아이콘3), 얼음 데스크탑(RO, AIS 3.0, 아이콘얼음/스탠다드/미니/맥스 등)은 반값혜택 적용 시 렌탈영업수수료 80%적용</t>
    <phoneticPr fontId="1" type="noConversion"/>
  </si>
  <si>
    <t xml:space="preserve">   ② 그 외 제품 : 수수료 차감 없음(100%지급)</t>
    <phoneticPr fontId="1" type="noConversion"/>
  </si>
  <si>
    <t>분</t>
  </si>
  <si>
    <t>3년 약정</t>
  </si>
  <si>
    <t>5년 약정</t>
  </si>
  <si>
    <t>6년 약정</t>
  </si>
  <si>
    <t>7년 약정</t>
  </si>
  <si>
    <t>6개월 반값할인</t>
    <phoneticPr fontId="1" type="noConversion"/>
  </si>
  <si>
    <t>12개월 반값할인</t>
    <phoneticPr fontId="1" type="noConversion"/>
  </si>
  <si>
    <t>2. 단체할인 렌탈영업 수수료</t>
    <phoneticPr fontId="1" type="noConversion"/>
  </si>
  <si>
    <t>CHPI-5820L</t>
    <phoneticPr fontId="1" type="noConversion"/>
  </si>
  <si>
    <t>얼음정수기
(CHPI-5820)</t>
    <phoneticPr fontId="1" type="noConversion"/>
  </si>
  <si>
    <t>아이스스탠드3.0</t>
    <phoneticPr fontId="1" type="noConversion"/>
  </si>
  <si>
    <t>아이스스탠드 3.0</t>
    <phoneticPr fontId="1" type="noConversion"/>
  </si>
  <si>
    <t>AP-1526A</t>
    <phoneticPr fontId="1" type="noConversion"/>
  </si>
  <si>
    <t>AP-2026B</t>
    <phoneticPr fontId="1" type="noConversion"/>
  </si>
  <si>
    <t>스퀘어핏 공기청정기(15평)</t>
    <phoneticPr fontId="1" type="noConversion"/>
  </si>
  <si>
    <t>일반청정기
(AP-1526A)</t>
    <phoneticPr fontId="1" type="noConversion"/>
  </si>
  <si>
    <t>스퀘어핏 공기청정기(20평)</t>
    <phoneticPr fontId="1" type="noConversion"/>
  </si>
  <si>
    <t>일반청정기
(AP-2026B)</t>
    <phoneticPr fontId="1" type="noConversion"/>
  </si>
  <si>
    <t>테라솔P</t>
    <phoneticPr fontId="1" type="noConversion"/>
  </si>
  <si>
    <t>HCM-P01</t>
  </si>
  <si>
    <t>프레임</t>
    <phoneticPr fontId="1" type="noConversion"/>
  </si>
  <si>
    <t>스위트 호텔형 프레임</t>
    <phoneticPr fontId="1" type="noConversion"/>
  </si>
  <si>
    <t>CFLK-HT01</t>
    <phoneticPr fontId="1" type="noConversion"/>
  </si>
  <si>
    <t>CFK-HT01</t>
    <phoneticPr fontId="1" type="noConversion"/>
  </si>
  <si>
    <t>CFQ-HT01</t>
    <phoneticPr fontId="1" type="noConversion"/>
  </si>
  <si>
    <t>CFSS-HT01</t>
    <phoneticPr fontId="1" type="noConversion"/>
  </si>
  <si>
    <t>모던플러스 파운데이션</t>
  </si>
  <si>
    <t>CFLK-F05</t>
    <phoneticPr fontId="1" type="noConversion"/>
  </si>
  <si>
    <t>CFK-F05</t>
    <phoneticPr fontId="1" type="noConversion"/>
  </si>
  <si>
    <t>CFQ-F05</t>
    <phoneticPr fontId="1" type="noConversion"/>
  </si>
  <si>
    <t>CFSS-F05</t>
    <phoneticPr fontId="1" type="noConversion"/>
  </si>
  <si>
    <t>[단위 : 원]</t>
    <phoneticPr fontId="1" type="noConversion"/>
  </si>
  <si>
    <t>약정기간</t>
    <phoneticPr fontId="1" type="noConversion"/>
  </si>
  <si>
    <t>비용구분</t>
  </si>
  <si>
    <t>비고</t>
    <phoneticPr fontId="1" type="noConversion"/>
  </si>
  <si>
    <t>스위트 호텔형 프레임 패널</t>
    <phoneticPr fontId="1" type="noConversion"/>
  </si>
  <si>
    <t>4100998</t>
  </si>
  <si>
    <t>CFOP-HT01_BG</t>
  </si>
  <si>
    <t>5</t>
  </si>
  <si>
    <t>I</t>
  </si>
  <si>
    <t>7</t>
  </si>
  <si>
    <t>9</t>
  </si>
  <si>
    <t>4100999</t>
  </si>
  <si>
    <t>CFOP-HT01_BR</t>
  </si>
  <si>
    <t>4101000</t>
  </si>
  <si>
    <t>CFOP-HT01_NT</t>
  </si>
  <si>
    <t>16. 저주파치료기(테라솔P)</t>
    <phoneticPr fontId="1" type="noConversion"/>
  </si>
  <si>
    <t>테라솔 P</t>
    <phoneticPr fontId="1" type="noConversion"/>
  </si>
  <si>
    <t>HCM-P01</t>
    <phoneticPr fontId="1" type="noConversion"/>
  </si>
  <si>
    <t>LK
(CFLK-HT01)</t>
    <phoneticPr fontId="1" type="noConversion"/>
  </si>
  <si>
    <t>K
(CFK-HT01)</t>
    <phoneticPr fontId="1" type="noConversion"/>
  </si>
  <si>
    <t>Q
(CFQ-HT01)</t>
    <phoneticPr fontId="1" type="noConversion"/>
  </si>
  <si>
    <t>SS
(CFSS-HT01)</t>
    <phoneticPr fontId="1" type="noConversion"/>
  </si>
  <si>
    <t>모던 플러스 파운데이션</t>
    <phoneticPr fontId="1" type="noConversion"/>
  </si>
  <si>
    <t>LK
(CFLK-F05)</t>
    <phoneticPr fontId="1" type="noConversion"/>
  </si>
  <si>
    <t>K
(CFK-F05)</t>
    <phoneticPr fontId="1" type="noConversion"/>
  </si>
  <si>
    <t>Q
(CFQ-F05)</t>
    <phoneticPr fontId="1" type="noConversion"/>
  </si>
  <si>
    <t>SS
(CFSS-F05)</t>
    <phoneticPr fontId="1" type="noConversion"/>
  </si>
  <si>
    <t>6년약정</t>
    <phoneticPr fontId="1" type="noConversion"/>
  </si>
  <si>
    <t xml:space="preserve">  ■  DS대리점 별매추가 수수료 조견표(개당)</t>
    <phoneticPr fontId="1" type="noConversion"/>
  </si>
  <si>
    <t>비렉스 R7/R5 전용 매트리스</t>
  </si>
  <si>
    <t>비렉스 R7 스트레칭 모션베드</t>
  </si>
  <si>
    <t>비렉스 R5 스트레칭베드</t>
  </si>
  <si>
    <t>비렉스 R3/R0 전용 매트리스</t>
  </si>
  <si>
    <t>비렉스 R3 모션베드</t>
  </si>
  <si>
    <t>비렉스 RS 스마트베드</t>
  </si>
  <si>
    <t>비렉스 R0 일반베드</t>
  </si>
  <si>
    <t>비렉스 RS 전용 매트리스</t>
  </si>
  <si>
    <t>CMSS-EM07</t>
  </si>
  <si>
    <t>CFSS-EM07_BG/HC</t>
  </si>
  <si>
    <t>CFSS-EM07_BR/HB</t>
  </si>
  <si>
    <t>CFSS-EM07_BU/HC</t>
  </si>
  <si>
    <t>CFSS-EM05_BG/HC</t>
  </si>
  <si>
    <t>CFSS-EM05_BR/HB</t>
  </si>
  <si>
    <t>CFSS-EM05_BU/HC</t>
  </si>
  <si>
    <t>CMSS-EM03</t>
  </si>
  <si>
    <t>CFSS-EM03_BG/HC</t>
  </si>
  <si>
    <t>CFSS-EM03_BR/HB</t>
  </si>
  <si>
    <t>CFSS-EM03_BU/HC</t>
  </si>
  <si>
    <t>CFSS-EM02</t>
  </si>
  <si>
    <t>CFSS-EM01_BG/HC</t>
  </si>
  <si>
    <t>CFSS-EM01_BR/HB</t>
  </si>
  <si>
    <t>CFSS-EM01_BU/HC</t>
  </si>
  <si>
    <t>CMSS-AS05_EM</t>
  </si>
  <si>
    <t>별매</t>
    <phoneticPr fontId="1" type="noConversion"/>
  </si>
  <si>
    <t>4101004</t>
  </si>
  <si>
    <t>CFSS-HEAD01_BU/HC</t>
  </si>
  <si>
    <t>I</t>
    <phoneticPr fontId="1" type="noConversion"/>
  </si>
  <si>
    <t>4101005</t>
  </si>
  <si>
    <t>CFSS-HEAD01_BG/HC</t>
  </si>
  <si>
    <t>4101006</t>
  </si>
  <si>
    <t>CFSS-HEAD01_BR/HB</t>
  </si>
  <si>
    <t>4101007</t>
  </si>
  <si>
    <t>CFTW-HEAD01_BU/HC</t>
  </si>
  <si>
    <t>4101008</t>
  </si>
  <si>
    <t>CFTW-HEAD01_BG/HC</t>
  </si>
  <si>
    <t>4101009</t>
  </si>
  <si>
    <t>CFTW-HEAD01_BR/HB</t>
  </si>
  <si>
    <t>4101013</t>
  </si>
  <si>
    <t>CFTW-HEAD02_BU/HC</t>
  </si>
  <si>
    <t>4101014</t>
  </si>
  <si>
    <t>CFTW-HEAD02_BG/HC</t>
  </si>
  <si>
    <t>4101015</t>
  </si>
  <si>
    <t>CFTW-HEAD02_BR/HB</t>
  </si>
  <si>
    <t>싱글 헤드보드</t>
    <phoneticPr fontId="1" type="noConversion"/>
  </si>
  <si>
    <t>트윈 헤드보드</t>
    <phoneticPr fontId="1" type="noConversion"/>
  </si>
  <si>
    <t>RS 트윈 헤드보드</t>
    <phoneticPr fontId="1" type="noConversion"/>
  </si>
  <si>
    <t>※ 별매수수료</t>
    <phoneticPr fontId="1" type="noConversion"/>
  </si>
  <si>
    <t>아이콘 프로, 아이콘3</t>
    <phoneticPr fontId="1" type="noConversion"/>
  </si>
  <si>
    <t>아이콘2</t>
    <phoneticPr fontId="1" type="noConversion"/>
  </si>
  <si>
    <t>18개월 반값할인</t>
    <phoneticPr fontId="1" type="noConversion"/>
  </si>
  <si>
    <t>얼음(데스크탑)</t>
    <phoneticPr fontId="1" type="noConversion"/>
  </si>
  <si>
    <t xml:space="preserve"> 1) 렌탈료 반값할인 프로모션</t>
    <phoneticPr fontId="1" type="noConversion"/>
  </si>
  <si>
    <t>에어컨</t>
  </si>
  <si>
    <t>벽걸이에어컨06평형1등급</t>
  </si>
  <si>
    <t>ACAH-061AA</t>
  </si>
  <si>
    <t>벽걸이에어컨06평형5등급</t>
  </si>
  <si>
    <t>ACAH-065AA</t>
  </si>
  <si>
    <t>벽걸이에어컨08평형5등급</t>
  </si>
  <si>
    <t>ACAH-085AA</t>
  </si>
  <si>
    <t>벽걸이에어컨10평형5등급</t>
  </si>
  <si>
    <t>ACAH-105AA</t>
  </si>
  <si>
    <t>토탈케어(분해+기본)</t>
  </si>
  <si>
    <t>더매너비데플러스</t>
  </si>
  <si>
    <t>BAS51-A</t>
    <phoneticPr fontId="1" type="noConversion"/>
  </si>
  <si>
    <t>인버터 제습기 23L</t>
  </si>
  <si>
    <t>인버터 제습기 20L</t>
  </si>
  <si>
    <t>AD-2026C</t>
    <phoneticPr fontId="1" type="noConversion"/>
  </si>
  <si>
    <t>17. 에어컨</t>
    <phoneticPr fontId="1" type="noConversion"/>
  </si>
  <si>
    <t>에어컨</t>
    <phoneticPr fontId="1" type="noConversion"/>
  </si>
  <si>
    <t>ACAH-061AA</t>
    <phoneticPr fontId="1" type="noConversion"/>
  </si>
  <si>
    <t>6평형 1등급
(ACAH-061AA)</t>
    <phoneticPr fontId="1" type="noConversion"/>
  </si>
  <si>
    <t>방문관리</t>
    <phoneticPr fontId="1" type="noConversion"/>
  </si>
  <si>
    <t>6평형 1등급</t>
    <phoneticPr fontId="1" type="noConversion"/>
  </si>
  <si>
    <t>6평형 5등급</t>
    <phoneticPr fontId="1" type="noConversion"/>
  </si>
  <si>
    <t>ACAH-065AA</t>
    <phoneticPr fontId="1" type="noConversion"/>
  </si>
  <si>
    <t>6평형 5등급
(ACAH-065AA)</t>
    <phoneticPr fontId="1" type="noConversion"/>
  </si>
  <si>
    <t>ACAH-085AA</t>
    <phoneticPr fontId="1" type="noConversion"/>
  </si>
  <si>
    <t>8평형 5등급
(ACAH-085AA)</t>
    <phoneticPr fontId="1" type="noConversion"/>
  </si>
  <si>
    <t>8평형 5등급</t>
    <phoneticPr fontId="1" type="noConversion"/>
  </si>
  <si>
    <t>ACAH-105AA</t>
    <phoneticPr fontId="1" type="noConversion"/>
  </si>
  <si>
    <t>10평형 5등급
(ACAH-105AA)</t>
    <phoneticPr fontId="1" type="noConversion"/>
  </si>
  <si>
    <t>10평형 5등급</t>
    <phoneticPr fontId="1" type="noConversion"/>
  </si>
  <si>
    <t>자가관리(6M)</t>
  </si>
  <si>
    <t>자가관리(12M)</t>
  </si>
  <si>
    <t>6년약정</t>
  </si>
  <si>
    <t>자가관리6M</t>
    <phoneticPr fontId="1" type="noConversion"/>
  </si>
  <si>
    <t>자가관리12M</t>
    <phoneticPr fontId="1" type="noConversion"/>
  </si>
  <si>
    <t xml:space="preserve">① 26년 5월 06일 : 테라솔P 자가관리 요금제 변경 </t>
    <phoneticPr fontId="1" type="noConversion"/>
  </si>
  <si>
    <t>② 26년 5월 18일 : 안마매트리스, 아이콘2_V2 신제품 추가</t>
    <phoneticPr fontId="1" type="noConversion"/>
  </si>
  <si>
    <t>아이콘2_V2</t>
    <phoneticPr fontId="1" type="noConversion"/>
  </si>
  <si>
    <t>CHP-7211N_V2</t>
    <phoneticPr fontId="1" type="noConversion"/>
  </si>
  <si>
    <t>냉온정수기
(CHP-7211N_V2)</t>
    <phoneticPr fontId="1" type="noConversion"/>
  </si>
  <si>
    <t>냉정수기
(CP-7211N_V2)</t>
    <phoneticPr fontId="1" type="noConversion"/>
  </si>
  <si>
    <t>냉온정수기
(CHP-7211N)</t>
    <phoneticPr fontId="1" type="noConversion"/>
  </si>
  <si>
    <t>냉정수기
(CP-7211N)</t>
    <phoneticPr fontId="1" type="noConversion"/>
  </si>
  <si>
    <t>아이콘2.0_구모델</t>
    <phoneticPr fontId="1" type="noConversion"/>
  </si>
  <si>
    <t>아이콘2_V2(신모델)</t>
    <phoneticPr fontId="1" type="noConversion"/>
  </si>
  <si>
    <t>아이콘 얼음 오리지널</t>
    <phoneticPr fontId="1" type="noConversion"/>
  </si>
  <si>
    <t>4101255</t>
  </si>
  <si>
    <t>CHSS-HEAD01_BG</t>
  </si>
  <si>
    <t>4101256</t>
  </si>
  <si>
    <t>CHSS-HEAD01_BR</t>
  </si>
  <si>
    <t>4101257</t>
  </si>
  <si>
    <t>CHSS-HEAD01_GR</t>
  </si>
  <si>
    <t>4101258</t>
  </si>
  <si>
    <t>CHQ-HEAD01_BG</t>
  </si>
  <si>
    <t>4101259</t>
  </si>
  <si>
    <t>CHQ-HEAD01_BR</t>
  </si>
  <si>
    <t>4101260</t>
  </si>
  <si>
    <t>CHQ-HEAD01_GR</t>
  </si>
  <si>
    <t>4101261</t>
  </si>
  <si>
    <t>CHK-HEAD01_BG</t>
  </si>
  <si>
    <t>4101262</t>
  </si>
  <si>
    <t>CHK-HEAD01_BR</t>
  </si>
  <si>
    <t>4101263</t>
  </si>
  <si>
    <t>CHK-HEAD01_GR</t>
  </si>
  <si>
    <t>4101264</t>
  </si>
  <si>
    <t>CHLK-HEAD01_BG</t>
  </si>
  <si>
    <t>4101265</t>
  </si>
  <si>
    <t>CHLK-HEAD01_GR</t>
  </si>
  <si>
    <t>4101266</t>
  </si>
  <si>
    <t>CHGK-HEAD01_BG</t>
  </si>
  <si>
    <t>4101267</t>
  </si>
  <si>
    <t>CHGK-HEAD01_GR</t>
  </si>
  <si>
    <t>4101268</t>
  </si>
  <si>
    <t>CHSS-HEAD02_BG</t>
  </si>
  <si>
    <t>4101269</t>
  </si>
  <si>
    <t>CHSS-HEAD02_GR</t>
  </si>
  <si>
    <t>4101270</t>
  </si>
  <si>
    <t>CHQ-HEAD02_BG</t>
  </si>
  <si>
    <t>4101271</t>
  </si>
  <si>
    <t>CHQ-HEAD02_GR</t>
  </si>
  <si>
    <t>4101272</t>
  </si>
  <si>
    <t>CHK-HEAD02_BG</t>
  </si>
  <si>
    <t>4101273</t>
  </si>
  <si>
    <t>CHK-HEAD02_GR</t>
  </si>
  <si>
    <t>4101274</t>
  </si>
  <si>
    <t>CHLK-HEAD02_BG</t>
  </si>
  <si>
    <t>4101275</t>
  </si>
  <si>
    <t>CHLK-HEAD02_GR</t>
  </si>
  <si>
    <t>4101276</t>
  </si>
  <si>
    <t>CHSS-HEAD03_IV</t>
  </si>
  <si>
    <t>4101277</t>
  </si>
  <si>
    <t>CHSS-HEAD03_BG</t>
  </si>
  <si>
    <t>4101278</t>
  </si>
  <si>
    <t>CHSS-HEAD03_GR</t>
  </si>
  <si>
    <t>4101279</t>
  </si>
  <si>
    <t>CHQ-HEAD03_IV</t>
  </si>
  <si>
    <t>4101280</t>
  </si>
  <si>
    <t>CHQ-HEAD03_BG</t>
  </si>
  <si>
    <t>4101281</t>
  </si>
  <si>
    <t>CHQ-HEAD03_GR</t>
  </si>
  <si>
    <t>4101282</t>
  </si>
  <si>
    <t>CHK-HEAD03_IV</t>
  </si>
  <si>
    <t>4101283</t>
  </si>
  <si>
    <t>CHK-HEAD03_BG</t>
  </si>
  <si>
    <t>4101284</t>
  </si>
  <si>
    <t>CHK-HEAD03_GR</t>
  </si>
  <si>
    <t>4101285</t>
  </si>
  <si>
    <t>CHLK-HEAD03_IV</t>
  </si>
  <si>
    <t>4101286</t>
  </si>
  <si>
    <t>CHLK-HEAD03_BG</t>
  </si>
  <si>
    <t>4101287</t>
  </si>
  <si>
    <t>CHLK-HEAD03_GR</t>
  </si>
  <si>
    <t xml:space="preserve">※ 재렌탈 수수료는 신규렌탈 영업수수료의 12%지급 </t>
  </si>
  <si>
    <t>별매</t>
  </si>
  <si>
    <t>헤드보드_모던라운드</t>
  </si>
  <si>
    <t>헤드보드_볼륨</t>
  </si>
  <si>
    <t>헤드보드_코지</t>
  </si>
  <si>
    <t>비렉스M(안마매트리스_안마형)</t>
  </si>
  <si>
    <t>비렉스M(안마매트리스_척추형)</t>
  </si>
  <si>
    <t>비렉스M(프레임_솔리드)</t>
  </si>
  <si>
    <t>비렉스M(프레임_패턴)</t>
  </si>
  <si>
    <t>CMMSS-M01</t>
  </si>
  <si>
    <t>CMMSS-R01</t>
  </si>
  <si>
    <t>CMMQ-M01</t>
  </si>
  <si>
    <t>CMMQ-R01</t>
  </si>
  <si>
    <t>CMMK-M01</t>
  </si>
  <si>
    <t>CMMK-R01</t>
  </si>
  <si>
    <t>CMMLK-M01</t>
  </si>
  <si>
    <t>CMMLK-R01</t>
  </si>
  <si>
    <t>CMMGK-M01</t>
  </si>
  <si>
    <t>CMMGK-M01M</t>
  </si>
  <si>
    <t>CMMGK-R01</t>
  </si>
  <si>
    <t>CMMGK-R01M</t>
  </si>
  <si>
    <t>CFSS-FRAME01</t>
    <phoneticPr fontId="1" type="noConversion"/>
  </si>
  <si>
    <t>CFSS-FRAME02</t>
    <phoneticPr fontId="1" type="noConversion"/>
  </si>
  <si>
    <t>CFQ-FRAME01</t>
    <phoneticPr fontId="1" type="noConversion"/>
  </si>
  <si>
    <t>CFQ-FRAME02</t>
    <phoneticPr fontId="1" type="noConversion"/>
  </si>
  <si>
    <t>CFK-FRAME01</t>
    <phoneticPr fontId="1" type="noConversion"/>
  </si>
  <si>
    <t>CFK-FRAME02</t>
    <phoneticPr fontId="1" type="noConversion"/>
  </si>
  <si>
    <t>CFLK-FRAME01</t>
    <phoneticPr fontId="1" type="noConversion"/>
  </si>
  <si>
    <t>CFLK-FRAME02</t>
    <phoneticPr fontId="1" type="noConversion"/>
  </si>
  <si>
    <t>CFGK-FRAME01</t>
    <phoneticPr fontId="1" type="noConversion"/>
  </si>
  <si>
    <t>CFGK-FRAME02</t>
    <phoneticPr fontId="1" type="noConversion"/>
  </si>
  <si>
    <t>음식물처리기</t>
  </si>
  <si>
    <t>음식물처리기3L</t>
  </si>
  <si>
    <t>음식물처리기2L</t>
  </si>
  <si>
    <t>WMG-3004</t>
    <phoneticPr fontId="1" type="noConversion"/>
  </si>
  <si>
    <t>WMG-2005</t>
    <phoneticPr fontId="1" type="noConversion"/>
  </si>
  <si>
    <t>자가관리(4M)</t>
  </si>
  <si>
    <t>18. 음식물처리기</t>
    <phoneticPr fontId="1" type="noConversion"/>
  </si>
  <si>
    <t>음식물처리기
2L</t>
    <phoneticPr fontId="1" type="noConversion"/>
  </si>
  <si>
    <t>자가관리(4M)</t>
    <phoneticPr fontId="1" type="noConversion"/>
  </si>
  <si>
    <t>자가관리(6M)</t>
    <phoneticPr fontId="1" type="noConversion"/>
  </si>
  <si>
    <t>음식물처리기
3L</t>
    <phoneticPr fontId="1" type="noConversion"/>
  </si>
  <si>
    <t>음식물처리기 분쇄형</t>
    <phoneticPr fontId="1" type="noConversion"/>
  </si>
  <si>
    <t>③ 26년 5월 26일 : 음식물 처리기 2L/3L, W인덕션 프로 신제품 추가</t>
    <phoneticPr fontId="1" type="noConversion"/>
  </si>
  <si>
    <t>전기레인지</t>
    <phoneticPr fontId="1" type="noConversion"/>
  </si>
  <si>
    <t>W인덕션 프로</t>
    <phoneticPr fontId="1" type="noConversion"/>
  </si>
  <si>
    <t>CIP-31W</t>
  </si>
  <si>
    <t>W 인덕션 프로</t>
    <phoneticPr fontId="1" type="noConversion"/>
  </si>
  <si>
    <t>CIP-31W</t>
    <phoneticPr fontId="1" type="noConversion"/>
  </si>
  <si>
    <t>1. 6월 수수료 안내</t>
    <phoneticPr fontId="1" type="noConversion"/>
  </si>
  <si>
    <t>④ 26년 5월 29일 : 듀얼클린 가습2 신제품 추가</t>
    <phoneticPr fontId="1" type="noConversion"/>
  </si>
  <si>
    <t>듀얼클린 가습2</t>
    <phoneticPr fontId="1" type="noConversion"/>
  </si>
  <si>
    <t>APM-1226H</t>
  </si>
  <si>
    <t>APM-1226H</t>
    <phoneticPr fontId="1" type="noConversion"/>
  </si>
  <si>
    <t>듀얼클린 가습2
(APM-1226H)</t>
    <phoneticPr fontId="1" type="noConversion"/>
  </si>
  <si>
    <t>CP-7211N_V2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</si>
</sst>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_(* #,##0_);_(* \(#,##0\);_(* &quot;-&quot;_);_(@_)"/>
  </numFmts>
  <fonts count="2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8"/>
      <color theme="0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  <font>
      <b/>
      <sz val="12"/>
      <color theme="1"/>
      <name val="맑은 고딕"/>
      <family val="3"/>
      <charset val="129"/>
      <scheme val="minor"/>
    </font>
    <font>
      <b/>
      <sz val="11"/>
      <color rgb="FF0000FF"/>
      <name val="맑은 고딕"/>
      <family val="3"/>
      <charset val="129"/>
      <scheme val="minor"/>
    </font>
    <font>
      <sz val="11"/>
      <color rgb="FF0000FF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2"/>
      <color theme="0"/>
      <name val="맑은 고딕"/>
      <family val="3"/>
      <charset val="129"/>
      <scheme val="minor"/>
    </font>
    <font>
      <b/>
      <sz val="10"/>
      <color theme="0" tint="-4.9989318521683403E-2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name val="netmarble Medium"/>
      <family val="1"/>
      <charset val="129"/>
    </font>
    <font>
      <b/>
      <sz val="16"/>
      <color theme="0"/>
      <name val="맑은 고딕"/>
      <family val="3"/>
      <charset val="129"/>
      <scheme val="minor"/>
    </font>
    <font>
      <b/>
      <sz val="18"/>
      <color theme="3" tint="-0.249977111117893"/>
      <name val="맑은 고딕"/>
      <family val="3"/>
      <charset val="129"/>
      <scheme val="minor"/>
    </font>
    <font>
      <b/>
      <sz val="11"/>
      <color theme="3" tint="-0.249977111117893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-0.249977111117893"/>
        <bgColor theme="4" tint="0.79998168889431442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theme="6" tint="-0.249977111117893"/>
        <bgColor indexed="64"/>
      </patternFill>
    </fill>
  </fills>
  <borders count="124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hair">
        <color indexed="64"/>
      </right>
      <top style="medium">
        <color indexed="64"/>
      </top>
      <bottom style="double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double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ck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thick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thick">
        <color auto="1"/>
      </bottom>
      <diagonal/>
    </border>
    <border>
      <left style="thick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ck">
        <color auto="1"/>
      </right>
      <top/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double">
        <color auto="1"/>
      </bottom>
      <diagonal/>
    </border>
    <border>
      <left style="hair">
        <color indexed="64"/>
      </left>
      <right style="thick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thin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auto="1"/>
      </left>
      <right style="thick">
        <color auto="1"/>
      </right>
      <top style="hair">
        <color indexed="64"/>
      </top>
      <bottom style="thin">
        <color indexed="64"/>
      </bottom>
      <diagonal/>
    </border>
    <border>
      <left style="thick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thick">
        <color auto="1"/>
      </right>
      <top style="hair">
        <color auto="1"/>
      </top>
      <bottom/>
      <diagonal/>
    </border>
    <border>
      <left style="thick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ck">
        <color auto="1"/>
      </top>
      <bottom style="hair">
        <color auto="1"/>
      </bottom>
      <diagonal/>
    </border>
    <border>
      <left style="hair">
        <color indexed="64"/>
      </left>
      <right/>
      <top style="hair">
        <color auto="1"/>
      </top>
      <bottom style="double">
        <color auto="1"/>
      </bottom>
      <diagonal/>
    </border>
    <border>
      <left style="hair">
        <color indexed="64"/>
      </left>
      <right/>
      <top style="double">
        <color auto="1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ck">
        <color auto="1"/>
      </bottom>
      <diagonal/>
    </border>
    <border>
      <left/>
      <right/>
      <top style="thick">
        <color auto="1"/>
      </top>
      <bottom style="hair">
        <color auto="1"/>
      </bottom>
      <diagonal/>
    </border>
    <border>
      <left/>
      <right style="thick">
        <color auto="1"/>
      </right>
      <top style="thick">
        <color auto="1"/>
      </top>
      <bottom style="hair">
        <color auto="1"/>
      </bottom>
      <diagonal/>
    </border>
    <border>
      <left/>
      <right style="hair">
        <color indexed="64"/>
      </right>
      <top style="thick">
        <color auto="1"/>
      </top>
      <bottom/>
      <diagonal/>
    </border>
    <border>
      <left/>
      <right style="hair">
        <color indexed="64"/>
      </right>
      <top/>
      <bottom style="double">
        <color auto="1"/>
      </bottom>
      <diagonal/>
    </border>
    <border>
      <left style="thick">
        <color auto="1"/>
      </left>
      <right style="hair">
        <color auto="1"/>
      </right>
      <top style="double">
        <color auto="1"/>
      </top>
      <bottom/>
      <diagonal/>
    </border>
    <border>
      <left style="thick">
        <color auto="1"/>
      </left>
      <right style="hair">
        <color auto="1"/>
      </right>
      <top/>
      <bottom/>
      <diagonal/>
    </border>
    <border>
      <left style="thick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ck">
        <color auto="1"/>
      </top>
      <bottom/>
      <diagonal/>
    </border>
    <border>
      <left style="hair">
        <color indexed="64"/>
      </left>
      <right/>
      <top/>
      <bottom style="double">
        <color auto="1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ck">
        <color auto="1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/>
      <diagonal/>
    </border>
    <border>
      <left style="thick">
        <color auto="1"/>
      </left>
      <right style="hair">
        <color indexed="64"/>
      </right>
      <top style="thick">
        <color auto="1"/>
      </top>
      <bottom/>
      <diagonal/>
    </border>
    <border>
      <left style="thick">
        <color auto="1"/>
      </left>
      <right style="hair">
        <color indexed="64"/>
      </right>
      <top/>
      <bottom style="double">
        <color auto="1"/>
      </bottom>
      <diagonal/>
    </border>
    <border>
      <left style="thick">
        <color auto="1"/>
      </left>
      <right style="hair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auto="1"/>
      </bottom>
      <diagonal/>
    </border>
    <border>
      <left/>
      <right style="hair">
        <color indexed="64"/>
      </right>
      <top style="double">
        <color auto="1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thick">
        <color auto="1"/>
      </left>
      <right style="hair">
        <color auto="1"/>
      </right>
      <top/>
      <bottom style="thin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hair">
        <color indexed="64"/>
      </left>
      <right style="thick">
        <color auto="1"/>
      </right>
      <top/>
      <bottom/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indexed="64"/>
      </right>
      <top style="thick">
        <color auto="1"/>
      </top>
      <bottom/>
      <diagonal/>
    </border>
    <border>
      <left/>
      <right style="hair">
        <color indexed="64"/>
      </right>
      <top/>
      <bottom/>
      <diagonal/>
    </border>
    <border>
      <left style="hair">
        <color auto="1"/>
      </left>
      <right/>
      <top/>
      <bottom/>
      <diagonal/>
    </border>
    <border>
      <left style="thick">
        <color auto="1"/>
      </left>
      <right/>
      <top/>
      <bottom style="hair">
        <color auto="1"/>
      </bottom>
      <diagonal/>
    </border>
    <border>
      <left style="thick">
        <color auto="1"/>
      </left>
      <right/>
      <top style="hair">
        <color auto="1"/>
      </top>
      <bottom style="hair">
        <color auto="1"/>
      </bottom>
      <diagonal/>
    </border>
    <border>
      <left style="thick">
        <color auto="1"/>
      </left>
      <right/>
      <top style="hair">
        <color auto="1"/>
      </top>
      <bottom/>
      <diagonal/>
    </border>
    <border>
      <left style="thick">
        <color auto="1"/>
      </left>
      <right/>
      <top style="thin">
        <color auto="1"/>
      </top>
      <bottom style="hair">
        <color auto="1"/>
      </bottom>
      <diagonal/>
    </border>
    <border>
      <left style="thick">
        <color auto="1"/>
      </left>
      <right/>
      <top style="hair">
        <color auto="1"/>
      </top>
      <bottom style="thick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ck">
        <color auto="1"/>
      </bottom>
      <diagonal/>
    </border>
    <border>
      <left/>
      <right style="thick">
        <color auto="1"/>
      </right>
      <top style="double">
        <color auto="1"/>
      </top>
      <bottom style="hair">
        <color auto="1"/>
      </bottom>
      <diagonal/>
    </border>
    <border>
      <left/>
      <right style="thick">
        <color auto="1"/>
      </right>
      <top style="hair">
        <color auto="1"/>
      </top>
      <bottom style="hair">
        <color auto="1"/>
      </bottom>
      <diagonal/>
    </border>
    <border>
      <left/>
      <right style="thick">
        <color auto="1"/>
      </right>
      <top style="hair">
        <color indexed="64"/>
      </top>
      <bottom style="thin">
        <color indexed="64"/>
      </bottom>
      <diagonal/>
    </border>
    <border>
      <left/>
      <right style="thick">
        <color auto="1"/>
      </right>
      <top/>
      <bottom style="hair">
        <color auto="1"/>
      </bottom>
      <diagonal/>
    </border>
    <border>
      <left/>
      <right style="thick">
        <color auto="1"/>
      </right>
      <top style="hair">
        <color auto="1"/>
      </top>
      <bottom/>
      <diagonal/>
    </border>
    <border>
      <left/>
      <right style="thick">
        <color auto="1"/>
      </right>
      <top style="thin">
        <color indexed="64"/>
      </top>
      <bottom style="hair">
        <color auto="1"/>
      </bottom>
      <diagonal/>
    </border>
    <border>
      <left/>
      <right style="thick">
        <color auto="1"/>
      </right>
      <top style="hair">
        <color auto="1"/>
      </top>
      <bottom style="thick">
        <color auto="1"/>
      </bottom>
      <diagonal/>
    </border>
    <border>
      <left/>
      <right style="thick">
        <color auto="1"/>
      </right>
      <top style="hair">
        <color auto="1"/>
      </top>
      <bottom style="double">
        <color auto="1"/>
      </bottom>
      <diagonal/>
    </border>
    <border>
      <left style="thin">
        <color rgb="FFFFFFFF"/>
      </left>
      <right style="thin">
        <color rgb="FF000000"/>
      </right>
      <top style="thin">
        <color rgb="FF000000"/>
      </top>
      <bottom/>
      <diagonal/>
    </border>
    <border>
      <left style="thin">
        <color rgb="FFFFFFFF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FFFFFF"/>
      </right>
      <top style="thin">
        <color rgb="FF000000"/>
      </top>
      <bottom/>
      <diagonal/>
    </border>
    <border>
      <left style="thin">
        <color rgb="FF000000"/>
      </left>
      <right style="thin">
        <color rgb="FFFFFFFF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dotted">
        <color auto="1"/>
      </bottom>
      <diagonal/>
    </border>
    <border>
      <left style="hair">
        <color auto="1"/>
      </left>
      <right style="thick">
        <color auto="1"/>
      </right>
      <top style="thin">
        <color auto="1"/>
      </top>
      <bottom style="dotted">
        <color auto="1"/>
      </bottom>
      <diagonal/>
    </border>
    <border>
      <left style="hair">
        <color auto="1"/>
      </left>
      <right style="hair">
        <color auto="1"/>
      </right>
      <top style="dotted">
        <color auto="1"/>
      </top>
      <bottom style="dotted">
        <color auto="1"/>
      </bottom>
      <diagonal/>
    </border>
    <border>
      <left style="hair">
        <color auto="1"/>
      </left>
      <right style="thick">
        <color auto="1"/>
      </right>
      <top style="dotted">
        <color auto="1"/>
      </top>
      <bottom style="dotted">
        <color auto="1"/>
      </bottom>
      <diagonal/>
    </border>
    <border>
      <left style="hair">
        <color auto="1"/>
      </left>
      <right style="hair">
        <color auto="1"/>
      </right>
      <top style="dotted">
        <color auto="1"/>
      </top>
      <bottom style="thick">
        <color auto="1"/>
      </bottom>
      <diagonal/>
    </border>
    <border>
      <left style="hair">
        <color auto="1"/>
      </left>
      <right style="thick">
        <color auto="1"/>
      </right>
      <top style="dotted">
        <color auto="1"/>
      </top>
      <bottom style="thick">
        <color auto="1"/>
      </bottom>
      <diagonal/>
    </border>
    <border>
      <left/>
      <right style="thin">
        <color rgb="FFFFFFFF"/>
      </right>
      <top style="thin">
        <color rgb="FF000000"/>
      </top>
      <bottom/>
      <diagonal/>
    </border>
    <border>
      <left/>
      <right style="thin">
        <color rgb="FFFFFFFF"/>
      </right>
      <top/>
      <bottom style="thin">
        <color rgb="FF000000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 style="thick">
        <color auto="1"/>
      </right>
      <top/>
      <bottom style="thick">
        <color auto="1"/>
      </bottom>
      <diagonal/>
    </border>
  </borders>
  <cellStyleXfs count="6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296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9" borderId="0" xfId="0" applyFill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5" borderId="0" xfId="0" applyFont="1" applyFill="1" applyAlignment="1">
      <alignment horizontal="right" vertical="center"/>
    </xf>
    <xf numFmtId="0" fontId="6" fillId="5" borderId="0" xfId="0" applyFont="1" applyFill="1" applyAlignment="1">
      <alignment horizontal="left" vertical="center"/>
    </xf>
    <xf numFmtId="0" fontId="6" fillId="3" borderId="0" xfId="0" applyFont="1" applyFill="1" applyAlignment="1">
      <alignment horizontal="left" vertical="center"/>
    </xf>
    <xf numFmtId="0" fontId="3" fillId="3" borderId="0" xfId="0" applyFont="1" applyFill="1">
      <alignment vertical="center"/>
    </xf>
    <xf numFmtId="0" fontId="7" fillId="0" borderId="0" xfId="0" applyFont="1" applyAlignment="1">
      <alignment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3" fontId="10" fillId="7" borderId="8" xfId="0" applyNumberFormat="1" applyFont="1" applyFill="1" applyBorder="1" applyAlignment="1">
      <alignment horizontal="center" vertical="center"/>
    </xf>
    <xf numFmtId="0" fontId="11" fillId="0" borderId="0" xfId="0" applyFont="1">
      <alignment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3" borderId="10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176" fontId="11" fillId="6" borderId="4" xfId="1" applyFont="1" applyFill="1" applyBorder="1">
      <alignment vertical="center"/>
    </xf>
    <xf numFmtId="0" fontId="8" fillId="10" borderId="2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quotePrefix="1" applyFont="1">
      <alignment vertical="center"/>
    </xf>
    <xf numFmtId="0" fontId="8" fillId="2" borderId="12" xfId="0" applyFont="1" applyFill="1" applyBorder="1" applyAlignment="1">
      <alignment horizontal="center" vertical="center"/>
    </xf>
    <xf numFmtId="0" fontId="8" fillId="3" borderId="13" xfId="0" applyFont="1" applyFill="1" applyBorder="1" applyAlignment="1">
      <alignment horizontal="center" vertical="center"/>
    </xf>
    <xf numFmtId="0" fontId="8" fillId="3" borderId="14" xfId="0" applyFont="1" applyFill="1" applyBorder="1" applyAlignment="1">
      <alignment horizontal="center" vertical="center"/>
    </xf>
    <xf numFmtId="0" fontId="8" fillId="3" borderId="15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left" vertical="center"/>
    </xf>
    <xf numFmtId="0" fontId="4" fillId="0" borderId="0" xfId="0" quotePrefix="1" applyFont="1">
      <alignment vertical="center"/>
    </xf>
    <xf numFmtId="0" fontId="9" fillId="8" borderId="17" xfId="0" applyFont="1" applyFill="1" applyBorder="1" applyAlignment="1">
      <alignment horizontal="center" vertical="center"/>
    </xf>
    <xf numFmtId="176" fontId="8" fillId="4" borderId="16" xfId="1" applyFont="1" applyFill="1" applyBorder="1" applyAlignment="1">
      <alignment horizontal="center" vertical="center"/>
    </xf>
    <xf numFmtId="176" fontId="8" fillId="10" borderId="16" xfId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0" borderId="18" xfId="1" applyFont="1" applyBorder="1">
      <alignment vertical="center"/>
    </xf>
    <xf numFmtId="176" fontId="0" fillId="0" borderId="2" xfId="1" applyFont="1" applyBorder="1">
      <alignment vertical="center"/>
    </xf>
    <xf numFmtId="0" fontId="11" fillId="0" borderId="18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11" fillId="0" borderId="26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176" fontId="0" fillId="0" borderId="1" xfId="1" applyFont="1" applyBorder="1">
      <alignment vertical="center"/>
    </xf>
    <xf numFmtId="0" fontId="3" fillId="13" borderId="31" xfId="0" applyFont="1" applyFill="1" applyBorder="1" applyAlignment="1">
      <alignment horizontal="center" vertical="center"/>
    </xf>
    <xf numFmtId="0" fontId="3" fillId="13" borderId="32" xfId="0" applyFont="1" applyFill="1" applyBorder="1" applyAlignment="1">
      <alignment horizontal="center" vertical="center"/>
    </xf>
    <xf numFmtId="176" fontId="3" fillId="6" borderId="29" xfId="1" applyFont="1" applyFill="1" applyBorder="1">
      <alignment vertical="center"/>
    </xf>
    <xf numFmtId="176" fontId="3" fillId="6" borderId="24" xfId="1" applyFont="1" applyFill="1" applyBorder="1">
      <alignment vertical="center"/>
    </xf>
    <xf numFmtId="176" fontId="3" fillId="6" borderId="34" xfId="1" applyFont="1" applyFill="1" applyBorder="1">
      <alignment vertical="center"/>
    </xf>
    <xf numFmtId="0" fontId="11" fillId="0" borderId="35" xfId="0" applyFont="1" applyBorder="1" applyAlignment="1">
      <alignment horizontal="center" vertical="center"/>
    </xf>
    <xf numFmtId="176" fontId="0" fillId="0" borderId="35" xfId="1" applyFont="1" applyBorder="1">
      <alignment vertical="center"/>
    </xf>
    <xf numFmtId="176" fontId="3" fillId="6" borderId="33" xfId="1" applyFont="1" applyFill="1" applyBorder="1">
      <alignment vertical="center"/>
    </xf>
    <xf numFmtId="176" fontId="0" fillId="0" borderId="19" xfId="1" applyFont="1" applyBorder="1">
      <alignment vertical="center"/>
    </xf>
    <xf numFmtId="176" fontId="3" fillId="6" borderId="36" xfId="1" applyFont="1" applyFill="1" applyBorder="1">
      <alignment vertical="center"/>
    </xf>
    <xf numFmtId="0" fontId="11" fillId="0" borderId="38" xfId="0" applyFont="1" applyBorder="1" applyAlignment="1">
      <alignment horizontal="center" vertical="center"/>
    </xf>
    <xf numFmtId="176" fontId="0" fillId="0" borderId="38" xfId="1" applyFont="1" applyBorder="1">
      <alignment vertical="center"/>
    </xf>
    <xf numFmtId="176" fontId="3" fillId="6" borderId="39" xfId="1" applyFont="1" applyFill="1" applyBorder="1">
      <alignment vertical="center"/>
    </xf>
    <xf numFmtId="0" fontId="3" fillId="13" borderId="42" xfId="0" applyFont="1" applyFill="1" applyBorder="1" applyAlignment="1">
      <alignment horizontal="center" vertical="center"/>
    </xf>
    <xf numFmtId="176" fontId="0" fillId="0" borderId="43" xfId="1" applyFont="1" applyBorder="1">
      <alignment vertical="center"/>
    </xf>
    <xf numFmtId="176" fontId="0" fillId="0" borderId="44" xfId="1" applyFont="1" applyBorder="1">
      <alignment vertical="center"/>
    </xf>
    <xf numFmtId="176" fontId="0" fillId="0" borderId="45" xfId="1" applyFont="1" applyBorder="1">
      <alignment vertical="center"/>
    </xf>
    <xf numFmtId="176" fontId="0" fillId="0" borderId="16" xfId="1" applyFont="1" applyBorder="1">
      <alignment vertical="center"/>
    </xf>
    <xf numFmtId="176" fontId="0" fillId="0" borderId="46" xfId="1" applyFont="1" applyBorder="1">
      <alignment vertical="center"/>
    </xf>
    <xf numFmtId="176" fontId="0" fillId="0" borderId="26" xfId="1" applyFont="1" applyBorder="1">
      <alignment vertical="center"/>
    </xf>
    <xf numFmtId="176" fontId="3" fillId="6" borderId="27" xfId="1" applyFont="1" applyFill="1" applyBorder="1">
      <alignment vertical="center"/>
    </xf>
    <xf numFmtId="176" fontId="0" fillId="0" borderId="48" xfId="1" applyFont="1" applyBorder="1">
      <alignment vertical="center"/>
    </xf>
    <xf numFmtId="176" fontId="0" fillId="0" borderId="47" xfId="1" applyFont="1" applyBorder="1">
      <alignment vertical="center"/>
    </xf>
    <xf numFmtId="0" fontId="16" fillId="5" borderId="0" xfId="0" applyFont="1" applyFill="1">
      <alignment vertical="center"/>
    </xf>
    <xf numFmtId="0" fontId="17" fillId="5" borderId="0" xfId="0" applyFont="1" applyFill="1">
      <alignment vertical="center"/>
    </xf>
    <xf numFmtId="0" fontId="11" fillId="0" borderId="67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68" xfId="0" applyFont="1" applyBorder="1" applyAlignment="1">
      <alignment horizontal="center" vertical="center"/>
    </xf>
    <xf numFmtId="0" fontId="11" fillId="0" borderId="69" xfId="0" applyFont="1" applyBorder="1" applyAlignment="1">
      <alignment horizontal="center" vertical="center"/>
    </xf>
    <xf numFmtId="0" fontId="11" fillId="0" borderId="7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 wrapText="1"/>
    </xf>
    <xf numFmtId="0" fontId="11" fillId="0" borderId="0" xfId="0" applyFont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0" xfId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3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13" borderId="38" xfId="0" applyFont="1" applyFill="1" applyBorder="1" applyAlignment="1">
      <alignment horizontal="center" vertical="center"/>
    </xf>
    <xf numFmtId="0" fontId="3" fillId="13" borderId="39" xfId="0" applyFont="1" applyFill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3" fillId="13" borderId="31" xfId="0" applyFont="1" applyFill="1" applyBorder="1" applyAlignment="1">
      <alignment horizontal="center" vertical="center"/>
    </xf>
    <xf numFmtId="0" fontId="3" fillId="13" borderId="38" xfId="0" applyFont="1" applyFill="1" applyBorder="1" applyAlignment="1">
      <alignment horizontal="center" vertical="center"/>
    </xf>
    <xf numFmtId="0" fontId="3" fillId="13" borderId="31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76" fontId="18" fillId="4" borderId="16" xfId="1" applyFont="1" applyFill="1" applyBorder="1" applyAlignment="1">
      <alignment horizontal="center" vertical="center"/>
    </xf>
    <xf numFmtId="0" fontId="3" fillId="13" borderId="38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Fill="1" applyBorder="1">
      <alignment vertical="center"/>
    </xf>
    <xf numFmtId="0" fontId="19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3" fillId="0" borderId="18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0" fillId="0" borderId="75" xfId="0" applyBorder="1">
      <alignment vertical="center"/>
    </xf>
    <xf numFmtId="0" fontId="3" fillId="13" borderId="38" xfId="0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19" fillId="0" borderId="0" xfId="0" applyFont="1" applyFill="1" applyAlignment="1">
      <alignment horizontal="center" vertical="center"/>
    </xf>
    <xf numFmtId="0" fontId="3" fillId="13" borderId="31" xfId="0" applyFont="1" applyFill="1" applyBorder="1" applyAlignment="1">
      <alignment horizontal="center" vertical="center"/>
    </xf>
    <xf numFmtId="0" fontId="3" fillId="13" borderId="31" xfId="0" applyFont="1" applyFill="1" applyBorder="1" applyAlignment="1">
      <alignment horizontal="center" vertical="center"/>
    </xf>
    <xf numFmtId="0" fontId="11" fillId="0" borderId="59" xfId="0" applyFont="1" applyBorder="1" applyAlignment="1">
      <alignment horizontal="center" vertical="center"/>
    </xf>
    <xf numFmtId="176" fontId="0" fillId="0" borderId="59" xfId="1" applyFont="1" applyBorder="1">
      <alignment vertical="center"/>
    </xf>
    <xf numFmtId="176" fontId="3" fillId="6" borderId="76" xfId="1" applyFont="1" applyFill="1" applyBorder="1">
      <alignment vertical="center"/>
    </xf>
    <xf numFmtId="0" fontId="3" fillId="13" borderId="31" xfId="0" applyFont="1" applyFill="1" applyBorder="1" applyAlignment="1">
      <alignment horizontal="center" vertical="center"/>
    </xf>
    <xf numFmtId="0" fontId="3" fillId="13" borderId="31" xfId="0" applyFont="1" applyFill="1" applyBorder="1" applyAlignment="1">
      <alignment horizontal="center" vertical="center"/>
    </xf>
    <xf numFmtId="0" fontId="3" fillId="0" borderId="0" xfId="0" applyFont="1" applyFill="1">
      <alignment vertical="center"/>
    </xf>
    <xf numFmtId="0" fontId="6" fillId="0" borderId="0" xfId="0" applyFont="1" applyFill="1" applyAlignment="1">
      <alignment horizontal="left" vertical="center"/>
    </xf>
    <xf numFmtId="0" fontId="5" fillId="0" borderId="0" xfId="0" applyFont="1" applyFill="1" applyAlignment="1">
      <alignment horizontal="right" vertical="center"/>
    </xf>
    <xf numFmtId="0" fontId="14" fillId="11" borderId="0" xfId="0" applyFont="1" applyFill="1" applyAlignment="1">
      <alignment horizontal="left" vertical="center"/>
    </xf>
    <xf numFmtId="0" fontId="10" fillId="0" borderId="0" xfId="0" applyFont="1">
      <alignment vertical="center"/>
    </xf>
    <xf numFmtId="0" fontId="3" fillId="13" borderId="31" xfId="0" applyFont="1" applyFill="1" applyBorder="1" applyAlignment="1">
      <alignment horizontal="center" vertical="center"/>
    </xf>
    <xf numFmtId="0" fontId="3" fillId="13" borderId="31" xfId="0" applyFont="1" applyFill="1" applyBorder="1" applyAlignment="1">
      <alignment horizontal="center" vertical="center"/>
    </xf>
    <xf numFmtId="0" fontId="3" fillId="13" borderId="31" xfId="0" applyFont="1" applyFill="1" applyBorder="1" applyAlignment="1">
      <alignment horizontal="center" vertical="center"/>
    </xf>
    <xf numFmtId="0" fontId="15" fillId="0" borderId="0" xfId="0" applyFont="1">
      <alignment vertical="center"/>
    </xf>
    <xf numFmtId="0" fontId="20" fillId="0" borderId="0" xfId="0" applyFont="1">
      <alignment vertical="center"/>
    </xf>
    <xf numFmtId="0" fontId="3" fillId="13" borderId="38" xfId="0" applyFont="1" applyFill="1" applyBorder="1" applyAlignment="1">
      <alignment horizontal="center" vertical="center"/>
    </xf>
    <xf numFmtId="0" fontId="3" fillId="13" borderId="31" xfId="0" applyFont="1" applyFill="1" applyBorder="1" applyAlignment="1">
      <alignment horizontal="center" vertical="center"/>
    </xf>
    <xf numFmtId="0" fontId="11" fillId="0" borderId="58" xfId="0" applyFont="1" applyBorder="1" applyAlignment="1">
      <alignment horizontal="center" vertical="center"/>
    </xf>
    <xf numFmtId="0" fontId="3" fillId="13" borderId="38" xfId="0" applyFont="1" applyFill="1" applyBorder="1" applyAlignment="1">
      <alignment horizontal="center" vertical="center"/>
    </xf>
    <xf numFmtId="0" fontId="3" fillId="13" borderId="31" xfId="0" applyFont="1" applyFill="1" applyBorder="1" applyAlignment="1">
      <alignment horizontal="center" vertical="center"/>
    </xf>
    <xf numFmtId="0" fontId="11" fillId="0" borderId="87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176" fontId="3" fillId="6" borderId="91" xfId="1" applyFont="1" applyFill="1" applyBorder="1">
      <alignment vertical="center"/>
    </xf>
    <xf numFmtId="176" fontId="3" fillId="6" borderId="92" xfId="1" applyFont="1" applyFill="1" applyBorder="1">
      <alignment vertical="center"/>
    </xf>
    <xf numFmtId="176" fontId="3" fillId="6" borderId="93" xfId="1" applyFont="1" applyFill="1" applyBorder="1">
      <alignment vertical="center"/>
    </xf>
    <xf numFmtId="176" fontId="3" fillId="6" borderId="94" xfId="1" applyFont="1" applyFill="1" applyBorder="1">
      <alignment vertical="center"/>
    </xf>
    <xf numFmtId="176" fontId="3" fillId="6" borderId="95" xfId="1" applyFont="1" applyFill="1" applyBorder="1">
      <alignment vertical="center"/>
    </xf>
    <xf numFmtId="176" fontId="3" fillId="6" borderId="96" xfId="1" applyFont="1" applyFill="1" applyBorder="1">
      <alignment vertical="center"/>
    </xf>
    <xf numFmtId="176" fontId="3" fillId="6" borderId="97" xfId="1" applyFont="1" applyFill="1" applyBorder="1">
      <alignment vertical="center"/>
    </xf>
    <xf numFmtId="0" fontId="3" fillId="13" borderId="31" xfId="0" applyFont="1" applyFill="1" applyBorder="1" applyAlignment="1">
      <alignment horizontal="center" vertical="center"/>
    </xf>
    <xf numFmtId="0" fontId="3" fillId="13" borderId="98" xfId="0" applyFont="1" applyFill="1" applyBorder="1" applyAlignment="1">
      <alignment horizontal="center" vertical="center"/>
    </xf>
    <xf numFmtId="176" fontId="0" fillId="0" borderId="0" xfId="0" applyNumberFormat="1">
      <alignment vertical="center"/>
    </xf>
    <xf numFmtId="0" fontId="8" fillId="0" borderId="11" xfId="0" applyFont="1" applyFill="1" applyBorder="1" applyAlignment="1">
      <alignment horizontal="center" vertical="center"/>
    </xf>
    <xf numFmtId="0" fontId="3" fillId="13" borderId="31" xfId="0" applyFont="1" applyFill="1" applyBorder="1" applyAlignment="1">
      <alignment horizontal="center" vertical="center"/>
    </xf>
    <xf numFmtId="0" fontId="21" fillId="0" borderId="0" xfId="0" quotePrefix="1" applyFont="1">
      <alignment vertical="center"/>
    </xf>
    <xf numFmtId="0" fontId="10" fillId="0" borderId="0" xfId="0" quotePrefix="1" applyFont="1">
      <alignment vertical="center"/>
    </xf>
    <xf numFmtId="0" fontId="20" fillId="0" borderId="0" xfId="0" quotePrefix="1" applyFont="1">
      <alignment vertical="center"/>
    </xf>
    <xf numFmtId="0" fontId="3" fillId="13" borderId="31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left" vertical="center"/>
    </xf>
    <xf numFmtId="0" fontId="3" fillId="13" borderId="38" xfId="0" applyFont="1" applyFill="1" applyBorder="1" applyAlignment="1">
      <alignment horizontal="center" vertical="center"/>
    </xf>
    <xf numFmtId="0" fontId="11" fillId="0" borderId="0" xfId="0" applyFont="1" applyFill="1">
      <alignment vertical="center"/>
    </xf>
    <xf numFmtId="0" fontId="6" fillId="5" borderId="0" xfId="0" applyFont="1" applyFill="1">
      <alignment vertical="center"/>
    </xf>
    <xf numFmtId="0" fontId="24" fillId="3" borderId="0" xfId="0" applyFont="1" applyFill="1" applyAlignment="1">
      <alignment horizontal="left" vertical="center"/>
    </xf>
    <xf numFmtId="0" fontId="25" fillId="3" borderId="0" xfId="0" applyFont="1" applyFill="1" applyAlignment="1">
      <alignment horizontal="right" vertical="center"/>
    </xf>
    <xf numFmtId="0" fontId="13" fillId="0" borderId="0" xfId="0" applyFont="1" applyAlignment="1"/>
    <xf numFmtId="0" fontId="3" fillId="0" borderId="0" xfId="0" applyFont="1" applyAlignment="1">
      <alignment horizontal="center" vertical="center"/>
    </xf>
    <xf numFmtId="0" fontId="11" fillId="0" borderId="0" xfId="0" applyFont="1" applyAlignment="1">
      <alignment horizontal="right" vertical="center"/>
    </xf>
    <xf numFmtId="3" fontId="9" fillId="8" borderId="7" xfId="0" applyNumberFormat="1" applyFont="1" applyFill="1" applyBorder="1" applyAlignment="1">
      <alignment horizontal="center" vertical="center"/>
    </xf>
    <xf numFmtId="3" fontId="10" fillId="7" borderId="7" xfId="0" applyNumberFormat="1" applyFont="1" applyFill="1" applyBorder="1" applyAlignment="1">
      <alignment horizontal="center" vertical="center"/>
    </xf>
    <xf numFmtId="3" fontId="9" fillId="15" borderId="8" xfId="0" applyNumberFormat="1" applyFont="1" applyFill="1" applyBorder="1" applyAlignment="1">
      <alignment horizontal="center" vertical="center"/>
    </xf>
    <xf numFmtId="49" fontId="8" fillId="3" borderId="2" xfId="0" applyNumberFormat="1" applyFont="1" applyFill="1" applyBorder="1" applyAlignment="1">
      <alignment horizontal="center" vertical="center"/>
    </xf>
    <xf numFmtId="176" fontId="11" fillId="0" borderId="2" xfId="1" applyFont="1" applyBorder="1">
      <alignment vertical="center"/>
    </xf>
    <xf numFmtId="176" fontId="11" fillId="6" borderId="16" xfId="1" applyFont="1" applyFill="1" applyBorder="1">
      <alignment vertical="center"/>
    </xf>
    <xf numFmtId="0" fontId="11" fillId="0" borderId="109" xfId="0" applyFont="1" applyBorder="1">
      <alignment vertical="center"/>
    </xf>
    <xf numFmtId="0" fontId="3" fillId="0" borderId="110" xfId="0" applyFont="1" applyBorder="1" applyAlignment="1">
      <alignment horizontal="center" vertical="center"/>
    </xf>
    <xf numFmtId="176" fontId="0" fillId="0" borderId="110" xfId="1" applyFont="1" applyBorder="1">
      <alignment vertical="center"/>
    </xf>
    <xf numFmtId="176" fontId="3" fillId="6" borderId="111" xfId="1" applyFont="1" applyFill="1" applyBorder="1">
      <alignment vertical="center"/>
    </xf>
    <xf numFmtId="0" fontId="3" fillId="0" borderId="112" xfId="0" applyFont="1" applyBorder="1" applyAlignment="1">
      <alignment horizontal="center" vertical="center"/>
    </xf>
    <xf numFmtId="176" fontId="0" fillId="0" borderId="112" xfId="1" applyFont="1" applyBorder="1">
      <alignment vertical="center"/>
    </xf>
    <xf numFmtId="176" fontId="3" fillId="6" borderId="113" xfId="1" applyFont="1" applyFill="1" applyBorder="1">
      <alignment vertical="center"/>
    </xf>
    <xf numFmtId="0" fontId="3" fillId="0" borderId="114" xfId="0" applyFont="1" applyBorder="1" applyAlignment="1">
      <alignment horizontal="center" vertical="center"/>
    </xf>
    <xf numFmtId="176" fontId="0" fillId="0" borderId="114" xfId="1" applyFont="1" applyBorder="1">
      <alignment vertical="center"/>
    </xf>
    <xf numFmtId="176" fontId="3" fillId="6" borderId="115" xfId="1" applyFont="1" applyFill="1" applyBorder="1">
      <alignment vertical="center"/>
    </xf>
    <xf numFmtId="0" fontId="11" fillId="0" borderId="109" xfId="0" applyFont="1" applyBorder="1" applyAlignment="1">
      <alignment horizontal="center" vertical="center"/>
    </xf>
    <xf numFmtId="0" fontId="3" fillId="13" borderId="38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38" xfId="0" applyFont="1" applyBorder="1" applyAlignment="1">
      <alignment horizontal="center" vertical="center"/>
    </xf>
    <xf numFmtId="0" fontId="22" fillId="12" borderId="0" xfId="0" applyFont="1" applyFill="1" applyBorder="1" applyAlignment="1">
      <alignment horizontal="center" vertical="center" wrapText="1" readingOrder="1"/>
    </xf>
    <xf numFmtId="0" fontId="3" fillId="0" borderId="1" xfId="0" applyFont="1" applyBorder="1" applyAlignment="1">
      <alignment horizontal="center" vertical="center"/>
    </xf>
    <xf numFmtId="0" fontId="3" fillId="13" borderId="31" xfId="0" applyFont="1" applyFill="1" applyBorder="1" applyAlignment="1">
      <alignment horizontal="center" vertical="center"/>
    </xf>
    <xf numFmtId="0" fontId="8" fillId="3" borderId="118" xfId="0" applyFont="1" applyFill="1" applyBorder="1" applyAlignment="1">
      <alignment horizontal="center" vertical="center"/>
    </xf>
    <xf numFmtId="49" fontId="8" fillId="3" borderId="120" xfId="0" applyNumberFormat="1" applyFont="1" applyFill="1" applyBorder="1" applyAlignment="1">
      <alignment horizontal="center" vertical="center"/>
    </xf>
    <xf numFmtId="0" fontId="8" fillId="3" borderId="120" xfId="0" applyFont="1" applyFill="1" applyBorder="1" applyAlignment="1">
      <alignment horizontal="center" vertical="center"/>
    </xf>
    <xf numFmtId="0" fontId="8" fillId="4" borderId="120" xfId="0" applyFont="1" applyFill="1" applyBorder="1" applyAlignment="1">
      <alignment horizontal="center" vertical="center"/>
    </xf>
    <xf numFmtId="176" fontId="11" fillId="0" borderId="120" xfId="1" applyFont="1" applyBorder="1">
      <alignment vertical="center"/>
    </xf>
    <xf numFmtId="176" fontId="11" fillId="6" borderId="121" xfId="1" applyFont="1" applyFill="1" applyBorder="1">
      <alignment vertical="center"/>
    </xf>
    <xf numFmtId="0" fontId="11" fillId="0" borderId="122" xfId="0" applyFont="1" applyBorder="1">
      <alignment vertical="center"/>
    </xf>
    <xf numFmtId="0" fontId="26" fillId="0" borderId="0" xfId="0" applyFont="1" applyAlignment="1"/>
    <xf numFmtId="0" fontId="3" fillId="0" borderId="60" xfId="0" applyFont="1" applyBorder="1" applyAlignment="1">
      <alignment horizontal="center" vertical="center"/>
    </xf>
    <xf numFmtId="0" fontId="3" fillId="13" borderId="38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38" xfId="0" applyFont="1" applyBorder="1" applyAlignment="1">
      <alignment horizontal="center" vertical="center"/>
    </xf>
    <xf numFmtId="0" fontId="8" fillId="11" borderId="5" xfId="0" applyFont="1" applyFill="1" applyBorder="1" applyAlignment="1">
      <alignment horizontal="center" vertical="center"/>
    </xf>
    <xf numFmtId="0" fontId="8" fillId="3" borderId="119" xfId="0" applyFont="1" applyFill="1" applyBorder="1" applyAlignment="1">
      <alignment horizontal="center" vertical="center"/>
    </xf>
    <xf numFmtId="176" fontId="0" fillId="0" borderId="60" xfId="1" applyFont="1" applyBorder="1">
      <alignment vertical="center"/>
    </xf>
    <xf numFmtId="176" fontId="3" fillId="6" borderId="123" xfId="1" applyFont="1" applyFill="1" applyBorder="1">
      <alignment vertical="center"/>
    </xf>
    <xf numFmtId="0" fontId="3" fillId="13" borderId="38" xfId="0" applyFont="1" applyFill="1" applyBorder="1" applyAlignment="1">
      <alignment horizontal="center" vertical="center"/>
    </xf>
    <xf numFmtId="0" fontId="3" fillId="13" borderId="31" xfId="0" applyFont="1" applyFill="1" applyBorder="1" applyAlignment="1">
      <alignment horizontal="center" vertical="center"/>
    </xf>
    <xf numFmtId="9" fontId="11" fillId="0" borderId="0" xfId="5" applyFont="1">
      <alignment vertical="center"/>
    </xf>
    <xf numFmtId="0" fontId="22" fillId="12" borderId="105" xfId="0" applyFont="1" applyFill="1" applyBorder="1" applyAlignment="1">
      <alignment horizontal="center" vertical="center" wrapText="1" readingOrder="1"/>
    </xf>
    <xf numFmtId="0" fontId="22" fillId="12" borderId="106" xfId="0" applyFont="1" applyFill="1" applyBorder="1" applyAlignment="1">
      <alignment horizontal="center" vertical="center" wrapText="1" readingOrder="1"/>
    </xf>
    <xf numFmtId="0" fontId="22" fillId="12" borderId="107" xfId="0" applyFont="1" applyFill="1" applyBorder="1" applyAlignment="1">
      <alignment horizontal="center" vertical="center" wrapText="1" readingOrder="1"/>
    </xf>
    <xf numFmtId="0" fontId="22" fillId="12" borderId="108" xfId="0" applyFont="1" applyFill="1" applyBorder="1" applyAlignment="1">
      <alignment horizontal="center" vertical="center" wrapText="1" readingOrder="1"/>
    </xf>
    <xf numFmtId="0" fontId="22" fillId="12" borderId="116" xfId="0" applyFont="1" applyFill="1" applyBorder="1" applyAlignment="1">
      <alignment horizontal="center" vertical="center" wrapText="1" readingOrder="1"/>
    </xf>
    <xf numFmtId="0" fontId="22" fillId="12" borderId="117" xfId="0" applyFont="1" applyFill="1" applyBorder="1" applyAlignment="1">
      <alignment horizontal="center" vertical="center" wrapText="1" readingOrder="1"/>
    </xf>
    <xf numFmtId="0" fontId="22" fillId="12" borderId="99" xfId="0" applyFont="1" applyFill="1" applyBorder="1" applyAlignment="1">
      <alignment horizontal="center" vertical="center" wrapText="1" readingOrder="1"/>
    </xf>
    <xf numFmtId="0" fontId="22" fillId="12" borderId="100" xfId="0" applyFont="1" applyFill="1" applyBorder="1" applyAlignment="1">
      <alignment horizontal="center" vertical="center" wrapText="1" readingOrder="1"/>
    </xf>
    <xf numFmtId="0" fontId="22" fillId="14" borderId="99" xfId="0" applyFont="1" applyFill="1" applyBorder="1" applyAlignment="1">
      <alignment horizontal="center" vertical="center" wrapText="1" readingOrder="1"/>
    </xf>
    <xf numFmtId="0" fontId="22" fillId="14" borderId="100" xfId="0" applyFont="1" applyFill="1" applyBorder="1" applyAlignment="1">
      <alignment horizontal="center" vertical="center" wrapText="1" readingOrder="1"/>
    </xf>
    <xf numFmtId="0" fontId="22" fillId="14" borderId="101" xfId="0" applyFont="1" applyFill="1" applyBorder="1" applyAlignment="1">
      <alignment horizontal="center" vertical="center" wrapText="1" readingOrder="1"/>
    </xf>
    <xf numFmtId="0" fontId="22" fillId="14" borderId="102" xfId="0" applyFont="1" applyFill="1" applyBorder="1" applyAlignment="1">
      <alignment horizontal="center" vertical="center" wrapText="1" readingOrder="1"/>
    </xf>
    <xf numFmtId="0" fontId="22" fillId="14" borderId="103" xfId="0" applyFont="1" applyFill="1" applyBorder="1" applyAlignment="1">
      <alignment horizontal="center" vertical="center" wrapText="1" readingOrder="1"/>
    </xf>
    <xf numFmtId="0" fontId="22" fillId="14" borderId="104" xfId="0" applyFont="1" applyFill="1" applyBorder="1" applyAlignment="1">
      <alignment horizontal="center" vertical="center" wrapText="1" readingOrder="1"/>
    </xf>
    <xf numFmtId="0" fontId="6" fillId="5" borderId="0" xfId="0" applyFont="1" applyFill="1" applyAlignment="1">
      <alignment horizontal="left" vertical="center"/>
    </xf>
    <xf numFmtId="0" fontId="23" fillId="5" borderId="0" xfId="0" applyFont="1" applyFill="1" applyAlignment="1">
      <alignment horizontal="left" vertical="center"/>
    </xf>
    <xf numFmtId="0" fontId="3" fillId="13" borderId="56" xfId="0" applyFont="1" applyFill="1" applyBorder="1" applyAlignment="1">
      <alignment horizontal="center" vertical="center"/>
    </xf>
    <xf numFmtId="0" fontId="3" fillId="13" borderId="51" xfId="0" applyFont="1" applyFill="1" applyBorder="1" applyAlignment="1">
      <alignment horizontal="center" vertical="center"/>
    </xf>
    <xf numFmtId="0" fontId="3" fillId="13" borderId="81" xfId="0" applyFont="1" applyFill="1" applyBorder="1" applyAlignment="1">
      <alignment horizontal="center" vertical="center"/>
    </xf>
    <xf numFmtId="0" fontId="3" fillId="13" borderId="80" xfId="0" applyFont="1" applyFill="1" applyBorder="1" applyAlignment="1">
      <alignment horizontal="center" vertical="center"/>
    </xf>
    <xf numFmtId="0" fontId="3" fillId="11" borderId="21" xfId="0" applyFont="1" applyFill="1" applyBorder="1" applyAlignment="1">
      <alignment horizontal="center" vertical="center"/>
    </xf>
    <xf numFmtId="0" fontId="3" fillId="11" borderId="22" xfId="0" applyFont="1" applyFill="1" applyBorder="1" applyAlignment="1">
      <alignment horizontal="center" vertical="center"/>
    </xf>
    <xf numFmtId="0" fontId="3" fillId="13" borderId="63" xfId="0" applyFont="1" applyFill="1" applyBorder="1" applyAlignment="1">
      <alignment horizontal="center" vertical="center"/>
    </xf>
    <xf numFmtId="0" fontId="3" fillId="13" borderId="54" xfId="0" applyFont="1" applyFill="1" applyBorder="1" applyAlignment="1">
      <alignment horizontal="center" vertical="center"/>
    </xf>
    <xf numFmtId="0" fontId="3" fillId="13" borderId="79" xfId="0" applyFont="1" applyFill="1" applyBorder="1" applyAlignment="1">
      <alignment horizontal="center" vertical="center"/>
    </xf>
    <xf numFmtId="0" fontId="3" fillId="13" borderId="59" xfId="0" applyFont="1" applyFill="1" applyBorder="1" applyAlignment="1">
      <alignment horizontal="center" vertical="center"/>
    </xf>
    <xf numFmtId="0" fontId="19" fillId="0" borderId="55" xfId="0" applyFont="1" applyBorder="1" applyAlignment="1">
      <alignment horizontal="center" vertical="center" wrapText="1"/>
    </xf>
    <xf numFmtId="0" fontId="19" fillId="0" borderId="54" xfId="0" applyFont="1" applyBorder="1" applyAlignment="1">
      <alignment horizontal="center" vertical="center" wrapText="1"/>
    </xf>
    <xf numFmtId="0" fontId="19" fillId="0" borderId="65" xfId="0" applyFont="1" applyBorder="1" applyAlignment="1">
      <alignment horizontal="center"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60" xfId="0" applyFont="1" applyBorder="1" applyAlignment="1">
      <alignment horizontal="center" vertical="center" wrapText="1"/>
    </xf>
    <xf numFmtId="0" fontId="3" fillId="0" borderId="6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38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13" borderId="21" xfId="0" applyFont="1" applyFill="1" applyBorder="1" applyAlignment="1">
      <alignment horizontal="center" vertical="center"/>
    </xf>
    <xf numFmtId="0" fontId="3" fillId="13" borderId="38" xfId="0" applyFont="1" applyFill="1" applyBorder="1" applyAlignment="1">
      <alignment horizontal="center" vertical="center"/>
    </xf>
    <xf numFmtId="0" fontId="19" fillId="0" borderId="54" xfId="0" applyFont="1" applyBorder="1" applyAlignment="1">
      <alignment horizontal="center" vertical="center"/>
    </xf>
    <xf numFmtId="0" fontId="19" fillId="0" borderId="65" xfId="0" applyFont="1" applyBorder="1" applyAlignment="1">
      <alignment horizontal="center" vertical="center"/>
    </xf>
    <xf numFmtId="0" fontId="3" fillId="13" borderId="61" xfId="0" applyFont="1" applyFill="1" applyBorder="1" applyAlignment="1">
      <alignment horizontal="center" vertical="center"/>
    </xf>
    <xf numFmtId="0" fontId="3" fillId="13" borderId="20" xfId="0" applyFont="1" applyFill="1" applyBorder="1" applyAlignment="1">
      <alignment horizontal="center" vertical="center"/>
    </xf>
    <xf numFmtId="0" fontId="3" fillId="13" borderId="37" xfId="0" applyFont="1" applyFill="1" applyBorder="1" applyAlignment="1">
      <alignment horizontal="center" vertical="center"/>
    </xf>
    <xf numFmtId="0" fontId="19" fillId="0" borderId="74" xfId="0" applyFont="1" applyBorder="1" applyAlignment="1">
      <alignment horizontal="center" vertical="center"/>
    </xf>
    <xf numFmtId="0" fontId="19" fillId="0" borderId="73" xfId="0" applyFont="1" applyBorder="1" applyAlignment="1">
      <alignment horizontal="center" vertical="center"/>
    </xf>
    <xf numFmtId="0" fontId="3" fillId="0" borderId="53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65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center" vertical="center" wrapText="1"/>
    </xf>
    <xf numFmtId="0" fontId="3" fillId="0" borderId="61" xfId="0" applyFont="1" applyBorder="1" applyAlignment="1">
      <alignment horizontal="center" vertical="center"/>
    </xf>
    <xf numFmtId="0" fontId="3" fillId="13" borderId="30" xfId="0" applyFont="1" applyFill="1" applyBorder="1" applyAlignment="1">
      <alignment horizontal="center" vertical="center"/>
    </xf>
    <xf numFmtId="0" fontId="3" fillId="13" borderId="57" xfId="0" applyFont="1" applyFill="1" applyBorder="1" applyAlignment="1">
      <alignment horizontal="center" vertical="center"/>
    </xf>
    <xf numFmtId="0" fontId="3" fillId="13" borderId="52" xfId="0" applyFont="1" applyFill="1" applyBorder="1" applyAlignment="1">
      <alignment horizontal="center" vertical="center"/>
    </xf>
    <xf numFmtId="0" fontId="3" fillId="0" borderId="55" xfId="0" applyFont="1" applyBorder="1" applyAlignment="1">
      <alignment horizontal="center" vertical="center" wrapText="1"/>
    </xf>
    <xf numFmtId="0" fontId="3" fillId="0" borderId="71" xfId="0" applyFont="1" applyBorder="1" applyAlignment="1">
      <alignment horizontal="center" vertical="center" wrapText="1"/>
    </xf>
    <xf numFmtId="0" fontId="3" fillId="0" borderId="40" xfId="0" applyFont="1" applyBorder="1" applyAlignment="1">
      <alignment horizontal="center" vertical="center" wrapText="1"/>
    </xf>
    <xf numFmtId="0" fontId="3" fillId="0" borderId="23" xfId="0" applyFont="1" applyBorder="1" applyAlignment="1">
      <alignment horizontal="center" vertical="center" wrapText="1"/>
    </xf>
    <xf numFmtId="0" fontId="3" fillId="0" borderId="72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 wrapText="1"/>
    </xf>
    <xf numFmtId="0" fontId="3" fillId="0" borderId="25" xfId="0" applyFont="1" applyBorder="1" applyAlignment="1">
      <alignment horizontal="center" vertical="center" wrapText="1"/>
    </xf>
    <xf numFmtId="0" fontId="19" fillId="0" borderId="55" xfId="0" applyFont="1" applyBorder="1" applyAlignment="1">
      <alignment horizontal="center" vertical="center"/>
    </xf>
    <xf numFmtId="0" fontId="3" fillId="13" borderId="77" xfId="0" applyFont="1" applyFill="1" applyBorder="1" applyAlignment="1">
      <alignment horizontal="center" vertical="center"/>
    </xf>
    <xf numFmtId="0" fontId="3" fillId="13" borderId="78" xfId="0" applyFont="1" applyFill="1" applyBorder="1" applyAlignment="1">
      <alignment horizontal="center" vertical="center"/>
    </xf>
    <xf numFmtId="0" fontId="3" fillId="0" borderId="66" xfId="0" applyFont="1" applyBorder="1" applyAlignment="1">
      <alignment horizontal="center" vertical="center" wrapText="1"/>
    </xf>
    <xf numFmtId="176" fontId="0" fillId="0" borderId="58" xfId="1" applyFont="1" applyBorder="1" applyAlignment="1">
      <alignment horizontal="center" vertical="center"/>
    </xf>
    <xf numFmtId="176" fontId="0" fillId="0" borderId="59" xfId="1" applyFont="1" applyBorder="1" applyAlignment="1">
      <alignment horizontal="center" vertical="center"/>
    </xf>
    <xf numFmtId="176" fontId="0" fillId="0" borderId="60" xfId="1" applyFont="1" applyBorder="1" applyAlignment="1">
      <alignment horizontal="center" vertical="center"/>
    </xf>
    <xf numFmtId="0" fontId="3" fillId="0" borderId="61" xfId="0" applyFont="1" applyBorder="1" applyAlignment="1">
      <alignment horizontal="center" vertical="center" wrapText="1"/>
    </xf>
    <xf numFmtId="0" fontId="3" fillId="11" borderId="41" xfId="0" applyFont="1" applyFill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82" xfId="0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/>
    </xf>
    <xf numFmtId="0" fontId="3" fillId="0" borderId="84" xfId="0" applyFont="1" applyBorder="1" applyAlignment="1">
      <alignment horizontal="center" vertical="center"/>
    </xf>
    <xf numFmtId="0" fontId="3" fillId="0" borderId="88" xfId="0" applyFont="1" applyBorder="1" applyAlignment="1">
      <alignment horizontal="center" vertical="center" wrapText="1"/>
    </xf>
    <xf numFmtId="0" fontId="3" fillId="0" borderId="89" xfId="0" applyFont="1" applyBorder="1" applyAlignment="1">
      <alignment horizontal="center" vertical="center"/>
    </xf>
    <xf numFmtId="0" fontId="3" fillId="0" borderId="90" xfId="0" applyFont="1" applyBorder="1" applyAlignment="1">
      <alignment horizontal="center" vertical="center"/>
    </xf>
    <xf numFmtId="0" fontId="3" fillId="0" borderId="85" xfId="0" applyFont="1" applyBorder="1" applyAlignment="1">
      <alignment horizontal="center" vertical="center" wrapText="1"/>
    </xf>
    <xf numFmtId="0" fontId="3" fillId="0" borderId="86" xfId="0" applyFont="1" applyBorder="1" applyAlignment="1">
      <alignment horizontal="center" vertical="center"/>
    </xf>
    <xf numFmtId="0" fontId="3" fillId="0" borderId="58" xfId="0" applyFont="1" applyBorder="1" applyAlignment="1">
      <alignment horizontal="center" vertical="center"/>
    </xf>
    <xf numFmtId="0" fontId="3" fillId="11" borderId="49" xfId="0" applyFont="1" applyFill="1" applyBorder="1" applyAlignment="1">
      <alignment horizontal="center" vertical="center"/>
    </xf>
    <xf numFmtId="0" fontId="3" fillId="11" borderId="50" xfId="0" applyFont="1" applyFill="1" applyBorder="1" applyAlignment="1">
      <alignment horizontal="center" vertical="center"/>
    </xf>
    <xf numFmtId="0" fontId="3" fillId="13" borderId="64" xfId="0" applyFont="1" applyFill="1" applyBorder="1" applyAlignment="1">
      <alignment horizontal="center" vertical="center"/>
    </xf>
    <xf numFmtId="0" fontId="3" fillId="0" borderId="37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/>
    </xf>
    <xf numFmtId="0" fontId="3" fillId="0" borderId="65" xfId="0" applyFont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38" xfId="0" applyFont="1" applyBorder="1" applyAlignment="1">
      <alignment horizontal="center" vertical="center" wrapText="1"/>
    </xf>
    <xf numFmtId="0" fontId="3" fillId="11" borderId="21" xfId="0" applyFont="1" applyFill="1" applyBorder="1" applyAlignment="1">
      <alignment horizontal="center" vertical="center" wrapText="1"/>
    </xf>
    <xf numFmtId="0" fontId="3" fillId="13" borderId="31" xfId="0" applyFont="1" applyFill="1" applyBorder="1" applyAlignment="1">
      <alignment horizontal="center" vertical="center"/>
    </xf>
    <xf numFmtId="0" fontId="19" fillId="0" borderId="28" xfId="0" applyFont="1" applyBorder="1" applyAlignment="1">
      <alignment horizontal="center" vertical="center" wrapText="1"/>
    </xf>
    <xf numFmtId="0" fontId="8" fillId="11" borderId="11" xfId="0" applyFont="1" applyFill="1" applyBorder="1" applyAlignment="1">
      <alignment horizontal="center" vertical="center"/>
    </xf>
  </cellXfs>
  <cellStyles count="6">
    <cellStyle name="백분율" xfId="5" builtinId="5"/>
    <cellStyle name="백분율 2" xfId="3" xr:uid="{00000000-0005-0000-0000-000000000000}"/>
    <cellStyle name="쉼표 [0]" xfId="1" builtinId="6"/>
    <cellStyle name="쉼표 [0] 2" xfId="4" xr:uid="{00000000-0005-0000-0000-000002000000}"/>
    <cellStyle name="표준" xfId="0" builtinId="0"/>
    <cellStyle name="표준 2" xfId="2" xr:uid="{00000000-0005-0000-0000-000004000000}"/>
  </cellStyles>
  <dxfs count="0"/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조아름[DS사업1팀/팀원]" refreshedDate="45845.752849652781" createdVersion="8" refreshedVersion="8" minRefreshableVersion="3" recordCount="1401" xr:uid="{00000000-000A-0000-FFFF-FFFF55000000}">
  <cacheSource type="worksheet">
    <worksheetSource ref="B11:J2152" sheet="대리점신규렌탈영업수수료"/>
  </cacheSource>
  <cacheFields count="9">
    <cacheField name="제품군" numFmtId="0">
      <sharedItems count="10">
        <s v="정수기"/>
        <s v="청정기"/>
        <s v="제습기"/>
        <s v="비데"/>
        <s v="연수기"/>
        <s v="힐링케어"/>
        <s v="매트리스"/>
        <s v="의류청정기"/>
        <s v="프레임"/>
        <s v="전기레인지"/>
      </sharedItems>
    </cacheField>
    <cacheField name="마케팅네임" numFmtId="0">
      <sharedItems count="99">
        <s v="스탠드 정수기"/>
        <s v="아이스 스탠드 슬림"/>
        <s v="프라임 1.0"/>
        <s v="프라임 2.0"/>
        <s v="아이스 스탠드"/>
        <s v="RO직수 스탠드"/>
        <s v="빌트인 정수기"/>
        <s v="AIS 3.0 스파클링"/>
        <s v="프라임 베이직"/>
        <s v="AIS 3.0"/>
        <s v="노블 빌트인"/>
        <s v="노블 정수기 세로"/>
        <s v="아이콘 스탠드"/>
        <s v="노블 정수기 RO"/>
        <s v="노블 정수기 가로"/>
        <s v="나노직수 미니"/>
        <s v="프라임 아이스 맥스"/>
        <s v="프라임 스탠드"/>
        <s v="엘리트 정수기"/>
        <s v="워터스탠드2"/>
        <s v="아이콘얼음정수기"/>
        <s v="아이콘2.0"/>
        <s v="얼음정수기 RO"/>
        <s v="스위치"/>
        <s v="엘리트 빌트인"/>
        <s v="아이콘 프로"/>
        <s v="정수기_리퍼브"/>
        <s v="콰트로 파워"/>
        <s v="벽걸이"/>
        <s v="아이콘 공기청정기"/>
        <s v="듀얼클린 가습"/>
        <s v="노블청정기"/>
        <s v="파워업"/>
        <s v="제습청정기"/>
        <s v="청정기_리퍼브"/>
        <s v="노블 제습기"/>
        <s v="제습기"/>
        <s v="프라임 비데(단체)"/>
        <s v="스스로케어(저수압)"/>
        <s v="스스로케어(일반)"/>
        <s v="스타일케어"/>
        <s v="더블케어"/>
        <s v="더블케어플러스"/>
        <s v="스스로케어 리모트"/>
        <s v="프라임 비데"/>
        <s v="스스로케어 리모트2"/>
        <s v="비데_리퍼브"/>
        <s v="연수기"/>
        <s v="스킨플러스"/>
        <s v="시그니처"/>
        <s v="페블체어"/>
        <s v="안마베드"/>
        <s v="척추베드"/>
        <s v="마인플러스"/>
        <s v="리클라이닝 안마베드"/>
        <s v="리클라이닝 척추베드"/>
        <s v="마인"/>
        <s v="트리플체어"/>
        <s v="트리플체어(바퀴형)"/>
        <s v="더블체인지"/>
        <s v="하이브리드2"/>
        <s v="프라임 매트리스"/>
        <s v="메모리폼 매트리스"/>
        <s v="하이브리드3"/>
        <s v="프라임플러스 커버형"/>
        <s v="하이브리드4"/>
        <s v="스마트매트리스(구)"/>
        <s v="프라임 플러스2"/>
        <s v="프라임S"/>
        <s v="원바디2"/>
        <s v="엘리트"/>
        <s v="더블사이드"/>
        <s v="시그니처 컴포트"/>
        <s v="스마트매트리스"/>
        <s v="매트리스_리퍼브"/>
        <s v="더블케어 의류청정기"/>
        <s v="그레이스 프레임"/>
        <s v="파운데이션"/>
        <s v="싱글프레임"/>
        <s v="모던어반프레임"/>
        <s v="단매트리스 프레임"/>
        <s v="패밀리프레임"/>
        <s v="저상형 싱글 프레임"/>
        <s v="원목 쿠션 프레임"/>
        <s v="원목 프레임"/>
        <s v="마이프레임"/>
        <s v="마이프레임(사이드)"/>
        <s v="컴포트 프레임"/>
        <s v="우디 프레임"/>
        <s v="볼륨 프레임"/>
        <s v="소프트 쿠션프레임"/>
        <s v="수납형 프레임"/>
        <s v="노블인덕션"/>
        <s v="프라임S 인덕션"/>
        <s v="프라임 인덕션"/>
        <s v="프라임S 하이브리드"/>
        <s v="프라임 하이브리드"/>
        <s v="프라임S 하이라이트"/>
        <s v="W 인덕션"/>
      </sharedItems>
    </cacheField>
    <cacheField name="제품명" numFmtId="0">
      <sharedItems count="248">
        <s v="CHP-700L"/>
        <s v="CHPI-620L"/>
        <s v="CHP-264L"/>
        <s v="CHP-6310L"/>
        <s v="CP-6310L"/>
        <s v="CHPI-5801L"/>
        <s v="CHP-5700R"/>
        <s v="P-150N"/>
        <s v="CPSI-8510L"/>
        <s v="P-6320L"/>
        <s v="CHPI-7511L"/>
        <s v="CPI-7511L"/>
        <s v="CHP-3140N"/>
        <s v="CP-3140N"/>
        <s v="CHP-8200N"/>
        <s v="CP-8200N"/>
        <s v="CHP-5610N"/>
        <s v="CHP-8310L"/>
        <s v="CP-8310L"/>
        <s v="CHP-8210N"/>
        <s v="CP-8210N"/>
        <s v="P-350N"/>
        <s v="CHPI-5810L"/>
        <s v="CHP-5720L"/>
        <s v="CHP-6340L"/>
        <s v="CP-6340L"/>
        <s v="CHP-5711L"/>
        <s v="CHP-5711R"/>
        <s v="CHPI-7400N"/>
        <s v="CPI-7400N"/>
        <s v="CHP-7211N"/>
        <s v="CP-7211N"/>
        <s v="CHPI-7521L"/>
        <s v="P-2200N"/>
        <s v="CHP-1111N"/>
        <s v="CHP-1112N"/>
        <s v="CHP-7212N"/>
        <s v="CHP-5710L-RA"/>
        <s v="CP-6310L-RA"/>
        <s v="CHP-7211N-RA"/>
        <s v="AP-3018B"/>
        <s v="AP-3519A"/>
        <s v="AP-1019D"/>
        <s v="APMS-1020A"/>
        <s v="AP-1220F"/>
        <s v="AP-3021D"/>
        <s v="AP-1623M"/>
        <s v="AP-2023K"/>
        <s v="AP-3522F"/>
        <s v="AP-1225"/>
        <s v="AP-3024H"/>
        <s v="AP-4025D"/>
        <s v="AP-3525I"/>
        <s v="APD-1025E"/>
        <s v="AP-1018F-RA"/>
        <s v="AP-1023F_RA"/>
        <s v="AP-1623M_WT"/>
        <s v="AP-2023K_WT"/>
        <s v="AP-1523D"/>
        <s v="AD-1221E"/>
        <s v="AD-2325C"/>
        <s v="BA20-D"/>
        <s v="BAS39-A"/>
        <s v="BAS40-A"/>
        <s v="BAS41-A"/>
        <s v="BAS37-B"/>
        <s v="BAS38-B"/>
        <s v="BAS25-B"/>
        <s v="BA36-B"/>
        <s v="BAS37-C"/>
        <s v="BAS38-C"/>
        <s v="BAS47-AE"/>
        <s v="BAS47-AR"/>
        <s v="BAS29-C-RA"/>
        <s v="BAS31-A-RA"/>
        <s v="BA36-A_RA"/>
        <s v="BA36-B_RA"/>
        <s v="BAS40-A_RA"/>
        <s v="BAS41-A_PK"/>
        <s v="BB15-A"/>
        <s v="BB16-A"/>
        <s v="BB17-A"/>
        <s v="MC-SC01"/>
        <s v="MC-C01"/>
        <s v="MB-B01"/>
        <s v="MB-C01"/>
        <s v="MC-B02"/>
        <s v="MB-M02"/>
        <s v="MB-R02"/>
        <s v="MC-B03"/>
        <s v="MC-R01"/>
        <s v="MC-R01M"/>
        <s v="CMSS-SL01"/>
        <s v="CMQ-SL01"/>
        <s v="CMK-SL01"/>
        <s v="CMQ-PR02"/>
        <s v="CMK-PR02"/>
        <s v="CMK-S03H/M"/>
        <s v="CMQ-S03H/M"/>
        <s v="CMSS-S03H/M"/>
        <s v="CMLK-S03H/M"/>
        <s v="CMQ-M01S"/>
        <s v="CMK-PR03"/>
        <s v="CMQ-PR03"/>
        <s v="CMSS-PR03"/>
        <s v="CMQ-M01M"/>
        <s v="CMSS-M01M"/>
        <s v="CMQ-SC04"/>
        <s v="CMSS-SC04"/>
        <s v="CMK-PR04H/M"/>
        <s v="CMQ-PR04H/M"/>
        <s v="CMSS-PR04H/M"/>
        <s v="CMK-AS02"/>
        <s v="CMQ-AS02"/>
        <s v="CMSS-AS02"/>
        <s v="CMK-AS03"/>
        <s v="CMQ-AS03"/>
        <s v="CMSS-AS03"/>
        <s v="CMK-S05"/>
        <s v="CMQ-S05"/>
        <s v="CMSS-S05"/>
        <s v="CMS-S03_V2"/>
        <s v="CMQ-OB03"/>
        <s v="CMSS-OB03"/>
        <s v="CMQ-ST01EH"/>
        <s v="CMSS-ST01EH"/>
        <s v="CMS-ST01EH"/>
        <s v="CMK-SE01"/>
        <s v="CMQ-SE01"/>
        <s v="CMSS-SE01"/>
        <s v="CMLK-SP01SC"/>
        <s v="CMK-SP01SC"/>
        <s v="CMQ-SP01SC"/>
        <s v="CMSS-SP01SC"/>
        <s v="CMLK-SP01S"/>
        <s v="CMK-SP01S"/>
        <s v="CMQ-SP01S"/>
        <s v="CMSS-SP01S"/>
        <s v="CMLK-AS05"/>
        <s v="CMK-AS05"/>
        <s v="CMQ-AS05"/>
        <s v="CMSS-AS05"/>
        <s v="CMLK-AS04"/>
        <s v="CMK-AS04"/>
        <s v="CMQ-AS04"/>
        <s v="CMSS-AS04"/>
        <s v="CMLK-PR04H/M"/>
        <s v="CMK-S03H_RA"/>
        <s v="CMK-S03M_RA"/>
        <s v="CMQ-S03H_RA"/>
        <s v="CMQ-S03M_RA"/>
        <s v="CMSS-S03H_RA"/>
        <s v="CMSS-S03M_RA"/>
        <s v="FAD-01S"/>
        <s v="FAD-02S"/>
        <s v="CFLK-CB04"/>
        <s v="CFK-CB04"/>
        <s v="CFQ-CB04"/>
        <s v="CFK-F02B"/>
        <s v="CFS-W02(S 사이즈)"/>
        <s v="CFQ-F02B(CFQ-F02B)"/>
        <s v="CFSS-F02B(CFSS-F02B)"/>
        <s v="CFK-L01(K사이즈 단매트프레임)"/>
        <s v="CFQ-L01(Q사이즈 단매트프레임)"/>
        <s v="CFQ-SM01G"/>
        <s v="CFSS-SM01G"/>
        <s v="CFSS-SM01N"/>
        <s v="CFQ-LM01G"/>
        <s v="CFSS-LM01G"/>
        <s v="CFQ-LM02G"/>
        <s v="CFSS-LM02G"/>
        <s v="CFS-SM01C"/>
        <s v="CFK-F03G"/>
        <s v="CFQ-F03G"/>
        <s v="CFSS-F03G"/>
        <s v="CFK-TM10C"/>
        <s v="CFK-TM10G"/>
        <s v="CFK-TM09N/W"/>
        <s v="CFQ-TM10C/G"/>
        <s v="CFQ-TM09N/W"/>
        <s v="CFSS-TM10C/G"/>
        <s v="CFSS-TM09N/W"/>
        <s v="CFLK-F02B(CFLK-F02B)"/>
        <s v="CFLK-TM10G"/>
        <s v="CFSS-FP01"/>
        <s v="CFSS-FP02"/>
        <s v="CFSS-FP01S"/>
        <s v="CFSS-FP02S"/>
        <s v="CFQ-FP01"/>
        <s v="CFQ-FP02"/>
        <s v="CFQ-FP01S"/>
        <s v="CFQ-FP02S"/>
        <s v="CFK-FP01"/>
        <s v="CFK-FP02"/>
        <s v=" CFK-FP01S"/>
        <s v="CFK-FP02S"/>
        <s v="CFSS-CB01_IV"/>
        <s v="CFSS-CB01_GR"/>
        <s v="CFQ-CB01_IV"/>
        <s v="CFQ-CB01_GR"/>
        <s v="CFQ-CB01_OR"/>
        <s v="CFK-CB01_IV"/>
        <s v="CFK-CB01_GR"/>
        <s v="CFSS-TM11_NT"/>
        <s v="CFSS-TM11_WT"/>
        <s v="CFQ-TM11_NT"/>
        <s v="CFQ-TM11_WT"/>
        <s v="CFK-TM11_NT"/>
        <s v="CFK-TM11_WT"/>
        <s v="CFSS-F04_GR"/>
        <s v="CFSS-F04_BG"/>
        <s v="CFQ-F04_GR"/>
        <s v="CFQ-F04_BG"/>
        <s v="CFK-F04_GR"/>
        <s v="CFK-F04_BG"/>
        <s v="CFLK-F04_GR"/>
        <s v="CFLK-F04_BG"/>
        <s v="CFLK-TM12_BG"/>
        <s v="CFLK-TM12_GR"/>
        <s v="CFK-TM12_BG"/>
        <s v="CFK-TM12_GR"/>
        <s v="CFQ-TM12_BG"/>
        <s v="CFQ-TM12_GR"/>
        <s v="CFQ-TM12_RD"/>
        <s v="CFSS-TM12_BG"/>
        <s v="CFSS-TM12_GR"/>
        <s v="CFSS-CB03_IV"/>
        <s v="CFSS-CB03_GR"/>
        <s v="CFSS-CB03_PK"/>
        <s v="CFQ-CB03_IV"/>
        <s v="CFQ-CB03_GR"/>
        <s v="CFQ-CB03_PK"/>
        <s v="CFK-CB03_IV"/>
        <s v="CFK-CB03_GR"/>
        <s v="CFK-CB03_PK"/>
        <s v="CFQ-SB01_BG"/>
        <s v="CFSS-SB01_BU"/>
        <s v="CFSS-SB01_PK"/>
        <s v="CFSS-SB01_BG"/>
        <s v="CFS-SB01_BG"/>
        <s v="CIR-F60"/>
        <s v="CIR-F41"/>
        <s v="CIR-303"/>
        <s v="NIP-31KE"/>
        <s v="CHR-04"/>
        <s v="NHP-31KE"/>
        <s v="CER-04"/>
        <s v="CIP-30W"/>
      </sharedItems>
    </cacheField>
    <cacheField name="렌탈료소유권" numFmtId="0">
      <sharedItems containsSemiMixedTypes="0" containsString="0" containsNumber="1" containsInteger="1" minValue="3" maxValue="9" count="5">
        <n v="3"/>
        <n v="5"/>
        <n v="6"/>
        <n v="7"/>
        <n v="9"/>
      </sharedItems>
    </cacheField>
    <cacheField name="리스구분" numFmtId="0">
      <sharedItems/>
    </cacheField>
    <cacheField name="점검주기" numFmtId="0">
      <sharedItems count="12">
        <s v="2M(2개월점검주기)"/>
        <s v="6M(6개월점검주기)"/>
        <s v="자가관리"/>
        <s v="4M(4개월점검주기)"/>
        <s v="서비스프리"/>
        <s v="방문관리(선택)"/>
        <s v="1M(1개월점검주기)"/>
        <s v="1회서비스"/>
        <s v="12M(12개월점검주기)"/>
        <s v="1회 서비스"/>
        <s v="베이직케어(4M)"/>
        <s v="베이직케어(6M)"/>
      </sharedItems>
    </cacheField>
    <cacheField name="정상가" numFmtId="176">
      <sharedItems containsSemiMixedTypes="0" containsString="0" containsNumber="1" containsInteger="1" minValue="12900" maxValue="158900"/>
    </cacheField>
    <cacheField name="약정할인가" numFmtId="176">
      <sharedItems containsSemiMixedTypes="0" containsString="0" containsNumber="1" containsInteger="1" minValue="12900" maxValue="148900"/>
    </cacheField>
    <cacheField name="렌탈영업수수료(DS)" numFmtId="176">
      <sharedItems containsSemiMixedTypes="0" containsString="0" containsNumber="1" containsInteger="1" minValue="109800" maxValue="5138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01">
  <r>
    <x v="0"/>
    <x v="0"/>
    <x v="0"/>
    <x v="0"/>
    <s v="R"/>
    <x v="0"/>
    <n v="64100"/>
    <n v="64100"/>
    <n v="321100"/>
  </r>
  <r>
    <x v="0"/>
    <x v="0"/>
    <x v="0"/>
    <x v="1"/>
    <s v="L"/>
    <x v="0"/>
    <n v="61600"/>
    <n v="61600"/>
    <n v="321100"/>
  </r>
  <r>
    <x v="0"/>
    <x v="0"/>
    <x v="0"/>
    <x v="2"/>
    <s v="L"/>
    <x v="0"/>
    <n v="60100"/>
    <n v="60100"/>
    <n v="401400"/>
  </r>
  <r>
    <x v="0"/>
    <x v="1"/>
    <x v="1"/>
    <x v="0"/>
    <s v="R"/>
    <x v="0"/>
    <n v="55900"/>
    <n v="52900"/>
    <n v="298700"/>
  </r>
  <r>
    <x v="0"/>
    <x v="1"/>
    <x v="1"/>
    <x v="1"/>
    <s v="L"/>
    <x v="0"/>
    <n v="53400"/>
    <n v="50400"/>
    <n v="298700"/>
  </r>
  <r>
    <x v="0"/>
    <x v="1"/>
    <x v="1"/>
    <x v="2"/>
    <s v="L"/>
    <x v="0"/>
    <n v="51900"/>
    <n v="48900"/>
    <n v="373400"/>
  </r>
  <r>
    <x v="0"/>
    <x v="2"/>
    <x v="2"/>
    <x v="0"/>
    <s v="R"/>
    <x v="0"/>
    <n v="34900"/>
    <n v="31900"/>
    <n v="109800"/>
  </r>
  <r>
    <x v="0"/>
    <x v="2"/>
    <x v="2"/>
    <x v="1"/>
    <s v="L"/>
    <x v="0"/>
    <n v="33900"/>
    <n v="30900"/>
    <n v="109800"/>
  </r>
  <r>
    <x v="0"/>
    <x v="2"/>
    <x v="2"/>
    <x v="2"/>
    <s v="L"/>
    <x v="0"/>
    <n v="32900"/>
    <n v="29900"/>
    <n v="109800"/>
  </r>
  <r>
    <x v="0"/>
    <x v="2"/>
    <x v="2"/>
    <x v="3"/>
    <s v="L"/>
    <x v="0"/>
    <n v="31900"/>
    <n v="28900"/>
    <n v="109800"/>
  </r>
  <r>
    <x v="0"/>
    <x v="3"/>
    <x v="3"/>
    <x v="0"/>
    <s v="R"/>
    <x v="0"/>
    <n v="37900"/>
    <n v="33900"/>
    <n v="242500"/>
  </r>
  <r>
    <x v="0"/>
    <x v="3"/>
    <x v="3"/>
    <x v="1"/>
    <s v="L"/>
    <x v="0"/>
    <n v="36900"/>
    <n v="32900"/>
    <n v="242500"/>
  </r>
  <r>
    <x v="0"/>
    <x v="3"/>
    <x v="3"/>
    <x v="2"/>
    <s v="L"/>
    <x v="0"/>
    <n v="35900"/>
    <n v="31900"/>
    <n v="303100"/>
  </r>
  <r>
    <x v="0"/>
    <x v="3"/>
    <x v="3"/>
    <x v="3"/>
    <s v="L"/>
    <x v="0"/>
    <n v="34900"/>
    <n v="30900"/>
    <n v="303100"/>
  </r>
  <r>
    <x v="0"/>
    <x v="3"/>
    <x v="4"/>
    <x v="0"/>
    <s v="R"/>
    <x v="0"/>
    <n v="34900"/>
    <n v="31900"/>
    <n v="242500"/>
  </r>
  <r>
    <x v="0"/>
    <x v="3"/>
    <x v="4"/>
    <x v="1"/>
    <s v="L"/>
    <x v="0"/>
    <n v="33900"/>
    <n v="30900"/>
    <n v="242500"/>
  </r>
  <r>
    <x v="0"/>
    <x v="3"/>
    <x v="4"/>
    <x v="2"/>
    <s v="L"/>
    <x v="0"/>
    <n v="32900"/>
    <n v="29900"/>
    <n v="303100"/>
  </r>
  <r>
    <x v="0"/>
    <x v="3"/>
    <x v="4"/>
    <x v="3"/>
    <s v="L"/>
    <x v="0"/>
    <n v="31900"/>
    <n v="28900"/>
    <n v="303100"/>
  </r>
  <r>
    <x v="0"/>
    <x v="4"/>
    <x v="5"/>
    <x v="0"/>
    <s v="R"/>
    <x v="0"/>
    <n v="62900"/>
    <n v="59900"/>
    <n v="309900"/>
  </r>
  <r>
    <x v="0"/>
    <x v="4"/>
    <x v="5"/>
    <x v="1"/>
    <s v="L"/>
    <x v="0"/>
    <n v="60400"/>
    <n v="57400"/>
    <n v="309900"/>
  </r>
  <r>
    <x v="0"/>
    <x v="4"/>
    <x v="5"/>
    <x v="2"/>
    <s v="L"/>
    <x v="0"/>
    <n v="58900"/>
    <n v="55900"/>
    <n v="387400"/>
  </r>
  <r>
    <x v="0"/>
    <x v="5"/>
    <x v="6"/>
    <x v="0"/>
    <s v="R"/>
    <x v="0"/>
    <n v="55900"/>
    <n v="55900"/>
    <n v="298700"/>
  </r>
  <r>
    <x v="0"/>
    <x v="5"/>
    <x v="6"/>
    <x v="1"/>
    <s v="L"/>
    <x v="0"/>
    <n v="53400"/>
    <n v="53400"/>
    <n v="298700"/>
  </r>
  <r>
    <x v="0"/>
    <x v="5"/>
    <x v="6"/>
    <x v="2"/>
    <s v="L"/>
    <x v="0"/>
    <n v="51900"/>
    <n v="51900"/>
    <n v="373400"/>
  </r>
  <r>
    <x v="0"/>
    <x v="6"/>
    <x v="7"/>
    <x v="0"/>
    <s v="R"/>
    <x v="1"/>
    <n v="23800"/>
    <n v="23800"/>
    <n v="200100"/>
  </r>
  <r>
    <x v="0"/>
    <x v="6"/>
    <x v="7"/>
    <x v="1"/>
    <s v="L"/>
    <x v="1"/>
    <n v="21300"/>
    <n v="21300"/>
    <n v="200100"/>
  </r>
  <r>
    <x v="0"/>
    <x v="6"/>
    <x v="7"/>
    <x v="2"/>
    <s v="L"/>
    <x v="1"/>
    <n v="19800"/>
    <n v="19800"/>
    <n v="250100"/>
  </r>
  <r>
    <x v="0"/>
    <x v="7"/>
    <x v="8"/>
    <x v="0"/>
    <s v="R"/>
    <x v="0"/>
    <n v="54900"/>
    <n v="52900"/>
    <n v="298700"/>
  </r>
  <r>
    <x v="0"/>
    <x v="7"/>
    <x v="8"/>
    <x v="1"/>
    <s v="L"/>
    <x v="0"/>
    <n v="52400"/>
    <n v="50400"/>
    <n v="298700"/>
  </r>
  <r>
    <x v="0"/>
    <x v="7"/>
    <x v="8"/>
    <x v="2"/>
    <s v="L"/>
    <x v="0"/>
    <n v="50900"/>
    <n v="48900"/>
    <n v="373400"/>
  </r>
  <r>
    <x v="0"/>
    <x v="8"/>
    <x v="9"/>
    <x v="0"/>
    <s v="R"/>
    <x v="0"/>
    <n v="25900"/>
    <n v="23900"/>
    <n v="200100"/>
  </r>
  <r>
    <x v="0"/>
    <x v="8"/>
    <x v="9"/>
    <x v="1"/>
    <s v="L"/>
    <x v="0"/>
    <n v="24900"/>
    <n v="22900"/>
    <n v="200100"/>
  </r>
  <r>
    <x v="0"/>
    <x v="8"/>
    <x v="9"/>
    <x v="2"/>
    <s v="L"/>
    <x v="0"/>
    <n v="23900"/>
    <n v="21900"/>
    <n v="250100"/>
  </r>
  <r>
    <x v="0"/>
    <x v="8"/>
    <x v="9"/>
    <x v="3"/>
    <s v="L"/>
    <x v="0"/>
    <n v="22900"/>
    <n v="20900"/>
    <n v="250100"/>
  </r>
  <r>
    <x v="0"/>
    <x v="9"/>
    <x v="10"/>
    <x v="0"/>
    <s v="R"/>
    <x v="0"/>
    <n v="54900"/>
    <n v="50900"/>
    <n v="287400"/>
  </r>
  <r>
    <x v="0"/>
    <x v="9"/>
    <x v="10"/>
    <x v="1"/>
    <s v="L"/>
    <x v="0"/>
    <n v="52400"/>
    <n v="48400"/>
    <n v="287400"/>
  </r>
  <r>
    <x v="0"/>
    <x v="9"/>
    <x v="10"/>
    <x v="2"/>
    <s v="L"/>
    <x v="0"/>
    <n v="50900"/>
    <n v="46900"/>
    <n v="359300"/>
  </r>
  <r>
    <x v="0"/>
    <x v="9"/>
    <x v="10"/>
    <x v="3"/>
    <s v="L"/>
    <x v="0"/>
    <n v="49400"/>
    <n v="45400"/>
    <n v="359300"/>
  </r>
  <r>
    <x v="0"/>
    <x v="9"/>
    <x v="11"/>
    <x v="0"/>
    <s v="R"/>
    <x v="0"/>
    <n v="50900"/>
    <n v="46900"/>
    <n v="276200"/>
  </r>
  <r>
    <x v="0"/>
    <x v="9"/>
    <x v="11"/>
    <x v="1"/>
    <s v="L"/>
    <x v="0"/>
    <n v="48400"/>
    <n v="44400"/>
    <n v="276200"/>
  </r>
  <r>
    <x v="0"/>
    <x v="9"/>
    <x v="11"/>
    <x v="2"/>
    <s v="L"/>
    <x v="0"/>
    <n v="46900"/>
    <n v="42900"/>
    <n v="345300"/>
  </r>
  <r>
    <x v="0"/>
    <x v="9"/>
    <x v="11"/>
    <x v="3"/>
    <s v="L"/>
    <x v="0"/>
    <n v="45400"/>
    <n v="41400"/>
    <n v="345300"/>
  </r>
  <r>
    <x v="0"/>
    <x v="10"/>
    <x v="12"/>
    <x v="0"/>
    <s v="R"/>
    <x v="1"/>
    <n v="46900"/>
    <n v="44900"/>
    <n v="276200"/>
  </r>
  <r>
    <x v="0"/>
    <x v="10"/>
    <x v="12"/>
    <x v="0"/>
    <s v="R"/>
    <x v="2"/>
    <n v="43900"/>
    <n v="41900"/>
    <n v="264900"/>
  </r>
  <r>
    <x v="0"/>
    <x v="10"/>
    <x v="12"/>
    <x v="1"/>
    <s v="L"/>
    <x v="1"/>
    <n v="44400"/>
    <n v="42400"/>
    <n v="276200"/>
  </r>
  <r>
    <x v="0"/>
    <x v="10"/>
    <x v="12"/>
    <x v="1"/>
    <s v="L"/>
    <x v="2"/>
    <n v="41400"/>
    <n v="39400"/>
    <n v="264900"/>
  </r>
  <r>
    <x v="0"/>
    <x v="10"/>
    <x v="12"/>
    <x v="2"/>
    <s v="L"/>
    <x v="1"/>
    <n v="42900"/>
    <n v="40900"/>
    <n v="345300"/>
  </r>
  <r>
    <x v="0"/>
    <x v="10"/>
    <x v="12"/>
    <x v="2"/>
    <s v="L"/>
    <x v="2"/>
    <n v="39900"/>
    <n v="37900"/>
    <n v="331100"/>
  </r>
  <r>
    <x v="0"/>
    <x v="10"/>
    <x v="12"/>
    <x v="3"/>
    <s v="L"/>
    <x v="1"/>
    <n v="41400"/>
    <n v="39400"/>
    <n v="345300"/>
  </r>
  <r>
    <x v="0"/>
    <x v="10"/>
    <x v="12"/>
    <x v="3"/>
    <s v="L"/>
    <x v="2"/>
    <n v="38400"/>
    <n v="36400"/>
    <n v="331100"/>
  </r>
  <r>
    <x v="0"/>
    <x v="10"/>
    <x v="13"/>
    <x v="0"/>
    <s v="R"/>
    <x v="1"/>
    <n v="44900"/>
    <n v="42900"/>
    <n v="276200"/>
  </r>
  <r>
    <x v="0"/>
    <x v="10"/>
    <x v="13"/>
    <x v="0"/>
    <s v="R"/>
    <x v="2"/>
    <n v="41900"/>
    <n v="39900"/>
    <n v="264900"/>
  </r>
  <r>
    <x v="0"/>
    <x v="10"/>
    <x v="13"/>
    <x v="1"/>
    <s v="L"/>
    <x v="1"/>
    <n v="42400"/>
    <n v="40400"/>
    <n v="276200"/>
  </r>
  <r>
    <x v="0"/>
    <x v="10"/>
    <x v="13"/>
    <x v="1"/>
    <s v="L"/>
    <x v="2"/>
    <n v="39400"/>
    <n v="37400"/>
    <n v="264900"/>
  </r>
  <r>
    <x v="0"/>
    <x v="10"/>
    <x v="13"/>
    <x v="2"/>
    <s v="L"/>
    <x v="1"/>
    <n v="40900"/>
    <n v="38900"/>
    <n v="345300"/>
  </r>
  <r>
    <x v="0"/>
    <x v="10"/>
    <x v="13"/>
    <x v="2"/>
    <s v="L"/>
    <x v="2"/>
    <n v="37900"/>
    <n v="35900"/>
    <n v="331100"/>
  </r>
  <r>
    <x v="0"/>
    <x v="10"/>
    <x v="13"/>
    <x v="3"/>
    <s v="L"/>
    <x v="1"/>
    <n v="39400"/>
    <n v="37400"/>
    <n v="345300"/>
  </r>
  <r>
    <x v="0"/>
    <x v="10"/>
    <x v="13"/>
    <x v="3"/>
    <s v="L"/>
    <x v="2"/>
    <n v="36400"/>
    <n v="34400"/>
    <n v="331100"/>
  </r>
  <r>
    <x v="0"/>
    <x v="11"/>
    <x v="14"/>
    <x v="0"/>
    <s v="R"/>
    <x v="1"/>
    <n v="43900"/>
    <n v="41900"/>
    <n v="264900"/>
  </r>
  <r>
    <x v="0"/>
    <x v="11"/>
    <x v="14"/>
    <x v="0"/>
    <s v="R"/>
    <x v="2"/>
    <n v="40900"/>
    <n v="38900"/>
    <n v="264900"/>
  </r>
  <r>
    <x v="0"/>
    <x v="11"/>
    <x v="14"/>
    <x v="1"/>
    <s v="L"/>
    <x v="1"/>
    <n v="41400"/>
    <n v="39400"/>
    <n v="264900"/>
  </r>
  <r>
    <x v="0"/>
    <x v="11"/>
    <x v="14"/>
    <x v="1"/>
    <s v="L"/>
    <x v="2"/>
    <n v="38400"/>
    <n v="36400"/>
    <n v="264900"/>
  </r>
  <r>
    <x v="0"/>
    <x v="11"/>
    <x v="14"/>
    <x v="2"/>
    <s v="L"/>
    <x v="1"/>
    <n v="39900"/>
    <n v="37900"/>
    <n v="331100"/>
  </r>
  <r>
    <x v="0"/>
    <x v="11"/>
    <x v="14"/>
    <x v="2"/>
    <s v="L"/>
    <x v="2"/>
    <n v="36900"/>
    <n v="34900"/>
    <n v="331100"/>
  </r>
  <r>
    <x v="0"/>
    <x v="11"/>
    <x v="14"/>
    <x v="3"/>
    <s v="L"/>
    <x v="1"/>
    <n v="38400"/>
    <n v="36400"/>
    <n v="331100"/>
  </r>
  <r>
    <x v="0"/>
    <x v="11"/>
    <x v="14"/>
    <x v="3"/>
    <s v="L"/>
    <x v="2"/>
    <n v="35400"/>
    <n v="33400"/>
    <n v="331100"/>
  </r>
  <r>
    <x v="0"/>
    <x v="11"/>
    <x v="15"/>
    <x v="0"/>
    <s v="R"/>
    <x v="1"/>
    <n v="41900"/>
    <n v="39900"/>
    <n v="264900"/>
  </r>
  <r>
    <x v="0"/>
    <x v="11"/>
    <x v="15"/>
    <x v="0"/>
    <s v="R"/>
    <x v="2"/>
    <n v="38900"/>
    <n v="36900"/>
    <n v="253700"/>
  </r>
  <r>
    <x v="0"/>
    <x v="11"/>
    <x v="15"/>
    <x v="1"/>
    <s v="L"/>
    <x v="1"/>
    <n v="39400"/>
    <n v="37400"/>
    <n v="264900"/>
  </r>
  <r>
    <x v="0"/>
    <x v="11"/>
    <x v="15"/>
    <x v="1"/>
    <s v="L"/>
    <x v="2"/>
    <n v="36400"/>
    <n v="34400"/>
    <n v="253700"/>
  </r>
  <r>
    <x v="0"/>
    <x v="11"/>
    <x v="15"/>
    <x v="2"/>
    <s v="L"/>
    <x v="1"/>
    <n v="37900"/>
    <n v="35900"/>
    <n v="331100"/>
  </r>
  <r>
    <x v="0"/>
    <x v="11"/>
    <x v="15"/>
    <x v="2"/>
    <s v="L"/>
    <x v="2"/>
    <n v="34900"/>
    <n v="32900"/>
    <n v="317100"/>
  </r>
  <r>
    <x v="0"/>
    <x v="11"/>
    <x v="15"/>
    <x v="3"/>
    <s v="L"/>
    <x v="1"/>
    <n v="36400"/>
    <n v="34400"/>
    <n v="331100"/>
  </r>
  <r>
    <x v="0"/>
    <x v="11"/>
    <x v="15"/>
    <x v="3"/>
    <s v="L"/>
    <x v="2"/>
    <n v="33400"/>
    <n v="31400"/>
    <n v="317100"/>
  </r>
  <r>
    <x v="0"/>
    <x v="12"/>
    <x v="16"/>
    <x v="0"/>
    <s v="R"/>
    <x v="1"/>
    <n v="39900"/>
    <n v="32900"/>
    <n v="242500"/>
  </r>
  <r>
    <x v="0"/>
    <x v="12"/>
    <x v="16"/>
    <x v="0"/>
    <s v="R"/>
    <x v="2"/>
    <n v="37900"/>
    <n v="30900"/>
    <n v="231200"/>
  </r>
  <r>
    <x v="0"/>
    <x v="12"/>
    <x v="16"/>
    <x v="1"/>
    <s v="L"/>
    <x v="1"/>
    <n v="37400"/>
    <n v="30400"/>
    <n v="242500"/>
  </r>
  <r>
    <x v="0"/>
    <x v="12"/>
    <x v="16"/>
    <x v="1"/>
    <s v="L"/>
    <x v="2"/>
    <n v="35400"/>
    <n v="28400"/>
    <n v="231200"/>
  </r>
  <r>
    <x v="0"/>
    <x v="12"/>
    <x v="16"/>
    <x v="2"/>
    <s v="L"/>
    <x v="1"/>
    <n v="34900"/>
    <n v="27900"/>
    <n v="303100"/>
  </r>
  <r>
    <x v="0"/>
    <x v="12"/>
    <x v="16"/>
    <x v="2"/>
    <s v="L"/>
    <x v="2"/>
    <n v="32900"/>
    <n v="25900"/>
    <n v="289000"/>
  </r>
  <r>
    <x v="0"/>
    <x v="13"/>
    <x v="17"/>
    <x v="0"/>
    <s v="R"/>
    <x v="1"/>
    <n v="43900"/>
    <n v="41900"/>
    <n v="264900"/>
  </r>
  <r>
    <x v="0"/>
    <x v="13"/>
    <x v="17"/>
    <x v="0"/>
    <s v="R"/>
    <x v="2"/>
    <n v="40900"/>
    <n v="38900"/>
    <n v="264900"/>
  </r>
  <r>
    <x v="0"/>
    <x v="13"/>
    <x v="17"/>
    <x v="1"/>
    <s v="L"/>
    <x v="1"/>
    <n v="41400"/>
    <n v="39400"/>
    <n v="264900"/>
  </r>
  <r>
    <x v="0"/>
    <x v="13"/>
    <x v="17"/>
    <x v="1"/>
    <s v="L"/>
    <x v="2"/>
    <n v="38400"/>
    <n v="36400"/>
    <n v="264900"/>
  </r>
  <r>
    <x v="0"/>
    <x v="13"/>
    <x v="17"/>
    <x v="2"/>
    <s v="L"/>
    <x v="1"/>
    <n v="39900"/>
    <n v="37900"/>
    <n v="331100"/>
  </r>
  <r>
    <x v="0"/>
    <x v="13"/>
    <x v="17"/>
    <x v="2"/>
    <s v="L"/>
    <x v="2"/>
    <n v="36900"/>
    <n v="34900"/>
    <n v="331100"/>
  </r>
  <r>
    <x v="0"/>
    <x v="13"/>
    <x v="17"/>
    <x v="3"/>
    <s v="L"/>
    <x v="1"/>
    <n v="38400"/>
    <n v="36400"/>
    <n v="331100"/>
  </r>
  <r>
    <x v="0"/>
    <x v="13"/>
    <x v="17"/>
    <x v="3"/>
    <s v="L"/>
    <x v="2"/>
    <n v="35400"/>
    <n v="33400"/>
    <n v="331100"/>
  </r>
  <r>
    <x v="0"/>
    <x v="13"/>
    <x v="18"/>
    <x v="0"/>
    <s v="R"/>
    <x v="1"/>
    <n v="41900"/>
    <n v="39900"/>
    <n v="264900"/>
  </r>
  <r>
    <x v="0"/>
    <x v="13"/>
    <x v="18"/>
    <x v="0"/>
    <s v="R"/>
    <x v="2"/>
    <n v="38900"/>
    <n v="36900"/>
    <n v="253700"/>
  </r>
  <r>
    <x v="0"/>
    <x v="13"/>
    <x v="18"/>
    <x v="1"/>
    <s v="L"/>
    <x v="1"/>
    <n v="39400"/>
    <n v="37400"/>
    <n v="264900"/>
  </r>
  <r>
    <x v="0"/>
    <x v="13"/>
    <x v="18"/>
    <x v="1"/>
    <s v="L"/>
    <x v="2"/>
    <n v="36400"/>
    <n v="34400"/>
    <n v="253700"/>
  </r>
  <r>
    <x v="0"/>
    <x v="13"/>
    <x v="18"/>
    <x v="2"/>
    <s v="L"/>
    <x v="1"/>
    <n v="37900"/>
    <n v="35900"/>
    <n v="331100"/>
  </r>
  <r>
    <x v="0"/>
    <x v="13"/>
    <x v="18"/>
    <x v="2"/>
    <s v="L"/>
    <x v="2"/>
    <n v="34900"/>
    <n v="32900"/>
    <n v="317100"/>
  </r>
  <r>
    <x v="0"/>
    <x v="13"/>
    <x v="18"/>
    <x v="3"/>
    <s v="L"/>
    <x v="1"/>
    <n v="36400"/>
    <n v="34400"/>
    <n v="331100"/>
  </r>
  <r>
    <x v="0"/>
    <x v="13"/>
    <x v="18"/>
    <x v="3"/>
    <s v="L"/>
    <x v="2"/>
    <n v="33400"/>
    <n v="31400"/>
    <n v="317100"/>
  </r>
  <r>
    <x v="0"/>
    <x v="14"/>
    <x v="19"/>
    <x v="0"/>
    <s v="R"/>
    <x v="1"/>
    <n v="43900"/>
    <n v="41900"/>
    <n v="264900"/>
  </r>
  <r>
    <x v="0"/>
    <x v="14"/>
    <x v="19"/>
    <x v="0"/>
    <s v="R"/>
    <x v="2"/>
    <n v="40900"/>
    <n v="38900"/>
    <n v="264900"/>
  </r>
  <r>
    <x v="0"/>
    <x v="14"/>
    <x v="19"/>
    <x v="1"/>
    <s v="L"/>
    <x v="1"/>
    <n v="41400"/>
    <n v="39400"/>
    <n v="264900"/>
  </r>
  <r>
    <x v="0"/>
    <x v="14"/>
    <x v="19"/>
    <x v="1"/>
    <s v="L"/>
    <x v="2"/>
    <n v="38400"/>
    <n v="36400"/>
    <n v="264900"/>
  </r>
  <r>
    <x v="0"/>
    <x v="14"/>
    <x v="19"/>
    <x v="2"/>
    <s v="L"/>
    <x v="1"/>
    <n v="39900"/>
    <n v="37900"/>
    <n v="331100"/>
  </r>
  <r>
    <x v="0"/>
    <x v="14"/>
    <x v="19"/>
    <x v="2"/>
    <s v="L"/>
    <x v="2"/>
    <n v="36900"/>
    <n v="34900"/>
    <n v="331100"/>
  </r>
  <r>
    <x v="0"/>
    <x v="14"/>
    <x v="19"/>
    <x v="3"/>
    <s v="L"/>
    <x v="1"/>
    <n v="38400"/>
    <n v="36400"/>
    <n v="331100"/>
  </r>
  <r>
    <x v="0"/>
    <x v="14"/>
    <x v="19"/>
    <x v="3"/>
    <s v="L"/>
    <x v="2"/>
    <n v="35400"/>
    <n v="33400"/>
    <n v="331100"/>
  </r>
  <r>
    <x v="0"/>
    <x v="14"/>
    <x v="20"/>
    <x v="0"/>
    <s v="R"/>
    <x v="1"/>
    <n v="41900"/>
    <n v="39900"/>
    <n v="264900"/>
  </r>
  <r>
    <x v="0"/>
    <x v="14"/>
    <x v="20"/>
    <x v="0"/>
    <s v="R"/>
    <x v="2"/>
    <n v="38900"/>
    <n v="36900"/>
    <n v="253700"/>
  </r>
  <r>
    <x v="0"/>
    <x v="14"/>
    <x v="20"/>
    <x v="1"/>
    <s v="L"/>
    <x v="1"/>
    <n v="39400"/>
    <n v="37400"/>
    <n v="264900"/>
  </r>
  <r>
    <x v="0"/>
    <x v="14"/>
    <x v="20"/>
    <x v="1"/>
    <s v="L"/>
    <x v="2"/>
    <n v="36400"/>
    <n v="34400"/>
    <n v="253700"/>
  </r>
  <r>
    <x v="0"/>
    <x v="14"/>
    <x v="20"/>
    <x v="2"/>
    <s v="L"/>
    <x v="1"/>
    <n v="37900"/>
    <n v="35900"/>
    <n v="331100"/>
  </r>
  <r>
    <x v="0"/>
    <x v="14"/>
    <x v="20"/>
    <x v="2"/>
    <s v="L"/>
    <x v="2"/>
    <n v="34900"/>
    <n v="32900"/>
    <n v="317100"/>
  </r>
  <r>
    <x v="0"/>
    <x v="14"/>
    <x v="20"/>
    <x v="3"/>
    <s v="L"/>
    <x v="1"/>
    <n v="36400"/>
    <n v="34400"/>
    <n v="331100"/>
  </r>
  <r>
    <x v="0"/>
    <x v="14"/>
    <x v="20"/>
    <x v="3"/>
    <s v="L"/>
    <x v="2"/>
    <n v="33400"/>
    <n v="31400"/>
    <n v="317100"/>
  </r>
  <r>
    <x v="0"/>
    <x v="15"/>
    <x v="21"/>
    <x v="0"/>
    <s v="R"/>
    <x v="1"/>
    <n v="21900"/>
    <n v="19900"/>
    <n v="188900"/>
  </r>
  <r>
    <x v="0"/>
    <x v="15"/>
    <x v="21"/>
    <x v="0"/>
    <s v="R"/>
    <x v="2"/>
    <n v="20900"/>
    <n v="18900"/>
    <n v="188900"/>
  </r>
  <r>
    <x v="0"/>
    <x v="15"/>
    <x v="21"/>
    <x v="1"/>
    <s v="L"/>
    <x v="1"/>
    <n v="20900"/>
    <n v="18900"/>
    <n v="188900"/>
  </r>
  <r>
    <x v="0"/>
    <x v="15"/>
    <x v="21"/>
    <x v="1"/>
    <s v="L"/>
    <x v="2"/>
    <n v="19900"/>
    <n v="17900"/>
    <n v="188900"/>
  </r>
  <r>
    <x v="0"/>
    <x v="15"/>
    <x v="21"/>
    <x v="2"/>
    <s v="L"/>
    <x v="1"/>
    <n v="19900"/>
    <n v="17900"/>
    <n v="236100"/>
  </r>
  <r>
    <x v="0"/>
    <x v="15"/>
    <x v="21"/>
    <x v="2"/>
    <s v="L"/>
    <x v="2"/>
    <n v="18900"/>
    <n v="16900"/>
    <n v="236100"/>
  </r>
  <r>
    <x v="0"/>
    <x v="15"/>
    <x v="21"/>
    <x v="3"/>
    <s v="L"/>
    <x v="1"/>
    <n v="18900"/>
    <n v="16900"/>
    <n v="236100"/>
  </r>
  <r>
    <x v="0"/>
    <x v="15"/>
    <x v="21"/>
    <x v="3"/>
    <s v="L"/>
    <x v="2"/>
    <n v="17900"/>
    <n v="15900"/>
    <n v="236100"/>
  </r>
  <r>
    <x v="0"/>
    <x v="16"/>
    <x v="22"/>
    <x v="0"/>
    <s v="R"/>
    <x v="0"/>
    <n v="68900"/>
    <n v="62900"/>
    <n v="321100"/>
  </r>
  <r>
    <x v="0"/>
    <x v="16"/>
    <x v="22"/>
    <x v="0"/>
    <s v="R"/>
    <x v="3"/>
    <n v="65900"/>
    <n v="59900"/>
    <n v="309900"/>
  </r>
  <r>
    <x v="0"/>
    <x v="16"/>
    <x v="22"/>
    <x v="1"/>
    <s v="L"/>
    <x v="0"/>
    <n v="66400"/>
    <n v="60400"/>
    <n v="321100"/>
  </r>
  <r>
    <x v="0"/>
    <x v="16"/>
    <x v="22"/>
    <x v="1"/>
    <s v="L"/>
    <x v="3"/>
    <n v="63400"/>
    <n v="57400"/>
    <n v="309900"/>
  </r>
  <r>
    <x v="0"/>
    <x v="16"/>
    <x v="22"/>
    <x v="2"/>
    <s v="L"/>
    <x v="0"/>
    <n v="64900"/>
    <n v="58900"/>
    <n v="401400"/>
  </r>
  <r>
    <x v="0"/>
    <x v="16"/>
    <x v="22"/>
    <x v="2"/>
    <s v="L"/>
    <x v="3"/>
    <n v="61900"/>
    <n v="55900"/>
    <n v="387400"/>
  </r>
  <r>
    <x v="0"/>
    <x v="17"/>
    <x v="23"/>
    <x v="0"/>
    <s v="R"/>
    <x v="0"/>
    <n v="56900"/>
    <n v="51900"/>
    <n v="287400"/>
  </r>
  <r>
    <x v="0"/>
    <x v="17"/>
    <x v="23"/>
    <x v="0"/>
    <s v="R"/>
    <x v="3"/>
    <n v="53900"/>
    <n v="48900"/>
    <n v="287400"/>
  </r>
  <r>
    <x v="0"/>
    <x v="17"/>
    <x v="23"/>
    <x v="1"/>
    <s v="L"/>
    <x v="0"/>
    <n v="54400"/>
    <n v="49400"/>
    <n v="287400"/>
  </r>
  <r>
    <x v="0"/>
    <x v="17"/>
    <x v="23"/>
    <x v="1"/>
    <s v="L"/>
    <x v="3"/>
    <n v="51400"/>
    <n v="46400"/>
    <n v="287400"/>
  </r>
  <r>
    <x v="0"/>
    <x v="17"/>
    <x v="23"/>
    <x v="2"/>
    <s v="L"/>
    <x v="0"/>
    <n v="52900"/>
    <n v="47900"/>
    <n v="359300"/>
  </r>
  <r>
    <x v="0"/>
    <x v="17"/>
    <x v="23"/>
    <x v="2"/>
    <s v="L"/>
    <x v="3"/>
    <n v="49900"/>
    <n v="44900"/>
    <n v="359300"/>
  </r>
  <r>
    <x v="0"/>
    <x v="18"/>
    <x v="24"/>
    <x v="0"/>
    <s v="R"/>
    <x v="0"/>
    <n v="37900"/>
    <n v="33900"/>
    <n v="242500"/>
  </r>
  <r>
    <x v="0"/>
    <x v="18"/>
    <x v="24"/>
    <x v="1"/>
    <s v="L"/>
    <x v="0"/>
    <n v="36900"/>
    <n v="32900"/>
    <n v="242500"/>
  </r>
  <r>
    <x v="0"/>
    <x v="18"/>
    <x v="24"/>
    <x v="2"/>
    <s v="L"/>
    <x v="0"/>
    <n v="35900"/>
    <n v="31900"/>
    <n v="303100"/>
  </r>
  <r>
    <x v="0"/>
    <x v="18"/>
    <x v="24"/>
    <x v="3"/>
    <s v="L"/>
    <x v="0"/>
    <n v="34900"/>
    <n v="30900"/>
    <n v="303100"/>
  </r>
  <r>
    <x v="0"/>
    <x v="18"/>
    <x v="25"/>
    <x v="0"/>
    <s v="R"/>
    <x v="0"/>
    <n v="34900"/>
    <n v="31900"/>
    <n v="242500"/>
  </r>
  <r>
    <x v="0"/>
    <x v="18"/>
    <x v="25"/>
    <x v="1"/>
    <s v="L"/>
    <x v="0"/>
    <n v="33900"/>
    <n v="30900"/>
    <n v="242500"/>
  </r>
  <r>
    <x v="0"/>
    <x v="18"/>
    <x v="25"/>
    <x v="2"/>
    <s v="L"/>
    <x v="0"/>
    <n v="32900"/>
    <n v="29900"/>
    <n v="303100"/>
  </r>
  <r>
    <x v="0"/>
    <x v="18"/>
    <x v="25"/>
    <x v="3"/>
    <s v="L"/>
    <x v="0"/>
    <n v="31900"/>
    <n v="28900"/>
    <n v="303100"/>
  </r>
  <r>
    <x v="0"/>
    <x v="19"/>
    <x v="26"/>
    <x v="0"/>
    <s v="R"/>
    <x v="0"/>
    <n v="46500"/>
    <n v="32900"/>
    <n v="242500"/>
  </r>
  <r>
    <x v="0"/>
    <x v="19"/>
    <x v="26"/>
    <x v="0"/>
    <s v="R"/>
    <x v="3"/>
    <n v="44500"/>
    <n v="30900"/>
    <n v="231200"/>
  </r>
  <r>
    <x v="0"/>
    <x v="19"/>
    <x v="26"/>
    <x v="1"/>
    <s v="L"/>
    <x v="0"/>
    <n v="44000"/>
    <n v="30400"/>
    <n v="242500"/>
  </r>
  <r>
    <x v="0"/>
    <x v="19"/>
    <x v="26"/>
    <x v="1"/>
    <s v="L"/>
    <x v="3"/>
    <n v="42000"/>
    <n v="28400"/>
    <n v="231200"/>
  </r>
  <r>
    <x v="0"/>
    <x v="19"/>
    <x v="26"/>
    <x v="2"/>
    <s v="L"/>
    <x v="0"/>
    <n v="41500"/>
    <n v="27900"/>
    <n v="303100"/>
  </r>
  <r>
    <x v="0"/>
    <x v="19"/>
    <x v="26"/>
    <x v="2"/>
    <s v="L"/>
    <x v="3"/>
    <n v="39500"/>
    <n v="25900"/>
    <n v="289000"/>
  </r>
  <r>
    <x v="0"/>
    <x v="19"/>
    <x v="27"/>
    <x v="0"/>
    <s v="R"/>
    <x v="0"/>
    <n v="48500"/>
    <n v="34900"/>
    <n v="242500"/>
  </r>
  <r>
    <x v="0"/>
    <x v="19"/>
    <x v="27"/>
    <x v="0"/>
    <s v="R"/>
    <x v="3"/>
    <n v="46500"/>
    <n v="32900"/>
    <n v="242500"/>
  </r>
  <r>
    <x v="0"/>
    <x v="19"/>
    <x v="27"/>
    <x v="1"/>
    <s v="L"/>
    <x v="0"/>
    <n v="46000"/>
    <n v="32400"/>
    <n v="242500"/>
  </r>
  <r>
    <x v="0"/>
    <x v="19"/>
    <x v="27"/>
    <x v="1"/>
    <s v="L"/>
    <x v="3"/>
    <n v="44000"/>
    <n v="30400"/>
    <n v="242500"/>
  </r>
  <r>
    <x v="0"/>
    <x v="19"/>
    <x v="27"/>
    <x v="2"/>
    <s v="L"/>
    <x v="0"/>
    <n v="43500"/>
    <n v="29900"/>
    <n v="303100"/>
  </r>
  <r>
    <x v="0"/>
    <x v="19"/>
    <x v="27"/>
    <x v="2"/>
    <s v="L"/>
    <x v="3"/>
    <n v="41500"/>
    <n v="27900"/>
    <n v="303100"/>
  </r>
  <r>
    <x v="0"/>
    <x v="20"/>
    <x v="28"/>
    <x v="0"/>
    <s v="R"/>
    <x v="0"/>
    <n v="59900"/>
    <n v="54900"/>
    <n v="298700"/>
  </r>
  <r>
    <x v="0"/>
    <x v="20"/>
    <x v="28"/>
    <x v="1"/>
    <s v="L"/>
    <x v="0"/>
    <n v="56400"/>
    <n v="51400"/>
    <n v="298700"/>
  </r>
  <r>
    <x v="0"/>
    <x v="20"/>
    <x v="28"/>
    <x v="2"/>
    <s v="L"/>
    <x v="0"/>
    <n v="54900"/>
    <n v="49900"/>
    <n v="373400"/>
  </r>
  <r>
    <x v="0"/>
    <x v="20"/>
    <x v="28"/>
    <x v="3"/>
    <s v="L"/>
    <x v="0"/>
    <n v="53400"/>
    <n v="48400"/>
    <n v="373400"/>
  </r>
  <r>
    <x v="0"/>
    <x v="20"/>
    <x v="29"/>
    <x v="0"/>
    <s v="R"/>
    <x v="0"/>
    <n v="56900"/>
    <n v="50900"/>
    <n v="287400"/>
  </r>
  <r>
    <x v="0"/>
    <x v="20"/>
    <x v="29"/>
    <x v="1"/>
    <s v="L"/>
    <x v="0"/>
    <n v="52400"/>
    <n v="47400"/>
    <n v="287400"/>
  </r>
  <r>
    <x v="0"/>
    <x v="20"/>
    <x v="29"/>
    <x v="2"/>
    <s v="L"/>
    <x v="0"/>
    <n v="50900"/>
    <n v="45900"/>
    <n v="359300"/>
  </r>
  <r>
    <x v="0"/>
    <x v="20"/>
    <x v="29"/>
    <x v="3"/>
    <s v="L"/>
    <x v="0"/>
    <n v="49400"/>
    <n v="44400"/>
    <n v="359300"/>
  </r>
  <r>
    <x v="0"/>
    <x v="20"/>
    <x v="28"/>
    <x v="0"/>
    <s v="R"/>
    <x v="3"/>
    <n v="56900"/>
    <n v="51900"/>
    <n v="287400"/>
  </r>
  <r>
    <x v="0"/>
    <x v="20"/>
    <x v="28"/>
    <x v="1"/>
    <s v="L"/>
    <x v="3"/>
    <n v="53400"/>
    <n v="48400"/>
    <n v="287400"/>
  </r>
  <r>
    <x v="0"/>
    <x v="20"/>
    <x v="28"/>
    <x v="2"/>
    <s v="L"/>
    <x v="3"/>
    <n v="51900"/>
    <n v="46900"/>
    <n v="359300"/>
  </r>
  <r>
    <x v="0"/>
    <x v="20"/>
    <x v="28"/>
    <x v="3"/>
    <s v="L"/>
    <x v="3"/>
    <n v="50400"/>
    <n v="45400"/>
    <n v="359300"/>
  </r>
  <r>
    <x v="0"/>
    <x v="20"/>
    <x v="29"/>
    <x v="0"/>
    <s v="R"/>
    <x v="3"/>
    <n v="53900"/>
    <n v="47900"/>
    <n v="276200"/>
  </r>
  <r>
    <x v="0"/>
    <x v="20"/>
    <x v="29"/>
    <x v="1"/>
    <s v="L"/>
    <x v="3"/>
    <n v="49400"/>
    <n v="44400"/>
    <n v="276200"/>
  </r>
  <r>
    <x v="0"/>
    <x v="20"/>
    <x v="29"/>
    <x v="2"/>
    <s v="L"/>
    <x v="3"/>
    <n v="47900"/>
    <n v="42900"/>
    <n v="345300"/>
  </r>
  <r>
    <x v="0"/>
    <x v="20"/>
    <x v="29"/>
    <x v="3"/>
    <s v="L"/>
    <x v="3"/>
    <n v="46400"/>
    <n v="41400"/>
    <n v="345300"/>
  </r>
  <r>
    <x v="0"/>
    <x v="21"/>
    <x v="30"/>
    <x v="0"/>
    <s v="R"/>
    <x v="3"/>
    <n v="41900"/>
    <n v="37900"/>
    <n v="264900"/>
  </r>
  <r>
    <x v="0"/>
    <x v="21"/>
    <x v="30"/>
    <x v="1"/>
    <s v="L"/>
    <x v="3"/>
    <n v="39400"/>
    <n v="35400"/>
    <n v="264900"/>
  </r>
  <r>
    <x v="0"/>
    <x v="21"/>
    <x v="30"/>
    <x v="2"/>
    <s v="L"/>
    <x v="3"/>
    <n v="37900"/>
    <n v="33900"/>
    <n v="331100"/>
  </r>
  <r>
    <x v="0"/>
    <x v="21"/>
    <x v="30"/>
    <x v="3"/>
    <s v="L"/>
    <x v="3"/>
    <n v="36400"/>
    <n v="32400"/>
    <n v="331100"/>
  </r>
  <r>
    <x v="0"/>
    <x v="21"/>
    <x v="30"/>
    <x v="0"/>
    <s v="R"/>
    <x v="2"/>
    <n v="37900"/>
    <n v="33900"/>
    <n v="242500"/>
  </r>
  <r>
    <x v="0"/>
    <x v="21"/>
    <x v="30"/>
    <x v="1"/>
    <s v="L"/>
    <x v="2"/>
    <n v="35400"/>
    <n v="31400"/>
    <n v="242500"/>
  </r>
  <r>
    <x v="0"/>
    <x v="21"/>
    <x v="30"/>
    <x v="2"/>
    <s v="L"/>
    <x v="2"/>
    <n v="33900"/>
    <n v="29900"/>
    <n v="303100"/>
  </r>
  <r>
    <x v="0"/>
    <x v="21"/>
    <x v="30"/>
    <x v="3"/>
    <s v="L"/>
    <x v="2"/>
    <n v="32400"/>
    <n v="28400"/>
    <n v="303100"/>
  </r>
  <r>
    <x v="0"/>
    <x v="21"/>
    <x v="31"/>
    <x v="0"/>
    <s v="R"/>
    <x v="3"/>
    <n v="39900"/>
    <n v="35900"/>
    <n v="253700"/>
  </r>
  <r>
    <x v="0"/>
    <x v="21"/>
    <x v="31"/>
    <x v="1"/>
    <s v="L"/>
    <x v="3"/>
    <n v="37400"/>
    <n v="33400"/>
    <n v="253700"/>
  </r>
  <r>
    <x v="0"/>
    <x v="21"/>
    <x v="31"/>
    <x v="2"/>
    <s v="L"/>
    <x v="3"/>
    <n v="35900"/>
    <n v="31900"/>
    <n v="317100"/>
  </r>
  <r>
    <x v="0"/>
    <x v="21"/>
    <x v="31"/>
    <x v="3"/>
    <s v="L"/>
    <x v="3"/>
    <n v="34400"/>
    <n v="30400"/>
    <n v="317100"/>
  </r>
  <r>
    <x v="0"/>
    <x v="21"/>
    <x v="31"/>
    <x v="0"/>
    <s v="R"/>
    <x v="2"/>
    <n v="35900"/>
    <n v="31900"/>
    <n v="231200"/>
  </r>
  <r>
    <x v="0"/>
    <x v="21"/>
    <x v="31"/>
    <x v="1"/>
    <s v="L"/>
    <x v="2"/>
    <n v="33400"/>
    <n v="29400"/>
    <n v="231200"/>
  </r>
  <r>
    <x v="0"/>
    <x v="21"/>
    <x v="31"/>
    <x v="2"/>
    <s v="L"/>
    <x v="2"/>
    <n v="31900"/>
    <n v="27900"/>
    <n v="289000"/>
  </r>
  <r>
    <x v="0"/>
    <x v="21"/>
    <x v="31"/>
    <x v="3"/>
    <s v="L"/>
    <x v="2"/>
    <n v="30400"/>
    <n v="26400"/>
    <n v="289000"/>
  </r>
  <r>
    <x v="0"/>
    <x v="22"/>
    <x v="32"/>
    <x v="0"/>
    <s v="R"/>
    <x v="0"/>
    <n v="54400"/>
    <n v="50400"/>
    <n v="287400"/>
  </r>
  <r>
    <x v="0"/>
    <x v="22"/>
    <x v="32"/>
    <x v="1"/>
    <s v="L"/>
    <x v="0"/>
    <n v="51400"/>
    <n v="47400"/>
    <n v="287400"/>
  </r>
  <r>
    <x v="0"/>
    <x v="22"/>
    <x v="32"/>
    <x v="2"/>
    <s v="L"/>
    <x v="0"/>
    <n v="49400"/>
    <n v="45400"/>
    <n v="359300"/>
  </r>
  <r>
    <x v="0"/>
    <x v="22"/>
    <x v="32"/>
    <x v="3"/>
    <s v="L"/>
    <x v="0"/>
    <n v="47400"/>
    <n v="43400"/>
    <n v="359300"/>
  </r>
  <r>
    <x v="0"/>
    <x v="23"/>
    <x v="33"/>
    <x v="0"/>
    <s v="R"/>
    <x v="2"/>
    <n v="21900"/>
    <n v="19900"/>
    <n v="188900"/>
  </r>
  <r>
    <x v="0"/>
    <x v="23"/>
    <x v="33"/>
    <x v="1"/>
    <s v="L"/>
    <x v="2"/>
    <n v="19900"/>
    <n v="17900"/>
    <n v="188900"/>
  </r>
  <r>
    <x v="0"/>
    <x v="23"/>
    <x v="33"/>
    <x v="2"/>
    <s v="L"/>
    <x v="2"/>
    <n v="18900"/>
    <n v="16900"/>
    <n v="236100"/>
  </r>
  <r>
    <x v="0"/>
    <x v="23"/>
    <x v="33"/>
    <x v="3"/>
    <s v="L"/>
    <x v="2"/>
    <n v="17900"/>
    <n v="15900"/>
    <n v="236100"/>
  </r>
  <r>
    <x v="0"/>
    <x v="23"/>
    <x v="33"/>
    <x v="0"/>
    <s v="R"/>
    <x v="1"/>
    <n v="23900"/>
    <n v="21900"/>
    <n v="188900"/>
  </r>
  <r>
    <x v="0"/>
    <x v="23"/>
    <x v="33"/>
    <x v="1"/>
    <s v="L"/>
    <x v="1"/>
    <n v="21900"/>
    <n v="19900"/>
    <n v="188900"/>
  </r>
  <r>
    <x v="0"/>
    <x v="23"/>
    <x v="33"/>
    <x v="2"/>
    <s v="L"/>
    <x v="1"/>
    <n v="20900"/>
    <n v="18900"/>
    <n v="236100"/>
  </r>
  <r>
    <x v="0"/>
    <x v="23"/>
    <x v="33"/>
    <x v="3"/>
    <s v="L"/>
    <x v="1"/>
    <n v="19900"/>
    <n v="17900"/>
    <n v="236100"/>
  </r>
  <r>
    <x v="0"/>
    <x v="24"/>
    <x v="34"/>
    <x v="0"/>
    <s v="R"/>
    <x v="1"/>
    <n v="44900"/>
    <n v="40900"/>
    <n v="264900"/>
  </r>
  <r>
    <x v="0"/>
    <x v="24"/>
    <x v="34"/>
    <x v="1"/>
    <s v="L"/>
    <x v="1"/>
    <n v="41900"/>
    <n v="37900"/>
    <n v="264900"/>
  </r>
  <r>
    <x v="0"/>
    <x v="24"/>
    <x v="34"/>
    <x v="2"/>
    <s v="L"/>
    <x v="1"/>
    <n v="39900"/>
    <n v="35900"/>
    <n v="331100"/>
  </r>
  <r>
    <x v="0"/>
    <x v="24"/>
    <x v="34"/>
    <x v="3"/>
    <s v="L"/>
    <x v="1"/>
    <n v="37900"/>
    <n v="33900"/>
    <n v="331100"/>
  </r>
  <r>
    <x v="0"/>
    <x v="24"/>
    <x v="34"/>
    <x v="0"/>
    <s v="R"/>
    <x v="2"/>
    <n v="41900"/>
    <n v="37900"/>
    <n v="253700"/>
  </r>
  <r>
    <x v="0"/>
    <x v="24"/>
    <x v="34"/>
    <x v="1"/>
    <s v="L"/>
    <x v="2"/>
    <n v="38900"/>
    <n v="34900"/>
    <n v="253700"/>
  </r>
  <r>
    <x v="0"/>
    <x v="24"/>
    <x v="34"/>
    <x v="2"/>
    <s v="L"/>
    <x v="2"/>
    <n v="36900"/>
    <n v="32900"/>
    <n v="317100"/>
  </r>
  <r>
    <x v="0"/>
    <x v="24"/>
    <x v="34"/>
    <x v="3"/>
    <s v="L"/>
    <x v="2"/>
    <n v="34900"/>
    <n v="30900"/>
    <n v="317100"/>
  </r>
  <r>
    <x v="0"/>
    <x v="24"/>
    <x v="35"/>
    <x v="0"/>
    <s v="R"/>
    <x v="1"/>
    <n v="44900"/>
    <n v="40900"/>
    <n v="264900"/>
  </r>
  <r>
    <x v="0"/>
    <x v="24"/>
    <x v="35"/>
    <x v="1"/>
    <s v="L"/>
    <x v="1"/>
    <n v="41900"/>
    <n v="37900"/>
    <n v="264900"/>
  </r>
  <r>
    <x v="0"/>
    <x v="24"/>
    <x v="35"/>
    <x v="2"/>
    <s v="L"/>
    <x v="1"/>
    <n v="39900"/>
    <n v="35900"/>
    <n v="331100"/>
  </r>
  <r>
    <x v="0"/>
    <x v="24"/>
    <x v="35"/>
    <x v="3"/>
    <s v="L"/>
    <x v="1"/>
    <n v="37900"/>
    <n v="33900"/>
    <n v="331100"/>
  </r>
  <r>
    <x v="0"/>
    <x v="24"/>
    <x v="35"/>
    <x v="0"/>
    <s v="R"/>
    <x v="2"/>
    <n v="41900"/>
    <n v="37900"/>
    <n v="253700"/>
  </r>
  <r>
    <x v="0"/>
    <x v="24"/>
    <x v="35"/>
    <x v="1"/>
    <s v="L"/>
    <x v="2"/>
    <n v="38900"/>
    <n v="34900"/>
    <n v="253700"/>
  </r>
  <r>
    <x v="0"/>
    <x v="24"/>
    <x v="35"/>
    <x v="2"/>
    <s v="L"/>
    <x v="2"/>
    <n v="36900"/>
    <n v="32900"/>
    <n v="317100"/>
  </r>
  <r>
    <x v="0"/>
    <x v="24"/>
    <x v="35"/>
    <x v="3"/>
    <s v="L"/>
    <x v="2"/>
    <n v="34900"/>
    <n v="30900"/>
    <n v="317100"/>
  </r>
  <r>
    <x v="0"/>
    <x v="25"/>
    <x v="36"/>
    <x v="0"/>
    <s v="R"/>
    <x v="3"/>
    <n v="45900"/>
    <n v="41900"/>
    <n v="264900"/>
  </r>
  <r>
    <x v="0"/>
    <x v="25"/>
    <x v="36"/>
    <x v="1"/>
    <s v="L"/>
    <x v="3"/>
    <n v="42900"/>
    <n v="38900"/>
    <n v="264900"/>
  </r>
  <r>
    <x v="0"/>
    <x v="25"/>
    <x v="36"/>
    <x v="2"/>
    <s v="L"/>
    <x v="3"/>
    <n v="40900"/>
    <n v="36900"/>
    <n v="331100"/>
  </r>
  <r>
    <x v="0"/>
    <x v="25"/>
    <x v="36"/>
    <x v="3"/>
    <s v="L"/>
    <x v="3"/>
    <n v="38900"/>
    <n v="34900"/>
    <n v="331100"/>
  </r>
  <r>
    <x v="0"/>
    <x v="25"/>
    <x v="36"/>
    <x v="0"/>
    <s v="R"/>
    <x v="2"/>
    <n v="41900"/>
    <n v="37900"/>
    <n v="253700"/>
  </r>
  <r>
    <x v="0"/>
    <x v="25"/>
    <x v="36"/>
    <x v="1"/>
    <s v="L"/>
    <x v="2"/>
    <n v="38900"/>
    <n v="34900"/>
    <n v="253700"/>
  </r>
  <r>
    <x v="0"/>
    <x v="25"/>
    <x v="36"/>
    <x v="2"/>
    <s v="L"/>
    <x v="2"/>
    <n v="36900"/>
    <n v="32900"/>
    <n v="317100"/>
  </r>
  <r>
    <x v="0"/>
    <x v="25"/>
    <x v="36"/>
    <x v="3"/>
    <s v="L"/>
    <x v="2"/>
    <n v="34900"/>
    <n v="30900"/>
    <n v="317100"/>
  </r>
  <r>
    <x v="0"/>
    <x v="26"/>
    <x v="37"/>
    <x v="0"/>
    <s v="R"/>
    <x v="0"/>
    <n v="25900"/>
    <n v="25900"/>
    <n v="200300"/>
  </r>
  <r>
    <x v="0"/>
    <x v="26"/>
    <x v="38"/>
    <x v="0"/>
    <s v="R"/>
    <x v="0"/>
    <n v="23900"/>
    <n v="23900"/>
    <n v="190200"/>
  </r>
  <r>
    <x v="0"/>
    <x v="26"/>
    <x v="39"/>
    <x v="0"/>
    <s v="R"/>
    <x v="3"/>
    <n v="29400"/>
    <n v="29400"/>
    <n v="208100"/>
  </r>
  <r>
    <x v="1"/>
    <x v="27"/>
    <x v="40"/>
    <x v="0"/>
    <s v="R"/>
    <x v="0"/>
    <n v="58900"/>
    <n v="55900"/>
    <n v="307700"/>
  </r>
  <r>
    <x v="1"/>
    <x v="27"/>
    <x v="40"/>
    <x v="1"/>
    <s v="L"/>
    <x v="0"/>
    <n v="56900"/>
    <n v="53900"/>
    <n v="307700"/>
  </r>
  <r>
    <x v="1"/>
    <x v="27"/>
    <x v="40"/>
    <x v="2"/>
    <s v="L"/>
    <x v="0"/>
    <n v="55900"/>
    <n v="52900"/>
    <n v="353900"/>
  </r>
  <r>
    <x v="1"/>
    <x v="27"/>
    <x v="40"/>
    <x v="3"/>
    <s v="L"/>
    <x v="0"/>
    <n v="54900"/>
    <n v="51900"/>
    <n v="353900"/>
  </r>
  <r>
    <x v="1"/>
    <x v="28"/>
    <x v="41"/>
    <x v="0"/>
    <s v="R"/>
    <x v="0"/>
    <n v="53900"/>
    <n v="53900"/>
    <n v="307700"/>
  </r>
  <r>
    <x v="1"/>
    <x v="28"/>
    <x v="41"/>
    <x v="1"/>
    <s v="L"/>
    <x v="0"/>
    <n v="51900"/>
    <n v="51900"/>
    <n v="307700"/>
  </r>
  <r>
    <x v="1"/>
    <x v="29"/>
    <x v="42"/>
    <x v="0"/>
    <s v="R"/>
    <x v="0"/>
    <n v="34900"/>
    <n v="31900"/>
    <n v="240200"/>
  </r>
  <r>
    <x v="1"/>
    <x v="29"/>
    <x v="42"/>
    <x v="1"/>
    <s v="L"/>
    <x v="0"/>
    <n v="32900"/>
    <n v="29900"/>
    <n v="240200"/>
  </r>
  <r>
    <x v="1"/>
    <x v="29"/>
    <x v="42"/>
    <x v="2"/>
    <s v="L"/>
    <x v="0"/>
    <n v="31900"/>
    <n v="28900"/>
    <n v="276200"/>
  </r>
  <r>
    <x v="1"/>
    <x v="29"/>
    <x v="42"/>
    <x v="3"/>
    <s v="L"/>
    <x v="0"/>
    <n v="30900"/>
    <n v="27900"/>
    <n v="276200"/>
  </r>
  <r>
    <x v="1"/>
    <x v="30"/>
    <x v="43"/>
    <x v="0"/>
    <s v="R"/>
    <x v="3"/>
    <n v="37400"/>
    <n v="37400"/>
    <n v="273900"/>
  </r>
  <r>
    <x v="1"/>
    <x v="30"/>
    <x v="43"/>
    <x v="0"/>
    <s v="R"/>
    <x v="2"/>
    <n v="30400"/>
    <n v="30400"/>
    <n v="240200"/>
  </r>
  <r>
    <x v="1"/>
    <x v="30"/>
    <x v="43"/>
    <x v="1"/>
    <s v="L"/>
    <x v="3"/>
    <n v="35400"/>
    <n v="35400"/>
    <n v="273900"/>
  </r>
  <r>
    <x v="1"/>
    <x v="30"/>
    <x v="43"/>
    <x v="1"/>
    <s v="L"/>
    <x v="2"/>
    <n v="28400"/>
    <n v="28400"/>
    <n v="240200"/>
  </r>
  <r>
    <x v="1"/>
    <x v="30"/>
    <x v="43"/>
    <x v="2"/>
    <s v="L"/>
    <x v="3"/>
    <n v="34400"/>
    <n v="34400"/>
    <n v="315000"/>
  </r>
  <r>
    <x v="1"/>
    <x v="30"/>
    <x v="43"/>
    <x v="2"/>
    <s v="L"/>
    <x v="2"/>
    <n v="27400"/>
    <n v="27400"/>
    <n v="276200"/>
  </r>
  <r>
    <x v="1"/>
    <x v="30"/>
    <x v="43"/>
    <x v="3"/>
    <s v="L"/>
    <x v="3"/>
    <n v="33400"/>
    <n v="33400"/>
    <n v="315000"/>
  </r>
  <r>
    <x v="1"/>
    <x v="30"/>
    <x v="43"/>
    <x v="3"/>
    <s v="L"/>
    <x v="2"/>
    <n v="26400"/>
    <n v="26400"/>
    <n v="276200"/>
  </r>
  <r>
    <x v="1"/>
    <x v="28"/>
    <x v="44"/>
    <x v="0"/>
    <s v="R"/>
    <x v="0"/>
    <n v="30900"/>
    <n v="30900"/>
    <n v="240200"/>
  </r>
  <r>
    <x v="1"/>
    <x v="28"/>
    <x v="44"/>
    <x v="1"/>
    <s v="L"/>
    <x v="0"/>
    <n v="28900"/>
    <n v="28900"/>
    <n v="240200"/>
  </r>
  <r>
    <x v="1"/>
    <x v="31"/>
    <x v="45"/>
    <x v="0"/>
    <s v="R"/>
    <x v="3"/>
    <n v="62400"/>
    <n v="59400"/>
    <n v="318900"/>
  </r>
  <r>
    <x v="1"/>
    <x v="31"/>
    <x v="45"/>
    <x v="0"/>
    <s v="R"/>
    <x v="1"/>
    <n v="60900"/>
    <n v="57900"/>
    <n v="307700"/>
  </r>
  <r>
    <x v="1"/>
    <x v="31"/>
    <x v="45"/>
    <x v="0"/>
    <s v="R"/>
    <x v="2"/>
    <n v="57900"/>
    <n v="54900"/>
    <n v="307700"/>
  </r>
  <r>
    <x v="1"/>
    <x v="31"/>
    <x v="45"/>
    <x v="1"/>
    <s v="L"/>
    <x v="3"/>
    <n v="59400"/>
    <n v="56400"/>
    <n v="318900"/>
  </r>
  <r>
    <x v="1"/>
    <x v="31"/>
    <x v="45"/>
    <x v="1"/>
    <s v="L"/>
    <x v="1"/>
    <n v="57900"/>
    <n v="54900"/>
    <n v="307700"/>
  </r>
  <r>
    <x v="1"/>
    <x v="31"/>
    <x v="45"/>
    <x v="1"/>
    <s v="L"/>
    <x v="2"/>
    <n v="54900"/>
    <n v="51900"/>
    <n v="307700"/>
  </r>
  <r>
    <x v="1"/>
    <x v="31"/>
    <x v="45"/>
    <x v="2"/>
    <s v="L"/>
    <x v="3"/>
    <n v="57400"/>
    <n v="54400"/>
    <n v="366700"/>
  </r>
  <r>
    <x v="1"/>
    <x v="31"/>
    <x v="45"/>
    <x v="2"/>
    <s v="L"/>
    <x v="1"/>
    <n v="55900"/>
    <n v="52900"/>
    <n v="353900"/>
  </r>
  <r>
    <x v="1"/>
    <x v="31"/>
    <x v="45"/>
    <x v="2"/>
    <s v="L"/>
    <x v="2"/>
    <n v="52900"/>
    <n v="49900"/>
    <n v="353900"/>
  </r>
  <r>
    <x v="1"/>
    <x v="31"/>
    <x v="45"/>
    <x v="3"/>
    <s v="L"/>
    <x v="3"/>
    <n v="55400"/>
    <n v="52400"/>
    <n v="366700"/>
  </r>
  <r>
    <x v="1"/>
    <x v="31"/>
    <x v="45"/>
    <x v="3"/>
    <s v="L"/>
    <x v="1"/>
    <n v="53900"/>
    <n v="50900"/>
    <n v="353900"/>
  </r>
  <r>
    <x v="1"/>
    <x v="31"/>
    <x v="45"/>
    <x v="3"/>
    <s v="L"/>
    <x v="2"/>
    <n v="50900"/>
    <n v="47900"/>
    <n v="353900"/>
  </r>
  <r>
    <x v="1"/>
    <x v="31"/>
    <x v="46"/>
    <x v="0"/>
    <s v="R"/>
    <x v="3"/>
    <n v="42400"/>
    <n v="39400"/>
    <n v="273900"/>
  </r>
  <r>
    <x v="1"/>
    <x v="31"/>
    <x v="46"/>
    <x v="0"/>
    <s v="R"/>
    <x v="1"/>
    <n v="40900"/>
    <n v="37900"/>
    <n v="273900"/>
  </r>
  <r>
    <x v="1"/>
    <x v="31"/>
    <x v="46"/>
    <x v="0"/>
    <s v="R"/>
    <x v="2"/>
    <n v="37900"/>
    <n v="34900"/>
    <n v="251500"/>
  </r>
  <r>
    <x v="1"/>
    <x v="31"/>
    <x v="46"/>
    <x v="1"/>
    <s v="L"/>
    <x v="3"/>
    <n v="40400"/>
    <n v="37400"/>
    <n v="273900"/>
  </r>
  <r>
    <x v="1"/>
    <x v="31"/>
    <x v="46"/>
    <x v="1"/>
    <s v="L"/>
    <x v="1"/>
    <n v="38900"/>
    <n v="35900"/>
    <n v="273900"/>
  </r>
  <r>
    <x v="1"/>
    <x v="31"/>
    <x v="46"/>
    <x v="1"/>
    <s v="L"/>
    <x v="2"/>
    <n v="35900"/>
    <n v="32900"/>
    <n v="251500"/>
  </r>
  <r>
    <x v="1"/>
    <x v="31"/>
    <x v="46"/>
    <x v="2"/>
    <s v="L"/>
    <x v="3"/>
    <n v="39400"/>
    <n v="36400"/>
    <n v="315000"/>
  </r>
  <r>
    <x v="1"/>
    <x v="31"/>
    <x v="46"/>
    <x v="2"/>
    <s v="L"/>
    <x v="1"/>
    <n v="37900"/>
    <n v="34900"/>
    <n v="315000"/>
  </r>
  <r>
    <x v="1"/>
    <x v="31"/>
    <x v="46"/>
    <x v="2"/>
    <s v="L"/>
    <x v="2"/>
    <n v="34900"/>
    <n v="31900"/>
    <n v="289200"/>
  </r>
  <r>
    <x v="1"/>
    <x v="31"/>
    <x v="46"/>
    <x v="3"/>
    <s v="L"/>
    <x v="3"/>
    <n v="38400"/>
    <n v="35400"/>
    <n v="315000"/>
  </r>
  <r>
    <x v="1"/>
    <x v="31"/>
    <x v="46"/>
    <x v="3"/>
    <s v="L"/>
    <x v="1"/>
    <n v="36900"/>
    <n v="33900"/>
    <n v="315000"/>
  </r>
  <r>
    <x v="1"/>
    <x v="31"/>
    <x v="46"/>
    <x v="3"/>
    <s v="L"/>
    <x v="2"/>
    <n v="33900"/>
    <n v="30900"/>
    <n v="289200"/>
  </r>
  <r>
    <x v="1"/>
    <x v="31"/>
    <x v="47"/>
    <x v="0"/>
    <s v="R"/>
    <x v="3"/>
    <n v="44400"/>
    <n v="41400"/>
    <n v="273900"/>
  </r>
  <r>
    <x v="1"/>
    <x v="31"/>
    <x v="47"/>
    <x v="0"/>
    <s v="R"/>
    <x v="1"/>
    <n v="42900"/>
    <n v="39900"/>
    <n v="273900"/>
  </r>
  <r>
    <x v="1"/>
    <x v="31"/>
    <x v="47"/>
    <x v="0"/>
    <s v="R"/>
    <x v="2"/>
    <n v="40900"/>
    <n v="37900"/>
    <n v="273900"/>
  </r>
  <r>
    <x v="1"/>
    <x v="31"/>
    <x v="47"/>
    <x v="1"/>
    <s v="L"/>
    <x v="3"/>
    <n v="42400"/>
    <n v="39400"/>
    <n v="273900"/>
  </r>
  <r>
    <x v="1"/>
    <x v="31"/>
    <x v="47"/>
    <x v="1"/>
    <s v="L"/>
    <x v="1"/>
    <n v="40900"/>
    <n v="37900"/>
    <n v="273900"/>
  </r>
  <r>
    <x v="1"/>
    <x v="31"/>
    <x v="47"/>
    <x v="1"/>
    <s v="L"/>
    <x v="2"/>
    <n v="38900"/>
    <n v="35900"/>
    <n v="273900"/>
  </r>
  <r>
    <x v="1"/>
    <x v="31"/>
    <x v="47"/>
    <x v="2"/>
    <s v="L"/>
    <x v="3"/>
    <n v="41400"/>
    <n v="38400"/>
    <n v="315000"/>
  </r>
  <r>
    <x v="1"/>
    <x v="31"/>
    <x v="47"/>
    <x v="2"/>
    <s v="L"/>
    <x v="1"/>
    <n v="39900"/>
    <n v="36900"/>
    <n v="315000"/>
  </r>
  <r>
    <x v="1"/>
    <x v="31"/>
    <x v="47"/>
    <x v="2"/>
    <s v="L"/>
    <x v="2"/>
    <n v="37900"/>
    <n v="34900"/>
    <n v="315000"/>
  </r>
  <r>
    <x v="1"/>
    <x v="31"/>
    <x v="47"/>
    <x v="3"/>
    <s v="L"/>
    <x v="3"/>
    <n v="40400"/>
    <n v="37400"/>
    <n v="315000"/>
  </r>
  <r>
    <x v="1"/>
    <x v="31"/>
    <x v="47"/>
    <x v="3"/>
    <s v="L"/>
    <x v="1"/>
    <n v="38900"/>
    <n v="35900"/>
    <n v="315000"/>
  </r>
  <r>
    <x v="1"/>
    <x v="31"/>
    <x v="47"/>
    <x v="3"/>
    <s v="L"/>
    <x v="2"/>
    <n v="36900"/>
    <n v="33900"/>
    <n v="315000"/>
  </r>
  <r>
    <x v="1"/>
    <x v="32"/>
    <x v="48"/>
    <x v="0"/>
    <s v="R"/>
    <x v="0"/>
    <n v="57900"/>
    <n v="52900"/>
    <n v="296400"/>
  </r>
  <r>
    <x v="1"/>
    <x v="32"/>
    <x v="48"/>
    <x v="1"/>
    <s v="L"/>
    <x v="0"/>
    <n v="54900"/>
    <n v="49900"/>
    <n v="296400"/>
  </r>
  <r>
    <x v="1"/>
    <x v="32"/>
    <x v="48"/>
    <x v="2"/>
    <s v="L"/>
    <x v="0"/>
    <n v="52900"/>
    <n v="47900"/>
    <n v="340900"/>
  </r>
  <r>
    <x v="1"/>
    <x v="32"/>
    <x v="48"/>
    <x v="3"/>
    <s v="L"/>
    <x v="0"/>
    <n v="50900"/>
    <n v="45900"/>
    <n v="340900"/>
  </r>
  <r>
    <x v="1"/>
    <x v="28"/>
    <x v="49"/>
    <x v="0"/>
    <s v="R"/>
    <x v="0"/>
    <n v="30900"/>
    <n v="29900"/>
    <n v="231600"/>
  </r>
  <r>
    <x v="1"/>
    <x v="28"/>
    <x v="49"/>
    <x v="1"/>
    <s v="L"/>
    <x v="0"/>
    <n v="28900"/>
    <n v="27900"/>
    <n v="231600"/>
  </r>
  <r>
    <x v="1"/>
    <x v="31"/>
    <x v="50"/>
    <x v="0"/>
    <s v="R"/>
    <x v="3"/>
    <n v="62400"/>
    <n v="59400"/>
    <n v="318900"/>
  </r>
  <r>
    <x v="1"/>
    <x v="31"/>
    <x v="50"/>
    <x v="0"/>
    <s v="R"/>
    <x v="1"/>
    <n v="60900"/>
    <n v="57900"/>
    <n v="307700"/>
  </r>
  <r>
    <x v="1"/>
    <x v="31"/>
    <x v="50"/>
    <x v="0"/>
    <s v="R"/>
    <x v="2"/>
    <n v="57900"/>
    <n v="54900"/>
    <n v="307700"/>
  </r>
  <r>
    <x v="1"/>
    <x v="31"/>
    <x v="50"/>
    <x v="1"/>
    <s v="L"/>
    <x v="3"/>
    <n v="59400"/>
    <n v="56400"/>
    <n v="318900"/>
  </r>
  <r>
    <x v="1"/>
    <x v="31"/>
    <x v="50"/>
    <x v="1"/>
    <s v="L"/>
    <x v="1"/>
    <n v="57900"/>
    <n v="54900"/>
    <n v="307700"/>
  </r>
  <r>
    <x v="1"/>
    <x v="31"/>
    <x v="50"/>
    <x v="1"/>
    <s v="L"/>
    <x v="2"/>
    <n v="54900"/>
    <n v="51900"/>
    <n v="307700"/>
  </r>
  <r>
    <x v="1"/>
    <x v="31"/>
    <x v="50"/>
    <x v="2"/>
    <s v="L"/>
    <x v="3"/>
    <n v="57400"/>
    <n v="54400"/>
    <n v="366700"/>
  </r>
  <r>
    <x v="1"/>
    <x v="31"/>
    <x v="50"/>
    <x v="2"/>
    <s v="L"/>
    <x v="1"/>
    <n v="55900"/>
    <n v="52900"/>
    <n v="353900"/>
  </r>
  <r>
    <x v="1"/>
    <x v="31"/>
    <x v="50"/>
    <x v="2"/>
    <s v="L"/>
    <x v="2"/>
    <n v="52900"/>
    <n v="49900"/>
    <n v="353900"/>
  </r>
  <r>
    <x v="1"/>
    <x v="31"/>
    <x v="50"/>
    <x v="3"/>
    <s v="L"/>
    <x v="3"/>
    <n v="55400"/>
    <n v="52400"/>
    <n v="366700"/>
  </r>
  <r>
    <x v="1"/>
    <x v="31"/>
    <x v="50"/>
    <x v="3"/>
    <s v="L"/>
    <x v="1"/>
    <n v="53900"/>
    <n v="50900"/>
    <n v="353900"/>
  </r>
  <r>
    <x v="1"/>
    <x v="31"/>
    <x v="50"/>
    <x v="3"/>
    <s v="L"/>
    <x v="2"/>
    <n v="50900"/>
    <n v="47900"/>
    <n v="353900"/>
  </r>
  <r>
    <x v="1"/>
    <x v="31"/>
    <x v="51"/>
    <x v="0"/>
    <s v="R"/>
    <x v="3"/>
    <n v="66400"/>
    <n v="63400"/>
    <n v="330100"/>
  </r>
  <r>
    <x v="1"/>
    <x v="31"/>
    <x v="51"/>
    <x v="0"/>
    <s v="R"/>
    <x v="1"/>
    <n v="64900"/>
    <n v="61900"/>
    <n v="318900"/>
  </r>
  <r>
    <x v="1"/>
    <x v="31"/>
    <x v="51"/>
    <x v="0"/>
    <s v="R"/>
    <x v="2"/>
    <n v="61900"/>
    <n v="58900"/>
    <n v="318900"/>
  </r>
  <r>
    <x v="1"/>
    <x v="31"/>
    <x v="51"/>
    <x v="1"/>
    <s v="L"/>
    <x v="3"/>
    <n v="63400"/>
    <n v="60400"/>
    <n v="330100"/>
  </r>
  <r>
    <x v="1"/>
    <x v="31"/>
    <x v="51"/>
    <x v="1"/>
    <s v="L"/>
    <x v="1"/>
    <n v="61900"/>
    <n v="58900"/>
    <n v="318900"/>
  </r>
  <r>
    <x v="1"/>
    <x v="31"/>
    <x v="51"/>
    <x v="1"/>
    <s v="L"/>
    <x v="2"/>
    <n v="58900"/>
    <n v="55900"/>
    <n v="318900"/>
  </r>
  <r>
    <x v="1"/>
    <x v="31"/>
    <x v="51"/>
    <x v="2"/>
    <s v="L"/>
    <x v="3"/>
    <n v="61400"/>
    <n v="58400"/>
    <n v="379600"/>
  </r>
  <r>
    <x v="1"/>
    <x v="31"/>
    <x v="51"/>
    <x v="2"/>
    <s v="L"/>
    <x v="1"/>
    <n v="59900"/>
    <n v="56900"/>
    <n v="366700"/>
  </r>
  <r>
    <x v="1"/>
    <x v="31"/>
    <x v="51"/>
    <x v="2"/>
    <s v="L"/>
    <x v="2"/>
    <n v="56900"/>
    <n v="53900"/>
    <n v="366700"/>
  </r>
  <r>
    <x v="1"/>
    <x v="31"/>
    <x v="51"/>
    <x v="3"/>
    <s v="L"/>
    <x v="3"/>
    <n v="59400"/>
    <n v="56400"/>
    <n v="379600"/>
  </r>
  <r>
    <x v="1"/>
    <x v="31"/>
    <x v="51"/>
    <x v="3"/>
    <s v="L"/>
    <x v="1"/>
    <n v="57900"/>
    <n v="54900"/>
    <n v="366700"/>
  </r>
  <r>
    <x v="1"/>
    <x v="31"/>
    <x v="51"/>
    <x v="3"/>
    <s v="L"/>
    <x v="2"/>
    <n v="54900"/>
    <n v="51900"/>
    <n v="366700"/>
  </r>
  <r>
    <x v="1"/>
    <x v="32"/>
    <x v="52"/>
    <x v="0"/>
    <s v="R"/>
    <x v="0"/>
    <n v="57900"/>
    <n v="52900"/>
    <n v="296400"/>
  </r>
  <r>
    <x v="1"/>
    <x v="32"/>
    <x v="52"/>
    <x v="1"/>
    <s v="L"/>
    <x v="0"/>
    <n v="54900"/>
    <n v="49900"/>
    <n v="296400"/>
  </r>
  <r>
    <x v="1"/>
    <x v="32"/>
    <x v="52"/>
    <x v="2"/>
    <s v="L"/>
    <x v="0"/>
    <n v="52900"/>
    <n v="47900"/>
    <n v="340900"/>
  </r>
  <r>
    <x v="1"/>
    <x v="32"/>
    <x v="52"/>
    <x v="3"/>
    <s v="L"/>
    <x v="0"/>
    <n v="50900"/>
    <n v="45900"/>
    <n v="340900"/>
  </r>
  <r>
    <x v="1"/>
    <x v="33"/>
    <x v="53"/>
    <x v="0"/>
    <s v="R"/>
    <x v="3"/>
    <n v="52400"/>
    <n v="49400"/>
    <n v="296400"/>
  </r>
  <r>
    <x v="1"/>
    <x v="33"/>
    <x v="53"/>
    <x v="1"/>
    <s v="L"/>
    <x v="3"/>
    <n v="49400"/>
    <n v="46400"/>
    <n v="296400"/>
  </r>
  <r>
    <x v="1"/>
    <x v="33"/>
    <x v="53"/>
    <x v="2"/>
    <s v="L"/>
    <x v="3"/>
    <n v="47400"/>
    <n v="44400"/>
    <n v="340900"/>
  </r>
  <r>
    <x v="1"/>
    <x v="33"/>
    <x v="53"/>
    <x v="3"/>
    <s v="L"/>
    <x v="3"/>
    <n v="45400"/>
    <n v="42400"/>
    <n v="340900"/>
  </r>
  <r>
    <x v="1"/>
    <x v="33"/>
    <x v="53"/>
    <x v="0"/>
    <s v="R"/>
    <x v="1"/>
    <n v="50900"/>
    <n v="47900"/>
    <n v="285200"/>
  </r>
  <r>
    <x v="1"/>
    <x v="33"/>
    <x v="53"/>
    <x v="1"/>
    <s v="L"/>
    <x v="1"/>
    <n v="47900"/>
    <n v="44900"/>
    <n v="285200"/>
  </r>
  <r>
    <x v="1"/>
    <x v="33"/>
    <x v="53"/>
    <x v="2"/>
    <s v="L"/>
    <x v="1"/>
    <n v="45900"/>
    <n v="42900"/>
    <n v="328000"/>
  </r>
  <r>
    <x v="1"/>
    <x v="33"/>
    <x v="53"/>
    <x v="3"/>
    <s v="L"/>
    <x v="1"/>
    <n v="43900"/>
    <n v="40900"/>
    <n v="328000"/>
  </r>
  <r>
    <x v="1"/>
    <x v="33"/>
    <x v="53"/>
    <x v="0"/>
    <s v="R"/>
    <x v="2"/>
    <n v="47900"/>
    <n v="44900"/>
    <n v="285200"/>
  </r>
  <r>
    <x v="1"/>
    <x v="33"/>
    <x v="53"/>
    <x v="1"/>
    <s v="L"/>
    <x v="2"/>
    <n v="44900"/>
    <n v="41900"/>
    <n v="285200"/>
  </r>
  <r>
    <x v="1"/>
    <x v="33"/>
    <x v="53"/>
    <x v="2"/>
    <s v="L"/>
    <x v="2"/>
    <n v="42900"/>
    <n v="39900"/>
    <n v="328000"/>
  </r>
  <r>
    <x v="1"/>
    <x v="34"/>
    <x v="54"/>
    <x v="0"/>
    <s v="R"/>
    <x v="0"/>
    <n v="18900"/>
    <n v="18900"/>
    <n v="178100"/>
  </r>
  <r>
    <x v="1"/>
    <x v="34"/>
    <x v="55"/>
    <x v="0"/>
    <s v="R"/>
    <x v="0"/>
    <n v="19900"/>
    <n v="19900"/>
    <n v="178100"/>
  </r>
  <r>
    <x v="1"/>
    <x v="34"/>
    <x v="56"/>
    <x v="0"/>
    <s v="R"/>
    <x v="3"/>
    <n v="33900"/>
    <n v="33900"/>
    <n v="236400"/>
  </r>
  <r>
    <x v="1"/>
    <x v="34"/>
    <x v="56"/>
    <x v="0"/>
    <s v="R"/>
    <x v="3"/>
    <n v="31800"/>
    <n v="31800"/>
    <n v="226400"/>
  </r>
  <r>
    <x v="1"/>
    <x v="34"/>
    <x v="57"/>
    <x v="0"/>
    <s v="R"/>
    <x v="3"/>
    <n v="35500"/>
    <n v="35500"/>
    <n v="246500"/>
  </r>
  <r>
    <x v="1"/>
    <x v="34"/>
    <x v="57"/>
    <x v="0"/>
    <s v="R"/>
    <x v="3"/>
    <n v="33300"/>
    <n v="33300"/>
    <n v="236400"/>
  </r>
  <r>
    <x v="1"/>
    <x v="34"/>
    <x v="58"/>
    <x v="0"/>
    <s v="R"/>
    <x v="0"/>
    <n v="31900"/>
    <n v="31900"/>
    <n v="226400"/>
  </r>
  <r>
    <x v="1"/>
    <x v="34"/>
    <x v="58"/>
    <x v="0"/>
    <s v="R"/>
    <x v="0"/>
    <n v="29900"/>
    <n v="29900"/>
    <n v="216200"/>
  </r>
  <r>
    <x v="2"/>
    <x v="35"/>
    <x v="59"/>
    <x v="1"/>
    <s v="L"/>
    <x v="4"/>
    <n v="20900"/>
    <n v="18900"/>
    <n v="197900"/>
  </r>
  <r>
    <x v="2"/>
    <x v="35"/>
    <x v="59"/>
    <x v="2"/>
    <s v="L"/>
    <x v="4"/>
    <n v="18900"/>
    <n v="16900"/>
    <n v="227600"/>
  </r>
  <r>
    <x v="2"/>
    <x v="35"/>
    <x v="59"/>
    <x v="3"/>
    <s v="L"/>
    <x v="4"/>
    <n v="16900"/>
    <n v="14900"/>
    <n v="227600"/>
  </r>
  <r>
    <x v="2"/>
    <x v="35"/>
    <x v="59"/>
    <x v="1"/>
    <s v="L"/>
    <x v="5"/>
    <n v="22900"/>
    <n v="20900"/>
    <n v="209100"/>
  </r>
  <r>
    <x v="2"/>
    <x v="35"/>
    <x v="59"/>
    <x v="2"/>
    <s v="L"/>
    <x v="5"/>
    <n v="20900"/>
    <n v="18900"/>
    <n v="240500"/>
  </r>
  <r>
    <x v="2"/>
    <x v="35"/>
    <x v="59"/>
    <x v="3"/>
    <s v="L"/>
    <x v="5"/>
    <n v="18900"/>
    <n v="16900"/>
    <n v="240500"/>
  </r>
  <r>
    <x v="2"/>
    <x v="36"/>
    <x v="60"/>
    <x v="1"/>
    <s v="L"/>
    <x v="5"/>
    <n v="26900"/>
    <n v="24900"/>
    <n v="220300"/>
  </r>
  <r>
    <x v="2"/>
    <x v="36"/>
    <x v="60"/>
    <x v="2"/>
    <s v="L"/>
    <x v="5"/>
    <n v="23900"/>
    <n v="21900"/>
    <n v="253300"/>
  </r>
  <r>
    <x v="2"/>
    <x v="36"/>
    <x v="60"/>
    <x v="3"/>
    <s v="L"/>
    <x v="5"/>
    <n v="21900"/>
    <n v="21900"/>
    <n v="253300"/>
  </r>
  <r>
    <x v="2"/>
    <x v="36"/>
    <x v="60"/>
    <x v="1"/>
    <s v="L"/>
    <x v="4"/>
    <n v="24900"/>
    <n v="22900"/>
    <n v="209100"/>
  </r>
  <r>
    <x v="2"/>
    <x v="36"/>
    <x v="60"/>
    <x v="2"/>
    <s v="L"/>
    <x v="4"/>
    <n v="21900"/>
    <n v="19900"/>
    <n v="240500"/>
  </r>
  <r>
    <x v="2"/>
    <x v="36"/>
    <x v="60"/>
    <x v="3"/>
    <s v="L"/>
    <x v="4"/>
    <n v="19900"/>
    <n v="17900"/>
    <n v="240500"/>
  </r>
  <r>
    <x v="3"/>
    <x v="37"/>
    <x v="61"/>
    <x v="0"/>
    <s v="R"/>
    <x v="0"/>
    <n v="17900"/>
    <n v="17900"/>
    <n v="197900"/>
  </r>
  <r>
    <x v="3"/>
    <x v="37"/>
    <x v="61"/>
    <x v="0"/>
    <s v="R"/>
    <x v="3"/>
    <n v="15900"/>
    <n v="15900"/>
    <n v="197900"/>
  </r>
  <r>
    <x v="3"/>
    <x v="37"/>
    <x v="61"/>
    <x v="1"/>
    <s v="L"/>
    <x v="0"/>
    <n v="16900"/>
    <n v="16900"/>
    <n v="197900"/>
  </r>
  <r>
    <x v="3"/>
    <x v="37"/>
    <x v="61"/>
    <x v="1"/>
    <s v="L"/>
    <x v="3"/>
    <n v="14900"/>
    <n v="14900"/>
    <n v="197900"/>
  </r>
  <r>
    <x v="3"/>
    <x v="37"/>
    <x v="61"/>
    <x v="2"/>
    <s v="L"/>
    <x v="0"/>
    <n v="15900"/>
    <n v="15900"/>
    <n v="227600"/>
  </r>
  <r>
    <x v="3"/>
    <x v="37"/>
    <x v="61"/>
    <x v="2"/>
    <s v="L"/>
    <x v="3"/>
    <n v="13900"/>
    <n v="13900"/>
    <n v="227600"/>
  </r>
  <r>
    <x v="3"/>
    <x v="38"/>
    <x v="62"/>
    <x v="0"/>
    <s v="R"/>
    <x v="0"/>
    <n v="27900"/>
    <n v="25400"/>
    <n v="220300"/>
  </r>
  <r>
    <x v="3"/>
    <x v="38"/>
    <x v="62"/>
    <x v="2"/>
    <s v="L"/>
    <x v="0"/>
    <n v="25900"/>
    <n v="23400"/>
    <n v="253300"/>
  </r>
  <r>
    <x v="3"/>
    <x v="39"/>
    <x v="63"/>
    <x v="0"/>
    <s v="R"/>
    <x v="0"/>
    <n v="26900"/>
    <n v="24400"/>
    <n v="220300"/>
  </r>
  <r>
    <x v="3"/>
    <x v="39"/>
    <x v="63"/>
    <x v="0"/>
    <s v="R"/>
    <x v="2"/>
    <n v="22900"/>
    <n v="20400"/>
    <n v="197900"/>
  </r>
  <r>
    <x v="3"/>
    <x v="39"/>
    <x v="63"/>
    <x v="2"/>
    <s v="L"/>
    <x v="0"/>
    <n v="24900"/>
    <n v="22400"/>
    <n v="253300"/>
  </r>
  <r>
    <x v="3"/>
    <x v="39"/>
    <x v="63"/>
    <x v="2"/>
    <s v="L"/>
    <x v="2"/>
    <n v="20900"/>
    <n v="18400"/>
    <n v="227600"/>
  </r>
  <r>
    <x v="3"/>
    <x v="40"/>
    <x v="64"/>
    <x v="0"/>
    <s v="R"/>
    <x v="0"/>
    <n v="28400"/>
    <n v="25900"/>
    <n v="220300"/>
  </r>
  <r>
    <x v="3"/>
    <x v="40"/>
    <x v="64"/>
    <x v="0"/>
    <s v="R"/>
    <x v="3"/>
    <n v="26400"/>
    <n v="23900"/>
    <n v="209100"/>
  </r>
  <r>
    <x v="3"/>
    <x v="40"/>
    <x v="64"/>
    <x v="0"/>
    <s v="R"/>
    <x v="2"/>
    <n v="24400"/>
    <n v="21900"/>
    <n v="209100"/>
  </r>
  <r>
    <x v="3"/>
    <x v="40"/>
    <x v="64"/>
    <x v="2"/>
    <s v="L"/>
    <x v="0"/>
    <n v="26400"/>
    <n v="23900"/>
    <n v="253300"/>
  </r>
  <r>
    <x v="3"/>
    <x v="40"/>
    <x v="64"/>
    <x v="2"/>
    <s v="L"/>
    <x v="3"/>
    <n v="24400"/>
    <n v="21900"/>
    <n v="240500"/>
  </r>
  <r>
    <x v="3"/>
    <x v="40"/>
    <x v="64"/>
    <x v="2"/>
    <s v="L"/>
    <x v="2"/>
    <n v="22400"/>
    <n v="19900"/>
    <n v="240500"/>
  </r>
  <r>
    <x v="3"/>
    <x v="41"/>
    <x v="65"/>
    <x v="0"/>
    <s v="R"/>
    <x v="0"/>
    <n v="32400"/>
    <n v="30900"/>
    <n v="240200"/>
  </r>
  <r>
    <x v="3"/>
    <x v="41"/>
    <x v="65"/>
    <x v="0"/>
    <s v="R"/>
    <x v="3"/>
    <n v="30400"/>
    <n v="28900"/>
    <n v="231600"/>
  </r>
  <r>
    <x v="3"/>
    <x v="41"/>
    <x v="65"/>
    <x v="0"/>
    <s v="R"/>
    <x v="2"/>
    <n v="28400"/>
    <n v="26900"/>
    <n v="231600"/>
  </r>
  <r>
    <x v="3"/>
    <x v="41"/>
    <x v="65"/>
    <x v="2"/>
    <s v="L"/>
    <x v="0"/>
    <n v="30400"/>
    <n v="28900"/>
    <n v="276200"/>
  </r>
  <r>
    <x v="3"/>
    <x v="41"/>
    <x v="65"/>
    <x v="2"/>
    <s v="L"/>
    <x v="3"/>
    <n v="28400"/>
    <n v="26900"/>
    <n v="266300"/>
  </r>
  <r>
    <x v="3"/>
    <x v="41"/>
    <x v="65"/>
    <x v="2"/>
    <s v="L"/>
    <x v="2"/>
    <n v="26400"/>
    <n v="24900"/>
    <n v="266300"/>
  </r>
  <r>
    <x v="3"/>
    <x v="42"/>
    <x v="66"/>
    <x v="0"/>
    <s v="R"/>
    <x v="0"/>
    <n v="35400"/>
    <n v="33900"/>
    <n v="251500"/>
  </r>
  <r>
    <x v="3"/>
    <x v="42"/>
    <x v="66"/>
    <x v="0"/>
    <s v="R"/>
    <x v="3"/>
    <n v="33400"/>
    <n v="31900"/>
    <n v="251500"/>
  </r>
  <r>
    <x v="3"/>
    <x v="42"/>
    <x v="66"/>
    <x v="0"/>
    <s v="R"/>
    <x v="2"/>
    <n v="31400"/>
    <n v="29900"/>
    <n v="240200"/>
  </r>
  <r>
    <x v="3"/>
    <x v="42"/>
    <x v="66"/>
    <x v="2"/>
    <s v="L"/>
    <x v="0"/>
    <n v="33400"/>
    <n v="31900"/>
    <n v="289200"/>
  </r>
  <r>
    <x v="3"/>
    <x v="42"/>
    <x v="66"/>
    <x v="2"/>
    <s v="L"/>
    <x v="3"/>
    <n v="31400"/>
    <n v="29900"/>
    <n v="289200"/>
  </r>
  <r>
    <x v="3"/>
    <x v="42"/>
    <x v="66"/>
    <x v="2"/>
    <s v="L"/>
    <x v="2"/>
    <n v="29400"/>
    <n v="27900"/>
    <n v="276200"/>
  </r>
  <r>
    <x v="3"/>
    <x v="43"/>
    <x v="67"/>
    <x v="0"/>
    <s v="R"/>
    <x v="0"/>
    <n v="28900"/>
    <n v="26400"/>
    <n v="231600"/>
  </r>
  <r>
    <x v="3"/>
    <x v="43"/>
    <x v="67"/>
    <x v="2"/>
    <s v="L"/>
    <x v="0"/>
    <n v="26900"/>
    <n v="24400"/>
    <n v="266300"/>
  </r>
  <r>
    <x v="3"/>
    <x v="44"/>
    <x v="68"/>
    <x v="0"/>
    <s v="R"/>
    <x v="0"/>
    <n v="24900"/>
    <n v="22400"/>
    <n v="209100"/>
  </r>
  <r>
    <x v="3"/>
    <x v="44"/>
    <x v="68"/>
    <x v="2"/>
    <s v="L"/>
    <x v="0"/>
    <n v="22900"/>
    <n v="20400"/>
    <n v="240500"/>
  </r>
  <r>
    <x v="3"/>
    <x v="41"/>
    <x v="69"/>
    <x v="0"/>
    <s v="R"/>
    <x v="0"/>
    <n v="33400"/>
    <n v="30900"/>
    <n v="240200"/>
  </r>
  <r>
    <x v="3"/>
    <x v="41"/>
    <x v="69"/>
    <x v="0"/>
    <s v="R"/>
    <x v="3"/>
    <n v="31400"/>
    <n v="28900"/>
    <n v="231600"/>
  </r>
  <r>
    <x v="3"/>
    <x v="41"/>
    <x v="69"/>
    <x v="0"/>
    <s v="R"/>
    <x v="2"/>
    <n v="29400"/>
    <n v="26900"/>
    <n v="231600"/>
  </r>
  <r>
    <x v="3"/>
    <x v="41"/>
    <x v="69"/>
    <x v="1"/>
    <s v="L"/>
    <x v="0"/>
    <n v="31900"/>
    <n v="29400"/>
    <n v="240200"/>
  </r>
  <r>
    <x v="3"/>
    <x v="41"/>
    <x v="69"/>
    <x v="1"/>
    <s v="L"/>
    <x v="3"/>
    <n v="29900"/>
    <n v="27400"/>
    <n v="231600"/>
  </r>
  <r>
    <x v="3"/>
    <x v="41"/>
    <x v="69"/>
    <x v="1"/>
    <s v="L"/>
    <x v="2"/>
    <n v="27900"/>
    <n v="25400"/>
    <n v="231600"/>
  </r>
  <r>
    <x v="3"/>
    <x v="41"/>
    <x v="69"/>
    <x v="2"/>
    <s v="L"/>
    <x v="0"/>
    <n v="30900"/>
    <n v="28400"/>
    <n v="276200"/>
  </r>
  <r>
    <x v="3"/>
    <x v="41"/>
    <x v="69"/>
    <x v="2"/>
    <s v="L"/>
    <x v="3"/>
    <n v="28900"/>
    <n v="26400"/>
    <n v="266300"/>
  </r>
  <r>
    <x v="3"/>
    <x v="41"/>
    <x v="69"/>
    <x v="2"/>
    <s v="L"/>
    <x v="2"/>
    <n v="26900"/>
    <n v="24400"/>
    <n v="266300"/>
  </r>
  <r>
    <x v="3"/>
    <x v="42"/>
    <x v="70"/>
    <x v="0"/>
    <s v="R"/>
    <x v="0"/>
    <n v="36400"/>
    <n v="33900"/>
    <n v="251500"/>
  </r>
  <r>
    <x v="3"/>
    <x v="42"/>
    <x v="70"/>
    <x v="0"/>
    <s v="R"/>
    <x v="3"/>
    <n v="34400"/>
    <n v="31900"/>
    <n v="251500"/>
  </r>
  <r>
    <x v="3"/>
    <x v="42"/>
    <x v="70"/>
    <x v="0"/>
    <s v="R"/>
    <x v="2"/>
    <n v="32400"/>
    <n v="29900"/>
    <n v="240200"/>
  </r>
  <r>
    <x v="3"/>
    <x v="42"/>
    <x v="70"/>
    <x v="1"/>
    <s v="L"/>
    <x v="0"/>
    <n v="34900"/>
    <n v="32400"/>
    <n v="251500"/>
  </r>
  <r>
    <x v="3"/>
    <x v="42"/>
    <x v="70"/>
    <x v="1"/>
    <s v="L"/>
    <x v="3"/>
    <n v="32900"/>
    <n v="30400"/>
    <n v="251500"/>
  </r>
  <r>
    <x v="3"/>
    <x v="42"/>
    <x v="70"/>
    <x v="1"/>
    <s v="L"/>
    <x v="2"/>
    <n v="30900"/>
    <n v="28400"/>
    <n v="240200"/>
  </r>
  <r>
    <x v="3"/>
    <x v="42"/>
    <x v="70"/>
    <x v="2"/>
    <s v="L"/>
    <x v="0"/>
    <n v="33900"/>
    <n v="31400"/>
    <n v="289200"/>
  </r>
  <r>
    <x v="3"/>
    <x v="42"/>
    <x v="70"/>
    <x v="2"/>
    <s v="L"/>
    <x v="3"/>
    <n v="31900"/>
    <n v="29400"/>
    <n v="289200"/>
  </r>
  <r>
    <x v="3"/>
    <x v="42"/>
    <x v="70"/>
    <x v="2"/>
    <s v="L"/>
    <x v="2"/>
    <n v="29900"/>
    <n v="27400"/>
    <n v="276200"/>
  </r>
  <r>
    <x v="3"/>
    <x v="45"/>
    <x v="71"/>
    <x v="0"/>
    <s v="R"/>
    <x v="0"/>
    <n v="29900"/>
    <n v="27400"/>
    <n v="231600"/>
  </r>
  <r>
    <x v="3"/>
    <x v="45"/>
    <x v="71"/>
    <x v="1"/>
    <s v="L"/>
    <x v="0"/>
    <n v="27900"/>
    <n v="25400"/>
    <n v="231600"/>
  </r>
  <r>
    <x v="3"/>
    <x v="45"/>
    <x v="71"/>
    <x v="2"/>
    <s v="L"/>
    <x v="0"/>
    <n v="26900"/>
    <n v="24400"/>
    <n v="266300"/>
  </r>
  <r>
    <x v="3"/>
    <x v="45"/>
    <x v="71"/>
    <x v="0"/>
    <s v="R"/>
    <x v="3"/>
    <n v="27900"/>
    <n v="25400"/>
    <n v="220300"/>
  </r>
  <r>
    <x v="3"/>
    <x v="45"/>
    <x v="71"/>
    <x v="1"/>
    <s v="L"/>
    <x v="3"/>
    <n v="25900"/>
    <n v="23400"/>
    <n v="220300"/>
  </r>
  <r>
    <x v="3"/>
    <x v="45"/>
    <x v="71"/>
    <x v="2"/>
    <s v="L"/>
    <x v="3"/>
    <n v="24900"/>
    <n v="22400"/>
    <n v="253300"/>
  </r>
  <r>
    <x v="3"/>
    <x v="45"/>
    <x v="71"/>
    <x v="0"/>
    <s v="R"/>
    <x v="2"/>
    <n v="25900"/>
    <n v="23400"/>
    <n v="209100"/>
  </r>
  <r>
    <x v="3"/>
    <x v="45"/>
    <x v="71"/>
    <x v="1"/>
    <s v="L"/>
    <x v="2"/>
    <n v="23900"/>
    <n v="21400"/>
    <n v="209100"/>
  </r>
  <r>
    <x v="3"/>
    <x v="45"/>
    <x v="71"/>
    <x v="2"/>
    <s v="L"/>
    <x v="2"/>
    <n v="22900"/>
    <n v="20400"/>
    <n v="240500"/>
  </r>
  <r>
    <x v="3"/>
    <x v="45"/>
    <x v="72"/>
    <x v="0"/>
    <s v="R"/>
    <x v="0"/>
    <n v="29900"/>
    <n v="27400"/>
    <n v="231600"/>
  </r>
  <r>
    <x v="3"/>
    <x v="45"/>
    <x v="72"/>
    <x v="1"/>
    <s v="L"/>
    <x v="0"/>
    <n v="27900"/>
    <n v="25400"/>
    <n v="231600"/>
  </r>
  <r>
    <x v="3"/>
    <x v="45"/>
    <x v="72"/>
    <x v="2"/>
    <s v="L"/>
    <x v="0"/>
    <n v="26900"/>
    <n v="24400"/>
    <n v="266300"/>
  </r>
  <r>
    <x v="3"/>
    <x v="45"/>
    <x v="72"/>
    <x v="0"/>
    <s v="R"/>
    <x v="3"/>
    <n v="27900"/>
    <n v="25400"/>
    <n v="220300"/>
  </r>
  <r>
    <x v="3"/>
    <x v="45"/>
    <x v="72"/>
    <x v="1"/>
    <s v="L"/>
    <x v="3"/>
    <n v="25900"/>
    <n v="23400"/>
    <n v="220300"/>
  </r>
  <r>
    <x v="3"/>
    <x v="45"/>
    <x v="72"/>
    <x v="2"/>
    <s v="L"/>
    <x v="3"/>
    <n v="24900"/>
    <n v="22400"/>
    <n v="253300"/>
  </r>
  <r>
    <x v="3"/>
    <x v="45"/>
    <x v="72"/>
    <x v="0"/>
    <s v="R"/>
    <x v="2"/>
    <n v="25900"/>
    <n v="23400"/>
    <n v="209100"/>
  </r>
  <r>
    <x v="3"/>
    <x v="45"/>
    <x v="72"/>
    <x v="1"/>
    <s v="L"/>
    <x v="2"/>
    <n v="23900"/>
    <n v="21400"/>
    <n v="209100"/>
  </r>
  <r>
    <x v="3"/>
    <x v="45"/>
    <x v="72"/>
    <x v="2"/>
    <s v="L"/>
    <x v="2"/>
    <n v="22900"/>
    <n v="20400"/>
    <n v="240500"/>
  </r>
  <r>
    <x v="3"/>
    <x v="46"/>
    <x v="73"/>
    <x v="0"/>
    <s v="R"/>
    <x v="0"/>
    <n v="18400"/>
    <n v="18400"/>
    <n v="178100"/>
  </r>
  <r>
    <x v="3"/>
    <x v="46"/>
    <x v="74"/>
    <x v="0"/>
    <s v="R"/>
    <x v="0"/>
    <n v="19900"/>
    <n v="19900"/>
    <n v="178100"/>
  </r>
  <r>
    <x v="3"/>
    <x v="46"/>
    <x v="75"/>
    <x v="0"/>
    <s v="R"/>
    <x v="0"/>
    <n v="17900"/>
    <n v="17900"/>
    <n v="178100"/>
  </r>
  <r>
    <x v="3"/>
    <x v="46"/>
    <x v="76"/>
    <x v="0"/>
    <s v="R"/>
    <x v="0"/>
    <n v="17900"/>
    <n v="17900"/>
    <n v="178100"/>
  </r>
  <r>
    <x v="3"/>
    <x v="46"/>
    <x v="77"/>
    <x v="0"/>
    <s v="R"/>
    <x v="0"/>
    <n v="18400"/>
    <n v="18400"/>
    <n v="178100"/>
  </r>
  <r>
    <x v="3"/>
    <x v="46"/>
    <x v="78"/>
    <x v="0"/>
    <s v="R"/>
    <x v="0"/>
    <n v="22700"/>
    <n v="22700"/>
    <n v="188200"/>
  </r>
  <r>
    <x v="3"/>
    <x v="46"/>
    <x v="78"/>
    <x v="0"/>
    <s v="R"/>
    <x v="0"/>
    <n v="21300"/>
    <n v="21300"/>
    <n v="188200"/>
  </r>
  <r>
    <x v="3"/>
    <x v="46"/>
    <x v="65"/>
    <x v="0"/>
    <s v="R"/>
    <x v="0"/>
    <n v="25900"/>
    <n v="25900"/>
    <n v="208400"/>
  </r>
  <r>
    <x v="4"/>
    <x v="47"/>
    <x v="79"/>
    <x v="0"/>
    <s v="R"/>
    <x v="6"/>
    <n v="39400"/>
    <n v="36400"/>
    <n v="260700"/>
  </r>
  <r>
    <x v="4"/>
    <x v="47"/>
    <x v="79"/>
    <x v="0"/>
    <s v="R"/>
    <x v="0"/>
    <n v="32900"/>
    <n v="29900"/>
    <n v="238200"/>
  </r>
  <r>
    <x v="4"/>
    <x v="47"/>
    <x v="79"/>
    <x v="2"/>
    <s v="L"/>
    <x v="6"/>
    <n v="36400"/>
    <n v="33400"/>
    <n v="299800"/>
  </r>
  <r>
    <x v="4"/>
    <x v="47"/>
    <x v="79"/>
    <x v="2"/>
    <s v="L"/>
    <x v="0"/>
    <n v="29900"/>
    <n v="26900"/>
    <n v="273900"/>
  </r>
  <r>
    <x v="4"/>
    <x v="48"/>
    <x v="80"/>
    <x v="0"/>
    <s v="R"/>
    <x v="0"/>
    <n v="37900"/>
    <n v="34900"/>
    <n v="260700"/>
  </r>
  <r>
    <x v="4"/>
    <x v="48"/>
    <x v="80"/>
    <x v="0"/>
    <s v="R"/>
    <x v="2"/>
    <n v="33900"/>
    <n v="30900"/>
    <n v="238200"/>
  </r>
  <r>
    <x v="4"/>
    <x v="48"/>
    <x v="80"/>
    <x v="2"/>
    <s v="L"/>
    <x v="0"/>
    <n v="34900"/>
    <n v="31900"/>
    <n v="299800"/>
  </r>
  <r>
    <x v="4"/>
    <x v="48"/>
    <x v="80"/>
    <x v="2"/>
    <s v="L"/>
    <x v="2"/>
    <n v="30900"/>
    <n v="27900"/>
    <n v="273900"/>
  </r>
  <r>
    <x v="4"/>
    <x v="48"/>
    <x v="81"/>
    <x v="0"/>
    <s v="R"/>
    <x v="0"/>
    <n v="40900"/>
    <n v="37900"/>
    <n v="271900"/>
  </r>
  <r>
    <x v="4"/>
    <x v="48"/>
    <x v="81"/>
    <x v="0"/>
    <s v="R"/>
    <x v="2"/>
    <n v="36900"/>
    <n v="33900"/>
    <n v="249500"/>
  </r>
  <r>
    <x v="4"/>
    <x v="48"/>
    <x v="81"/>
    <x v="2"/>
    <s v="L"/>
    <x v="0"/>
    <n v="37900"/>
    <n v="34900"/>
    <n v="312700"/>
  </r>
  <r>
    <x v="4"/>
    <x v="48"/>
    <x v="81"/>
    <x v="2"/>
    <s v="L"/>
    <x v="2"/>
    <n v="33900"/>
    <n v="30900"/>
    <n v="286900"/>
  </r>
  <r>
    <x v="5"/>
    <x v="49"/>
    <x v="82"/>
    <x v="1"/>
    <s v="L"/>
    <x v="1"/>
    <n v="128000"/>
    <n v="128000"/>
    <n v="463000"/>
  </r>
  <r>
    <x v="5"/>
    <x v="49"/>
    <x v="82"/>
    <x v="1"/>
    <s v="L"/>
    <x v="7"/>
    <n v="119000"/>
    <n v="119000"/>
    <n v="436000"/>
  </r>
  <r>
    <x v="5"/>
    <x v="49"/>
    <x v="82"/>
    <x v="1"/>
    <s v="L"/>
    <x v="4"/>
    <n v="109000"/>
    <n v="109000"/>
    <n v="406000"/>
  </r>
  <r>
    <x v="5"/>
    <x v="50"/>
    <x v="83"/>
    <x v="1"/>
    <s v="L"/>
    <x v="8"/>
    <n v="61900"/>
    <n v="61900"/>
    <n v="264700"/>
  </r>
  <r>
    <x v="5"/>
    <x v="50"/>
    <x v="83"/>
    <x v="1"/>
    <s v="L"/>
    <x v="7"/>
    <n v="58900"/>
    <n v="58900"/>
    <n v="255700"/>
  </r>
  <r>
    <x v="5"/>
    <x v="50"/>
    <x v="83"/>
    <x v="1"/>
    <s v="L"/>
    <x v="4"/>
    <n v="53900"/>
    <n v="53900"/>
    <n v="240700"/>
  </r>
  <r>
    <x v="5"/>
    <x v="51"/>
    <x v="84"/>
    <x v="1"/>
    <s v="L"/>
    <x v="8"/>
    <n v="114500"/>
    <n v="114500"/>
    <n v="422500"/>
  </r>
  <r>
    <x v="5"/>
    <x v="51"/>
    <x v="84"/>
    <x v="1"/>
    <s v="L"/>
    <x v="7"/>
    <n v="110500"/>
    <n v="110500"/>
    <n v="410500"/>
  </r>
  <r>
    <x v="5"/>
    <x v="51"/>
    <x v="84"/>
    <x v="1"/>
    <s v="L"/>
    <x v="4"/>
    <n v="107500"/>
    <n v="107500"/>
    <n v="401500"/>
  </r>
  <r>
    <x v="5"/>
    <x v="51"/>
    <x v="84"/>
    <x v="3"/>
    <s v="L"/>
    <x v="8"/>
    <n v="88500"/>
    <n v="88500"/>
    <n v="403200"/>
  </r>
  <r>
    <x v="5"/>
    <x v="51"/>
    <x v="84"/>
    <x v="3"/>
    <s v="L"/>
    <x v="7"/>
    <n v="84500"/>
    <n v="84500"/>
    <n v="391500"/>
  </r>
  <r>
    <x v="5"/>
    <x v="51"/>
    <x v="84"/>
    <x v="3"/>
    <s v="L"/>
    <x v="4"/>
    <n v="81500"/>
    <n v="81500"/>
    <n v="391500"/>
  </r>
  <r>
    <x v="5"/>
    <x v="52"/>
    <x v="85"/>
    <x v="1"/>
    <s v="L"/>
    <x v="8"/>
    <n v="103500"/>
    <n v="103500"/>
    <n v="389500"/>
  </r>
  <r>
    <x v="5"/>
    <x v="52"/>
    <x v="85"/>
    <x v="1"/>
    <s v="L"/>
    <x v="7"/>
    <n v="99500"/>
    <n v="99500"/>
    <n v="377500"/>
  </r>
  <r>
    <x v="5"/>
    <x v="52"/>
    <x v="85"/>
    <x v="1"/>
    <s v="L"/>
    <x v="4"/>
    <n v="96500"/>
    <n v="96500"/>
    <n v="368500"/>
  </r>
  <r>
    <x v="5"/>
    <x v="52"/>
    <x v="85"/>
    <x v="3"/>
    <s v="L"/>
    <x v="8"/>
    <n v="81500"/>
    <n v="81500"/>
    <n v="391500"/>
  </r>
  <r>
    <x v="5"/>
    <x v="52"/>
    <x v="85"/>
    <x v="3"/>
    <s v="L"/>
    <x v="7"/>
    <n v="77500"/>
    <n v="77500"/>
    <n v="379800"/>
  </r>
  <r>
    <x v="5"/>
    <x v="52"/>
    <x v="85"/>
    <x v="3"/>
    <s v="L"/>
    <x v="4"/>
    <n v="74500"/>
    <n v="74500"/>
    <n v="368100"/>
  </r>
  <r>
    <x v="5"/>
    <x v="53"/>
    <x v="86"/>
    <x v="1"/>
    <s v="L"/>
    <x v="1"/>
    <n v="56900"/>
    <n v="56900"/>
    <n v="249700"/>
  </r>
  <r>
    <x v="5"/>
    <x v="53"/>
    <x v="86"/>
    <x v="1"/>
    <s v="L"/>
    <x v="7"/>
    <n v="49900"/>
    <n v="49900"/>
    <n v="228700"/>
  </r>
  <r>
    <x v="5"/>
    <x v="53"/>
    <x v="86"/>
    <x v="1"/>
    <s v="L"/>
    <x v="4"/>
    <n v="44900"/>
    <n v="44900"/>
    <n v="213700"/>
  </r>
  <r>
    <x v="5"/>
    <x v="54"/>
    <x v="87"/>
    <x v="1"/>
    <s v="L"/>
    <x v="8"/>
    <n v="124500"/>
    <n v="124500"/>
    <n v="452500"/>
  </r>
  <r>
    <x v="5"/>
    <x v="54"/>
    <x v="87"/>
    <x v="1"/>
    <s v="L"/>
    <x v="7"/>
    <n v="120500"/>
    <n v="120500"/>
    <n v="440500"/>
  </r>
  <r>
    <x v="5"/>
    <x v="54"/>
    <x v="87"/>
    <x v="1"/>
    <s v="L"/>
    <x v="4"/>
    <n v="115500"/>
    <n v="115500"/>
    <n v="425500"/>
  </r>
  <r>
    <x v="5"/>
    <x v="54"/>
    <x v="87"/>
    <x v="3"/>
    <s v="L"/>
    <x v="8"/>
    <n v="98500"/>
    <n v="98500"/>
    <n v="426600"/>
  </r>
  <r>
    <x v="5"/>
    <x v="54"/>
    <x v="87"/>
    <x v="3"/>
    <s v="L"/>
    <x v="7"/>
    <n v="94500"/>
    <n v="94500"/>
    <n v="414900"/>
  </r>
  <r>
    <x v="5"/>
    <x v="54"/>
    <x v="87"/>
    <x v="3"/>
    <s v="L"/>
    <x v="4"/>
    <n v="89500"/>
    <n v="89500"/>
    <n v="403200"/>
  </r>
  <r>
    <x v="5"/>
    <x v="55"/>
    <x v="88"/>
    <x v="1"/>
    <s v="L"/>
    <x v="8"/>
    <n v="113500"/>
    <n v="113500"/>
    <n v="419500"/>
  </r>
  <r>
    <x v="5"/>
    <x v="55"/>
    <x v="88"/>
    <x v="1"/>
    <s v="L"/>
    <x v="7"/>
    <n v="109500"/>
    <n v="109500"/>
    <n v="407500"/>
  </r>
  <r>
    <x v="5"/>
    <x v="55"/>
    <x v="88"/>
    <x v="1"/>
    <s v="L"/>
    <x v="4"/>
    <n v="104500"/>
    <n v="104500"/>
    <n v="392500"/>
  </r>
  <r>
    <x v="5"/>
    <x v="55"/>
    <x v="88"/>
    <x v="3"/>
    <s v="L"/>
    <x v="8"/>
    <n v="91500"/>
    <n v="91500"/>
    <n v="414900"/>
  </r>
  <r>
    <x v="5"/>
    <x v="55"/>
    <x v="88"/>
    <x v="3"/>
    <s v="L"/>
    <x v="7"/>
    <n v="87500"/>
    <n v="87500"/>
    <n v="403200"/>
  </r>
  <r>
    <x v="5"/>
    <x v="55"/>
    <x v="88"/>
    <x v="3"/>
    <s v="L"/>
    <x v="4"/>
    <n v="82500"/>
    <n v="82500"/>
    <n v="391500"/>
  </r>
  <r>
    <x v="5"/>
    <x v="56"/>
    <x v="89"/>
    <x v="1"/>
    <s v="L"/>
    <x v="1"/>
    <n v="56900"/>
    <n v="56900"/>
    <n v="249700"/>
  </r>
  <r>
    <x v="5"/>
    <x v="56"/>
    <x v="89"/>
    <x v="1"/>
    <s v="L"/>
    <x v="7"/>
    <n v="49900"/>
    <n v="49900"/>
    <n v="228700"/>
  </r>
  <r>
    <x v="5"/>
    <x v="56"/>
    <x v="89"/>
    <x v="1"/>
    <s v="L"/>
    <x v="4"/>
    <n v="44900"/>
    <n v="44900"/>
    <n v="213700"/>
  </r>
  <r>
    <x v="5"/>
    <x v="57"/>
    <x v="90"/>
    <x v="1"/>
    <s v="L"/>
    <x v="8"/>
    <n v="74900"/>
    <n v="74900"/>
    <n v="303700"/>
  </r>
  <r>
    <x v="5"/>
    <x v="57"/>
    <x v="90"/>
    <x v="1"/>
    <s v="L"/>
    <x v="7"/>
    <n v="71900"/>
    <n v="71900"/>
    <n v="294700"/>
  </r>
  <r>
    <x v="5"/>
    <x v="57"/>
    <x v="90"/>
    <x v="1"/>
    <s v="L"/>
    <x v="4"/>
    <n v="66900"/>
    <n v="66900"/>
    <n v="279700"/>
  </r>
  <r>
    <x v="5"/>
    <x v="58"/>
    <x v="91"/>
    <x v="1"/>
    <s v="L"/>
    <x v="8"/>
    <n v="76900"/>
    <n v="69200"/>
    <n v="309700"/>
  </r>
  <r>
    <x v="5"/>
    <x v="58"/>
    <x v="91"/>
    <x v="1"/>
    <s v="L"/>
    <x v="9"/>
    <n v="73900"/>
    <n v="66500"/>
    <n v="300700"/>
  </r>
  <r>
    <x v="5"/>
    <x v="58"/>
    <x v="91"/>
    <x v="1"/>
    <s v="L"/>
    <x v="4"/>
    <n v="68900"/>
    <n v="62000"/>
    <n v="285700"/>
  </r>
  <r>
    <x v="6"/>
    <x v="59"/>
    <x v="92"/>
    <x v="1"/>
    <s v="L"/>
    <x v="3"/>
    <n v="34900"/>
    <n v="34900"/>
    <n v="231100"/>
  </r>
  <r>
    <x v="6"/>
    <x v="59"/>
    <x v="92"/>
    <x v="2"/>
    <s v="L"/>
    <x v="3"/>
    <n v="31900"/>
    <n v="31900"/>
    <n v="231100"/>
  </r>
  <r>
    <x v="6"/>
    <x v="59"/>
    <x v="92"/>
    <x v="3"/>
    <s v="L"/>
    <x v="3"/>
    <n v="27900"/>
    <n v="27900"/>
    <n v="254200"/>
  </r>
  <r>
    <x v="6"/>
    <x v="59"/>
    <x v="92"/>
    <x v="4"/>
    <s v="L"/>
    <x v="3"/>
    <n v="23900"/>
    <n v="23900"/>
    <n v="254200"/>
  </r>
  <r>
    <x v="6"/>
    <x v="59"/>
    <x v="92"/>
    <x v="1"/>
    <s v="L"/>
    <x v="7"/>
    <n v="32900"/>
    <n v="32900"/>
    <n v="231100"/>
  </r>
  <r>
    <x v="6"/>
    <x v="59"/>
    <x v="92"/>
    <x v="3"/>
    <s v="L"/>
    <x v="7"/>
    <n v="25900"/>
    <n v="25900"/>
    <n v="254200"/>
  </r>
  <r>
    <x v="6"/>
    <x v="59"/>
    <x v="92"/>
    <x v="4"/>
    <s v="L"/>
    <x v="7"/>
    <n v="21900"/>
    <n v="21900"/>
    <n v="254200"/>
  </r>
  <r>
    <x v="6"/>
    <x v="59"/>
    <x v="92"/>
    <x v="1"/>
    <s v="L"/>
    <x v="4"/>
    <n v="27900"/>
    <n v="27900"/>
    <n v="208600"/>
  </r>
  <r>
    <x v="6"/>
    <x v="59"/>
    <x v="92"/>
    <x v="3"/>
    <s v="L"/>
    <x v="4"/>
    <n v="20900"/>
    <n v="20900"/>
    <n v="229500"/>
  </r>
  <r>
    <x v="6"/>
    <x v="59"/>
    <x v="92"/>
    <x v="4"/>
    <s v="L"/>
    <x v="4"/>
    <n v="16900"/>
    <n v="16900"/>
    <n v="229500"/>
  </r>
  <r>
    <x v="6"/>
    <x v="59"/>
    <x v="92"/>
    <x v="1"/>
    <s v="L"/>
    <x v="10"/>
    <n v="29900"/>
    <n v="29900"/>
    <n v="208600"/>
  </r>
  <r>
    <x v="6"/>
    <x v="59"/>
    <x v="92"/>
    <x v="3"/>
    <s v="L"/>
    <x v="10"/>
    <n v="22900"/>
    <n v="22900"/>
    <n v="229500"/>
  </r>
  <r>
    <x v="6"/>
    <x v="59"/>
    <x v="92"/>
    <x v="4"/>
    <s v="L"/>
    <x v="10"/>
    <n v="18900"/>
    <n v="18900"/>
    <n v="229500"/>
  </r>
  <r>
    <x v="6"/>
    <x v="59"/>
    <x v="93"/>
    <x v="1"/>
    <s v="L"/>
    <x v="3"/>
    <n v="40900"/>
    <n v="40900"/>
    <n v="262200"/>
  </r>
  <r>
    <x v="6"/>
    <x v="59"/>
    <x v="93"/>
    <x v="2"/>
    <s v="L"/>
    <x v="3"/>
    <n v="36900"/>
    <n v="36900"/>
    <n v="262200"/>
  </r>
  <r>
    <x v="6"/>
    <x v="59"/>
    <x v="93"/>
    <x v="3"/>
    <s v="L"/>
    <x v="3"/>
    <n v="33900"/>
    <n v="33900"/>
    <n v="288400"/>
  </r>
  <r>
    <x v="6"/>
    <x v="59"/>
    <x v="93"/>
    <x v="4"/>
    <s v="L"/>
    <x v="3"/>
    <n v="29900"/>
    <n v="29900"/>
    <n v="288400"/>
  </r>
  <r>
    <x v="6"/>
    <x v="59"/>
    <x v="93"/>
    <x v="1"/>
    <s v="L"/>
    <x v="7"/>
    <n v="38900"/>
    <n v="38900"/>
    <n v="251000"/>
  </r>
  <r>
    <x v="6"/>
    <x v="59"/>
    <x v="93"/>
    <x v="3"/>
    <s v="L"/>
    <x v="7"/>
    <n v="31900"/>
    <n v="31900"/>
    <n v="276100"/>
  </r>
  <r>
    <x v="6"/>
    <x v="59"/>
    <x v="93"/>
    <x v="4"/>
    <s v="L"/>
    <x v="7"/>
    <n v="27900"/>
    <n v="27900"/>
    <n v="276100"/>
  </r>
  <r>
    <x v="6"/>
    <x v="59"/>
    <x v="93"/>
    <x v="1"/>
    <s v="L"/>
    <x v="4"/>
    <n v="33900"/>
    <n v="33900"/>
    <n v="231100"/>
  </r>
  <r>
    <x v="6"/>
    <x v="59"/>
    <x v="93"/>
    <x v="3"/>
    <s v="L"/>
    <x v="4"/>
    <n v="26900"/>
    <n v="26900"/>
    <n v="254200"/>
  </r>
  <r>
    <x v="6"/>
    <x v="59"/>
    <x v="93"/>
    <x v="4"/>
    <s v="L"/>
    <x v="4"/>
    <n v="22900"/>
    <n v="22900"/>
    <n v="254200"/>
  </r>
  <r>
    <x v="6"/>
    <x v="59"/>
    <x v="93"/>
    <x v="1"/>
    <s v="L"/>
    <x v="10"/>
    <n v="35900"/>
    <n v="35900"/>
    <n v="239700"/>
  </r>
  <r>
    <x v="6"/>
    <x v="59"/>
    <x v="93"/>
    <x v="3"/>
    <s v="L"/>
    <x v="10"/>
    <n v="28900"/>
    <n v="28900"/>
    <n v="263700"/>
  </r>
  <r>
    <x v="6"/>
    <x v="59"/>
    <x v="93"/>
    <x v="4"/>
    <s v="L"/>
    <x v="10"/>
    <n v="24900"/>
    <n v="24900"/>
    <n v="263700"/>
  </r>
  <r>
    <x v="6"/>
    <x v="59"/>
    <x v="94"/>
    <x v="1"/>
    <s v="L"/>
    <x v="3"/>
    <n v="46900"/>
    <n v="46900"/>
    <n v="273400"/>
  </r>
  <r>
    <x v="6"/>
    <x v="59"/>
    <x v="94"/>
    <x v="2"/>
    <s v="L"/>
    <x v="3"/>
    <n v="40900"/>
    <n v="40900"/>
    <n v="273400"/>
  </r>
  <r>
    <x v="6"/>
    <x v="59"/>
    <x v="94"/>
    <x v="3"/>
    <s v="L"/>
    <x v="3"/>
    <n v="39900"/>
    <n v="39900"/>
    <n v="300700"/>
  </r>
  <r>
    <x v="6"/>
    <x v="59"/>
    <x v="94"/>
    <x v="4"/>
    <s v="L"/>
    <x v="3"/>
    <n v="35900"/>
    <n v="35900"/>
    <n v="300700"/>
  </r>
  <r>
    <x v="6"/>
    <x v="59"/>
    <x v="94"/>
    <x v="1"/>
    <s v="L"/>
    <x v="7"/>
    <n v="44900"/>
    <n v="44900"/>
    <n v="273400"/>
  </r>
  <r>
    <x v="6"/>
    <x v="59"/>
    <x v="94"/>
    <x v="3"/>
    <s v="L"/>
    <x v="7"/>
    <n v="37900"/>
    <n v="37900"/>
    <n v="300700"/>
  </r>
  <r>
    <x v="6"/>
    <x v="59"/>
    <x v="94"/>
    <x v="4"/>
    <s v="L"/>
    <x v="7"/>
    <n v="33900"/>
    <n v="33900"/>
    <n v="300700"/>
  </r>
  <r>
    <x v="6"/>
    <x v="59"/>
    <x v="94"/>
    <x v="1"/>
    <s v="L"/>
    <x v="4"/>
    <n v="39900"/>
    <n v="39900"/>
    <n v="251000"/>
  </r>
  <r>
    <x v="6"/>
    <x v="59"/>
    <x v="94"/>
    <x v="3"/>
    <s v="L"/>
    <x v="4"/>
    <n v="32900"/>
    <n v="32900"/>
    <n v="276100"/>
  </r>
  <r>
    <x v="6"/>
    <x v="59"/>
    <x v="94"/>
    <x v="4"/>
    <s v="L"/>
    <x v="4"/>
    <n v="28900"/>
    <n v="28900"/>
    <n v="276100"/>
  </r>
  <r>
    <x v="6"/>
    <x v="59"/>
    <x v="94"/>
    <x v="1"/>
    <s v="L"/>
    <x v="10"/>
    <n v="41900"/>
    <n v="41900"/>
    <n v="262200"/>
  </r>
  <r>
    <x v="6"/>
    <x v="59"/>
    <x v="94"/>
    <x v="3"/>
    <s v="L"/>
    <x v="10"/>
    <n v="34900"/>
    <n v="34900"/>
    <n v="288400"/>
  </r>
  <r>
    <x v="6"/>
    <x v="59"/>
    <x v="94"/>
    <x v="4"/>
    <s v="L"/>
    <x v="10"/>
    <n v="30900"/>
    <n v="30900"/>
    <n v="288400"/>
  </r>
  <r>
    <x v="6"/>
    <x v="60"/>
    <x v="95"/>
    <x v="1"/>
    <s v="L"/>
    <x v="3"/>
    <n v="53900"/>
    <n v="53900"/>
    <n v="295900"/>
  </r>
  <r>
    <x v="6"/>
    <x v="60"/>
    <x v="95"/>
    <x v="2"/>
    <s v="L"/>
    <x v="3"/>
    <n v="48900"/>
    <n v="48900"/>
    <n v="295900"/>
  </r>
  <r>
    <x v="6"/>
    <x v="60"/>
    <x v="95"/>
    <x v="3"/>
    <s v="L"/>
    <x v="3"/>
    <n v="45900"/>
    <n v="45900"/>
    <n v="325500"/>
  </r>
  <r>
    <x v="6"/>
    <x v="60"/>
    <x v="95"/>
    <x v="4"/>
    <s v="L"/>
    <x v="3"/>
    <n v="40900"/>
    <n v="40900"/>
    <n v="325500"/>
  </r>
  <r>
    <x v="6"/>
    <x v="60"/>
    <x v="96"/>
    <x v="1"/>
    <s v="L"/>
    <x v="3"/>
    <n v="57900"/>
    <n v="57900"/>
    <n v="295900"/>
  </r>
  <r>
    <x v="6"/>
    <x v="60"/>
    <x v="96"/>
    <x v="2"/>
    <s v="L"/>
    <x v="3"/>
    <n v="53900"/>
    <n v="53900"/>
    <n v="295900"/>
  </r>
  <r>
    <x v="6"/>
    <x v="60"/>
    <x v="96"/>
    <x v="3"/>
    <s v="L"/>
    <x v="3"/>
    <n v="49900"/>
    <n v="49900"/>
    <n v="325500"/>
  </r>
  <r>
    <x v="6"/>
    <x v="60"/>
    <x v="96"/>
    <x v="4"/>
    <s v="L"/>
    <x v="3"/>
    <n v="44900"/>
    <n v="44900"/>
    <n v="325500"/>
  </r>
  <r>
    <x v="6"/>
    <x v="61"/>
    <x v="97"/>
    <x v="1"/>
    <s v="L"/>
    <x v="3"/>
    <n v="42900"/>
    <n v="42900"/>
    <n v="262200"/>
  </r>
  <r>
    <x v="6"/>
    <x v="61"/>
    <x v="97"/>
    <x v="2"/>
    <s v="L"/>
    <x v="3"/>
    <n v="38900"/>
    <n v="38900"/>
    <n v="262200"/>
  </r>
  <r>
    <x v="6"/>
    <x v="61"/>
    <x v="97"/>
    <x v="3"/>
    <s v="L"/>
    <x v="3"/>
    <n v="33900"/>
    <n v="33900"/>
    <n v="288400"/>
  </r>
  <r>
    <x v="6"/>
    <x v="61"/>
    <x v="97"/>
    <x v="4"/>
    <s v="L"/>
    <x v="3"/>
    <n v="29900"/>
    <n v="29900"/>
    <n v="288400"/>
  </r>
  <r>
    <x v="6"/>
    <x v="61"/>
    <x v="97"/>
    <x v="1"/>
    <s v="L"/>
    <x v="7"/>
    <n v="40900"/>
    <n v="40900"/>
    <n v="251000"/>
  </r>
  <r>
    <x v="6"/>
    <x v="61"/>
    <x v="97"/>
    <x v="3"/>
    <s v="L"/>
    <x v="7"/>
    <n v="31900"/>
    <n v="31900"/>
    <n v="276100"/>
  </r>
  <r>
    <x v="6"/>
    <x v="61"/>
    <x v="97"/>
    <x v="4"/>
    <s v="L"/>
    <x v="7"/>
    <n v="27900"/>
    <n v="27900"/>
    <n v="276100"/>
  </r>
  <r>
    <x v="6"/>
    <x v="61"/>
    <x v="97"/>
    <x v="1"/>
    <s v="L"/>
    <x v="4"/>
    <n v="36900"/>
    <n v="36900"/>
    <n v="231100"/>
  </r>
  <r>
    <x v="6"/>
    <x v="61"/>
    <x v="97"/>
    <x v="3"/>
    <s v="L"/>
    <x v="4"/>
    <n v="27900"/>
    <n v="27900"/>
    <n v="254200"/>
  </r>
  <r>
    <x v="6"/>
    <x v="61"/>
    <x v="97"/>
    <x v="4"/>
    <s v="L"/>
    <x v="4"/>
    <n v="23900"/>
    <n v="23900"/>
    <n v="254200"/>
  </r>
  <r>
    <x v="6"/>
    <x v="61"/>
    <x v="97"/>
    <x v="1"/>
    <s v="L"/>
    <x v="10"/>
    <n v="38900"/>
    <n v="38900"/>
    <n v="239700"/>
  </r>
  <r>
    <x v="6"/>
    <x v="61"/>
    <x v="97"/>
    <x v="3"/>
    <s v="L"/>
    <x v="10"/>
    <n v="29900"/>
    <n v="29900"/>
    <n v="263700"/>
  </r>
  <r>
    <x v="6"/>
    <x v="61"/>
    <x v="97"/>
    <x v="4"/>
    <s v="L"/>
    <x v="10"/>
    <n v="25900"/>
    <n v="25900"/>
    <n v="263700"/>
  </r>
  <r>
    <x v="6"/>
    <x v="61"/>
    <x v="98"/>
    <x v="1"/>
    <s v="L"/>
    <x v="3"/>
    <n v="37900"/>
    <n v="37900"/>
    <n v="239700"/>
  </r>
  <r>
    <x v="6"/>
    <x v="61"/>
    <x v="98"/>
    <x v="2"/>
    <s v="L"/>
    <x v="3"/>
    <n v="32900"/>
    <n v="32900"/>
    <n v="239700"/>
  </r>
  <r>
    <x v="6"/>
    <x v="61"/>
    <x v="98"/>
    <x v="3"/>
    <s v="L"/>
    <x v="3"/>
    <n v="29900"/>
    <n v="29900"/>
    <n v="263700"/>
  </r>
  <r>
    <x v="6"/>
    <x v="61"/>
    <x v="98"/>
    <x v="4"/>
    <s v="L"/>
    <x v="3"/>
    <n v="25900"/>
    <n v="25900"/>
    <n v="263700"/>
  </r>
  <r>
    <x v="6"/>
    <x v="61"/>
    <x v="98"/>
    <x v="1"/>
    <s v="L"/>
    <x v="7"/>
    <n v="35900"/>
    <n v="35900"/>
    <n v="231100"/>
  </r>
  <r>
    <x v="6"/>
    <x v="61"/>
    <x v="98"/>
    <x v="3"/>
    <s v="L"/>
    <x v="7"/>
    <n v="27900"/>
    <n v="27900"/>
    <n v="254200"/>
  </r>
  <r>
    <x v="6"/>
    <x v="61"/>
    <x v="98"/>
    <x v="4"/>
    <s v="L"/>
    <x v="7"/>
    <n v="23900"/>
    <n v="23900"/>
    <n v="254200"/>
  </r>
  <r>
    <x v="6"/>
    <x v="61"/>
    <x v="98"/>
    <x v="1"/>
    <s v="L"/>
    <x v="4"/>
    <n v="31900"/>
    <n v="31900"/>
    <n v="219800"/>
  </r>
  <r>
    <x v="6"/>
    <x v="61"/>
    <x v="98"/>
    <x v="3"/>
    <s v="L"/>
    <x v="4"/>
    <n v="23900"/>
    <n v="23900"/>
    <n v="241800"/>
  </r>
  <r>
    <x v="6"/>
    <x v="61"/>
    <x v="98"/>
    <x v="4"/>
    <s v="L"/>
    <x v="4"/>
    <n v="19900"/>
    <n v="19900"/>
    <n v="241800"/>
  </r>
  <r>
    <x v="6"/>
    <x v="61"/>
    <x v="98"/>
    <x v="1"/>
    <s v="L"/>
    <x v="10"/>
    <n v="33900"/>
    <n v="33900"/>
    <n v="231100"/>
  </r>
  <r>
    <x v="6"/>
    <x v="61"/>
    <x v="98"/>
    <x v="3"/>
    <s v="L"/>
    <x v="10"/>
    <n v="25900"/>
    <n v="25900"/>
    <n v="254200"/>
  </r>
  <r>
    <x v="6"/>
    <x v="61"/>
    <x v="98"/>
    <x v="4"/>
    <s v="L"/>
    <x v="10"/>
    <n v="21900"/>
    <n v="21900"/>
    <n v="254200"/>
  </r>
  <r>
    <x v="6"/>
    <x v="61"/>
    <x v="99"/>
    <x v="1"/>
    <s v="L"/>
    <x v="3"/>
    <n v="32900"/>
    <n v="32900"/>
    <n v="231100"/>
  </r>
  <r>
    <x v="6"/>
    <x v="61"/>
    <x v="99"/>
    <x v="2"/>
    <s v="L"/>
    <x v="3"/>
    <n v="28900"/>
    <n v="28900"/>
    <n v="231100"/>
  </r>
  <r>
    <x v="6"/>
    <x v="61"/>
    <x v="99"/>
    <x v="3"/>
    <s v="L"/>
    <x v="3"/>
    <n v="25900"/>
    <n v="25900"/>
    <n v="254200"/>
  </r>
  <r>
    <x v="6"/>
    <x v="61"/>
    <x v="99"/>
    <x v="4"/>
    <s v="L"/>
    <x v="3"/>
    <n v="21900"/>
    <n v="21900"/>
    <n v="254200"/>
  </r>
  <r>
    <x v="6"/>
    <x v="61"/>
    <x v="99"/>
    <x v="1"/>
    <s v="L"/>
    <x v="7"/>
    <n v="30900"/>
    <n v="30900"/>
    <n v="219800"/>
  </r>
  <r>
    <x v="6"/>
    <x v="61"/>
    <x v="99"/>
    <x v="3"/>
    <s v="L"/>
    <x v="7"/>
    <n v="23900"/>
    <n v="23900"/>
    <n v="241800"/>
  </r>
  <r>
    <x v="6"/>
    <x v="61"/>
    <x v="99"/>
    <x v="4"/>
    <s v="L"/>
    <x v="7"/>
    <n v="19900"/>
    <n v="19900"/>
    <n v="241800"/>
  </r>
  <r>
    <x v="6"/>
    <x v="61"/>
    <x v="99"/>
    <x v="1"/>
    <s v="L"/>
    <x v="4"/>
    <n v="26900"/>
    <n v="26900"/>
    <n v="197400"/>
  </r>
  <r>
    <x v="6"/>
    <x v="61"/>
    <x v="99"/>
    <x v="3"/>
    <s v="L"/>
    <x v="4"/>
    <n v="19900"/>
    <n v="19900"/>
    <n v="217100"/>
  </r>
  <r>
    <x v="6"/>
    <x v="61"/>
    <x v="99"/>
    <x v="4"/>
    <s v="L"/>
    <x v="4"/>
    <n v="15900"/>
    <n v="15900"/>
    <n v="217100"/>
  </r>
  <r>
    <x v="6"/>
    <x v="61"/>
    <x v="99"/>
    <x v="1"/>
    <s v="L"/>
    <x v="10"/>
    <n v="28900"/>
    <n v="28900"/>
    <n v="208600"/>
  </r>
  <r>
    <x v="6"/>
    <x v="61"/>
    <x v="99"/>
    <x v="3"/>
    <s v="L"/>
    <x v="10"/>
    <n v="21900"/>
    <n v="21900"/>
    <n v="229500"/>
  </r>
  <r>
    <x v="6"/>
    <x v="61"/>
    <x v="99"/>
    <x v="4"/>
    <s v="L"/>
    <x v="10"/>
    <n v="17900"/>
    <n v="17900"/>
    <n v="229500"/>
  </r>
  <r>
    <x v="6"/>
    <x v="61"/>
    <x v="100"/>
    <x v="1"/>
    <s v="L"/>
    <x v="3"/>
    <n v="49900"/>
    <n v="49900"/>
    <n v="273400"/>
  </r>
  <r>
    <x v="6"/>
    <x v="61"/>
    <x v="100"/>
    <x v="2"/>
    <s v="L"/>
    <x v="3"/>
    <n v="43900"/>
    <n v="43900"/>
    <n v="273400"/>
  </r>
  <r>
    <x v="6"/>
    <x v="61"/>
    <x v="100"/>
    <x v="3"/>
    <s v="L"/>
    <x v="3"/>
    <n v="37900"/>
    <n v="37900"/>
    <n v="300700"/>
  </r>
  <r>
    <x v="6"/>
    <x v="61"/>
    <x v="100"/>
    <x v="4"/>
    <s v="L"/>
    <x v="3"/>
    <n v="33900"/>
    <n v="33900"/>
    <n v="300700"/>
  </r>
  <r>
    <x v="6"/>
    <x v="61"/>
    <x v="100"/>
    <x v="1"/>
    <s v="L"/>
    <x v="7"/>
    <n v="47900"/>
    <n v="47900"/>
    <n v="273400"/>
  </r>
  <r>
    <x v="6"/>
    <x v="61"/>
    <x v="100"/>
    <x v="3"/>
    <s v="L"/>
    <x v="7"/>
    <n v="35900"/>
    <n v="35900"/>
    <n v="300700"/>
  </r>
  <r>
    <x v="6"/>
    <x v="61"/>
    <x v="100"/>
    <x v="4"/>
    <s v="L"/>
    <x v="7"/>
    <n v="31900"/>
    <n v="31900"/>
    <n v="300700"/>
  </r>
  <r>
    <x v="6"/>
    <x v="61"/>
    <x v="100"/>
    <x v="1"/>
    <s v="L"/>
    <x v="4"/>
    <n v="43900"/>
    <n v="43900"/>
    <n v="251000"/>
  </r>
  <r>
    <x v="6"/>
    <x v="61"/>
    <x v="100"/>
    <x v="3"/>
    <s v="L"/>
    <x v="4"/>
    <n v="31900"/>
    <n v="31900"/>
    <n v="276100"/>
  </r>
  <r>
    <x v="6"/>
    <x v="61"/>
    <x v="100"/>
    <x v="4"/>
    <s v="L"/>
    <x v="4"/>
    <n v="27900"/>
    <n v="27900"/>
    <n v="276100"/>
  </r>
  <r>
    <x v="6"/>
    <x v="61"/>
    <x v="100"/>
    <x v="1"/>
    <s v="L"/>
    <x v="10"/>
    <n v="45900"/>
    <n v="45900"/>
    <n v="262200"/>
  </r>
  <r>
    <x v="6"/>
    <x v="61"/>
    <x v="100"/>
    <x v="3"/>
    <s v="L"/>
    <x v="10"/>
    <n v="33900"/>
    <n v="33900"/>
    <n v="288400"/>
  </r>
  <r>
    <x v="6"/>
    <x v="61"/>
    <x v="100"/>
    <x v="4"/>
    <s v="L"/>
    <x v="10"/>
    <n v="29900"/>
    <n v="29900"/>
    <n v="288400"/>
  </r>
  <r>
    <x v="6"/>
    <x v="62"/>
    <x v="101"/>
    <x v="1"/>
    <s v="L"/>
    <x v="3"/>
    <n v="39900"/>
    <n v="39900"/>
    <n v="251000"/>
  </r>
  <r>
    <x v="6"/>
    <x v="62"/>
    <x v="101"/>
    <x v="2"/>
    <s v="L"/>
    <x v="3"/>
    <n v="36900"/>
    <n v="36900"/>
    <n v="251000"/>
  </r>
  <r>
    <x v="6"/>
    <x v="62"/>
    <x v="101"/>
    <x v="3"/>
    <s v="L"/>
    <x v="3"/>
    <n v="32900"/>
    <n v="32900"/>
    <n v="276100"/>
  </r>
  <r>
    <x v="6"/>
    <x v="62"/>
    <x v="101"/>
    <x v="4"/>
    <s v="L"/>
    <x v="3"/>
    <n v="28900"/>
    <n v="28900"/>
    <n v="276100"/>
  </r>
  <r>
    <x v="6"/>
    <x v="62"/>
    <x v="101"/>
    <x v="1"/>
    <s v="L"/>
    <x v="7"/>
    <n v="37900"/>
    <n v="37900"/>
    <n v="251000"/>
  </r>
  <r>
    <x v="6"/>
    <x v="62"/>
    <x v="101"/>
    <x v="3"/>
    <s v="L"/>
    <x v="7"/>
    <n v="30900"/>
    <n v="30900"/>
    <n v="276100"/>
  </r>
  <r>
    <x v="6"/>
    <x v="62"/>
    <x v="101"/>
    <x v="4"/>
    <s v="L"/>
    <x v="7"/>
    <n v="26900"/>
    <n v="26900"/>
    <n v="276100"/>
  </r>
  <r>
    <x v="6"/>
    <x v="62"/>
    <x v="101"/>
    <x v="1"/>
    <s v="L"/>
    <x v="4"/>
    <n v="35900"/>
    <n v="35900"/>
    <n v="239700"/>
  </r>
  <r>
    <x v="6"/>
    <x v="62"/>
    <x v="101"/>
    <x v="3"/>
    <s v="L"/>
    <x v="4"/>
    <n v="28900"/>
    <n v="28900"/>
    <n v="263700"/>
  </r>
  <r>
    <x v="6"/>
    <x v="62"/>
    <x v="101"/>
    <x v="4"/>
    <s v="L"/>
    <x v="4"/>
    <n v="24900"/>
    <n v="24900"/>
    <n v="263700"/>
  </r>
  <r>
    <x v="6"/>
    <x v="62"/>
    <x v="101"/>
    <x v="1"/>
    <s v="L"/>
    <x v="10"/>
    <n v="37900"/>
    <n v="37900"/>
    <n v="251000"/>
  </r>
  <r>
    <x v="6"/>
    <x v="62"/>
    <x v="101"/>
    <x v="3"/>
    <s v="L"/>
    <x v="10"/>
    <n v="30900"/>
    <n v="30900"/>
    <n v="276100"/>
  </r>
  <r>
    <x v="6"/>
    <x v="62"/>
    <x v="101"/>
    <x v="4"/>
    <s v="L"/>
    <x v="10"/>
    <n v="26900"/>
    <n v="26900"/>
    <n v="276100"/>
  </r>
  <r>
    <x v="6"/>
    <x v="63"/>
    <x v="102"/>
    <x v="1"/>
    <s v="L"/>
    <x v="3"/>
    <n v="53900"/>
    <n v="53900"/>
    <n v="295900"/>
  </r>
  <r>
    <x v="6"/>
    <x v="63"/>
    <x v="102"/>
    <x v="2"/>
    <s v="L"/>
    <x v="3"/>
    <n v="49900"/>
    <n v="49900"/>
    <n v="295900"/>
  </r>
  <r>
    <x v="6"/>
    <x v="63"/>
    <x v="102"/>
    <x v="3"/>
    <s v="L"/>
    <x v="3"/>
    <n v="45900"/>
    <n v="45900"/>
    <n v="325500"/>
  </r>
  <r>
    <x v="6"/>
    <x v="63"/>
    <x v="102"/>
    <x v="4"/>
    <s v="L"/>
    <x v="3"/>
    <n v="40900"/>
    <n v="40900"/>
    <n v="325500"/>
  </r>
  <r>
    <x v="6"/>
    <x v="63"/>
    <x v="102"/>
    <x v="1"/>
    <s v="L"/>
    <x v="7"/>
    <n v="51900"/>
    <n v="51900"/>
    <n v="284700"/>
  </r>
  <r>
    <x v="6"/>
    <x v="63"/>
    <x v="102"/>
    <x v="3"/>
    <s v="L"/>
    <x v="7"/>
    <n v="43900"/>
    <n v="43900"/>
    <n v="313200"/>
  </r>
  <r>
    <x v="6"/>
    <x v="63"/>
    <x v="102"/>
    <x v="4"/>
    <s v="L"/>
    <x v="7"/>
    <n v="38900"/>
    <n v="38900"/>
    <n v="313200"/>
  </r>
  <r>
    <x v="6"/>
    <x v="63"/>
    <x v="102"/>
    <x v="1"/>
    <s v="L"/>
    <x v="4"/>
    <n v="46900"/>
    <n v="46900"/>
    <n v="273400"/>
  </r>
  <r>
    <x v="6"/>
    <x v="63"/>
    <x v="102"/>
    <x v="3"/>
    <s v="L"/>
    <x v="4"/>
    <n v="38900"/>
    <n v="38900"/>
    <n v="300700"/>
  </r>
  <r>
    <x v="6"/>
    <x v="63"/>
    <x v="102"/>
    <x v="4"/>
    <s v="L"/>
    <x v="4"/>
    <n v="33900"/>
    <n v="33900"/>
    <n v="300700"/>
  </r>
  <r>
    <x v="6"/>
    <x v="63"/>
    <x v="102"/>
    <x v="1"/>
    <s v="L"/>
    <x v="10"/>
    <n v="48900"/>
    <n v="48900"/>
    <n v="284700"/>
  </r>
  <r>
    <x v="6"/>
    <x v="63"/>
    <x v="102"/>
    <x v="3"/>
    <s v="L"/>
    <x v="10"/>
    <n v="40900"/>
    <n v="40900"/>
    <n v="313200"/>
  </r>
  <r>
    <x v="6"/>
    <x v="63"/>
    <x v="102"/>
    <x v="4"/>
    <s v="L"/>
    <x v="10"/>
    <n v="35900"/>
    <n v="35900"/>
    <n v="313200"/>
  </r>
  <r>
    <x v="6"/>
    <x v="63"/>
    <x v="103"/>
    <x v="1"/>
    <s v="L"/>
    <x v="3"/>
    <n v="46900"/>
    <n v="46900"/>
    <n v="273400"/>
  </r>
  <r>
    <x v="6"/>
    <x v="63"/>
    <x v="103"/>
    <x v="2"/>
    <s v="L"/>
    <x v="3"/>
    <n v="43900"/>
    <n v="43900"/>
    <n v="273400"/>
  </r>
  <r>
    <x v="6"/>
    <x v="63"/>
    <x v="103"/>
    <x v="3"/>
    <s v="L"/>
    <x v="3"/>
    <n v="38900"/>
    <n v="38900"/>
    <n v="300700"/>
  </r>
  <r>
    <x v="6"/>
    <x v="63"/>
    <x v="103"/>
    <x v="4"/>
    <s v="L"/>
    <x v="3"/>
    <n v="33900"/>
    <n v="33900"/>
    <n v="300700"/>
  </r>
  <r>
    <x v="6"/>
    <x v="63"/>
    <x v="103"/>
    <x v="1"/>
    <s v="L"/>
    <x v="7"/>
    <n v="44900"/>
    <n v="44900"/>
    <n v="273400"/>
  </r>
  <r>
    <x v="6"/>
    <x v="63"/>
    <x v="103"/>
    <x v="3"/>
    <s v="L"/>
    <x v="7"/>
    <n v="36900"/>
    <n v="36900"/>
    <n v="300700"/>
  </r>
  <r>
    <x v="6"/>
    <x v="63"/>
    <x v="103"/>
    <x v="4"/>
    <s v="L"/>
    <x v="7"/>
    <n v="31900"/>
    <n v="31900"/>
    <n v="300700"/>
  </r>
  <r>
    <x v="6"/>
    <x v="63"/>
    <x v="103"/>
    <x v="1"/>
    <s v="L"/>
    <x v="4"/>
    <n v="39900"/>
    <n v="39900"/>
    <n v="251000"/>
  </r>
  <r>
    <x v="6"/>
    <x v="63"/>
    <x v="103"/>
    <x v="3"/>
    <s v="L"/>
    <x v="4"/>
    <n v="31900"/>
    <n v="31900"/>
    <n v="276100"/>
  </r>
  <r>
    <x v="6"/>
    <x v="63"/>
    <x v="103"/>
    <x v="4"/>
    <s v="L"/>
    <x v="4"/>
    <n v="26900"/>
    <n v="26900"/>
    <n v="276100"/>
  </r>
  <r>
    <x v="6"/>
    <x v="63"/>
    <x v="103"/>
    <x v="1"/>
    <s v="L"/>
    <x v="10"/>
    <n v="41900"/>
    <n v="41900"/>
    <n v="262200"/>
  </r>
  <r>
    <x v="6"/>
    <x v="63"/>
    <x v="103"/>
    <x v="3"/>
    <s v="L"/>
    <x v="10"/>
    <n v="33900"/>
    <n v="33900"/>
    <n v="288400"/>
  </r>
  <r>
    <x v="6"/>
    <x v="63"/>
    <x v="103"/>
    <x v="4"/>
    <s v="L"/>
    <x v="10"/>
    <n v="28900"/>
    <n v="28900"/>
    <n v="288400"/>
  </r>
  <r>
    <x v="6"/>
    <x v="63"/>
    <x v="104"/>
    <x v="1"/>
    <s v="L"/>
    <x v="3"/>
    <n v="43900"/>
    <n v="43900"/>
    <n v="273400"/>
  </r>
  <r>
    <x v="6"/>
    <x v="63"/>
    <x v="104"/>
    <x v="2"/>
    <s v="L"/>
    <x v="3"/>
    <n v="39900"/>
    <n v="39900"/>
    <n v="273400"/>
  </r>
  <r>
    <x v="6"/>
    <x v="63"/>
    <x v="104"/>
    <x v="3"/>
    <s v="L"/>
    <x v="3"/>
    <n v="35900"/>
    <n v="35900"/>
    <n v="300700"/>
  </r>
  <r>
    <x v="6"/>
    <x v="63"/>
    <x v="104"/>
    <x v="4"/>
    <s v="L"/>
    <x v="3"/>
    <n v="30900"/>
    <n v="30900"/>
    <n v="300700"/>
  </r>
  <r>
    <x v="6"/>
    <x v="63"/>
    <x v="104"/>
    <x v="1"/>
    <s v="L"/>
    <x v="7"/>
    <n v="41900"/>
    <n v="41900"/>
    <n v="262200"/>
  </r>
  <r>
    <x v="6"/>
    <x v="63"/>
    <x v="104"/>
    <x v="3"/>
    <s v="L"/>
    <x v="7"/>
    <n v="33900"/>
    <n v="33900"/>
    <n v="288400"/>
  </r>
  <r>
    <x v="6"/>
    <x v="63"/>
    <x v="104"/>
    <x v="4"/>
    <s v="L"/>
    <x v="7"/>
    <n v="28900"/>
    <n v="28900"/>
    <n v="288400"/>
  </r>
  <r>
    <x v="6"/>
    <x v="63"/>
    <x v="104"/>
    <x v="1"/>
    <s v="L"/>
    <x v="4"/>
    <n v="36900"/>
    <n v="36900"/>
    <n v="239700"/>
  </r>
  <r>
    <x v="6"/>
    <x v="63"/>
    <x v="104"/>
    <x v="3"/>
    <s v="L"/>
    <x v="4"/>
    <n v="28900"/>
    <n v="28900"/>
    <n v="263700"/>
  </r>
  <r>
    <x v="6"/>
    <x v="63"/>
    <x v="104"/>
    <x v="4"/>
    <s v="L"/>
    <x v="4"/>
    <n v="23900"/>
    <n v="23900"/>
    <n v="263700"/>
  </r>
  <r>
    <x v="6"/>
    <x v="63"/>
    <x v="104"/>
    <x v="1"/>
    <s v="L"/>
    <x v="10"/>
    <n v="38900"/>
    <n v="38900"/>
    <n v="251000"/>
  </r>
  <r>
    <x v="6"/>
    <x v="63"/>
    <x v="104"/>
    <x v="3"/>
    <s v="L"/>
    <x v="10"/>
    <n v="30900"/>
    <n v="30900"/>
    <n v="276100"/>
  </r>
  <r>
    <x v="6"/>
    <x v="63"/>
    <x v="104"/>
    <x v="4"/>
    <s v="L"/>
    <x v="10"/>
    <n v="25900"/>
    <n v="25900"/>
    <n v="276100"/>
  </r>
  <r>
    <x v="6"/>
    <x v="62"/>
    <x v="105"/>
    <x v="1"/>
    <s v="L"/>
    <x v="3"/>
    <n v="39900"/>
    <n v="39900"/>
    <n v="251000"/>
  </r>
  <r>
    <x v="6"/>
    <x v="62"/>
    <x v="105"/>
    <x v="2"/>
    <s v="L"/>
    <x v="3"/>
    <n v="36900"/>
    <n v="36900"/>
    <n v="251000"/>
  </r>
  <r>
    <x v="6"/>
    <x v="62"/>
    <x v="105"/>
    <x v="3"/>
    <s v="L"/>
    <x v="3"/>
    <n v="32900"/>
    <n v="32900"/>
    <n v="276100"/>
  </r>
  <r>
    <x v="6"/>
    <x v="62"/>
    <x v="105"/>
    <x v="4"/>
    <s v="L"/>
    <x v="3"/>
    <n v="28900"/>
    <n v="28900"/>
    <n v="276100"/>
  </r>
  <r>
    <x v="6"/>
    <x v="62"/>
    <x v="105"/>
    <x v="1"/>
    <s v="L"/>
    <x v="7"/>
    <n v="37900"/>
    <n v="37900"/>
    <n v="251000"/>
  </r>
  <r>
    <x v="6"/>
    <x v="62"/>
    <x v="105"/>
    <x v="3"/>
    <s v="L"/>
    <x v="7"/>
    <n v="30900"/>
    <n v="30900"/>
    <n v="276100"/>
  </r>
  <r>
    <x v="6"/>
    <x v="62"/>
    <x v="105"/>
    <x v="4"/>
    <s v="L"/>
    <x v="7"/>
    <n v="26900"/>
    <n v="26900"/>
    <n v="276100"/>
  </r>
  <r>
    <x v="6"/>
    <x v="62"/>
    <x v="105"/>
    <x v="1"/>
    <s v="L"/>
    <x v="4"/>
    <n v="35900"/>
    <n v="35900"/>
    <n v="239700"/>
  </r>
  <r>
    <x v="6"/>
    <x v="62"/>
    <x v="105"/>
    <x v="3"/>
    <s v="L"/>
    <x v="4"/>
    <n v="28900"/>
    <n v="28900"/>
    <n v="263700"/>
  </r>
  <r>
    <x v="6"/>
    <x v="62"/>
    <x v="105"/>
    <x v="4"/>
    <s v="L"/>
    <x v="4"/>
    <n v="24900"/>
    <n v="24900"/>
    <n v="263700"/>
  </r>
  <r>
    <x v="6"/>
    <x v="62"/>
    <x v="105"/>
    <x v="1"/>
    <s v="L"/>
    <x v="10"/>
    <n v="37900"/>
    <n v="37900"/>
    <n v="251000"/>
  </r>
  <r>
    <x v="6"/>
    <x v="62"/>
    <x v="105"/>
    <x v="3"/>
    <s v="L"/>
    <x v="10"/>
    <n v="30900"/>
    <n v="30900"/>
    <n v="276100"/>
  </r>
  <r>
    <x v="6"/>
    <x v="62"/>
    <x v="105"/>
    <x v="4"/>
    <s v="L"/>
    <x v="10"/>
    <n v="26900"/>
    <n v="26900"/>
    <n v="276100"/>
  </r>
  <r>
    <x v="6"/>
    <x v="62"/>
    <x v="106"/>
    <x v="1"/>
    <s v="L"/>
    <x v="3"/>
    <n v="33900"/>
    <n v="33900"/>
    <n v="231100"/>
  </r>
  <r>
    <x v="6"/>
    <x v="62"/>
    <x v="106"/>
    <x v="2"/>
    <s v="L"/>
    <x v="3"/>
    <n v="31900"/>
    <n v="31900"/>
    <n v="231100"/>
  </r>
  <r>
    <x v="6"/>
    <x v="62"/>
    <x v="106"/>
    <x v="3"/>
    <s v="L"/>
    <x v="3"/>
    <n v="26900"/>
    <n v="26900"/>
    <n v="254200"/>
  </r>
  <r>
    <x v="6"/>
    <x v="62"/>
    <x v="106"/>
    <x v="4"/>
    <s v="L"/>
    <x v="3"/>
    <n v="22900"/>
    <n v="22900"/>
    <n v="254200"/>
  </r>
  <r>
    <x v="6"/>
    <x v="62"/>
    <x v="106"/>
    <x v="1"/>
    <s v="L"/>
    <x v="7"/>
    <n v="31900"/>
    <n v="31900"/>
    <n v="219800"/>
  </r>
  <r>
    <x v="6"/>
    <x v="62"/>
    <x v="106"/>
    <x v="3"/>
    <s v="L"/>
    <x v="7"/>
    <n v="24900"/>
    <n v="24900"/>
    <n v="241800"/>
  </r>
  <r>
    <x v="6"/>
    <x v="62"/>
    <x v="106"/>
    <x v="4"/>
    <s v="L"/>
    <x v="7"/>
    <n v="20900"/>
    <n v="20900"/>
    <n v="241800"/>
  </r>
  <r>
    <x v="6"/>
    <x v="62"/>
    <x v="106"/>
    <x v="1"/>
    <s v="L"/>
    <x v="4"/>
    <n v="29900"/>
    <n v="29900"/>
    <n v="208600"/>
  </r>
  <r>
    <x v="6"/>
    <x v="62"/>
    <x v="106"/>
    <x v="3"/>
    <s v="L"/>
    <x v="4"/>
    <n v="22900"/>
    <n v="22900"/>
    <n v="229500"/>
  </r>
  <r>
    <x v="6"/>
    <x v="62"/>
    <x v="106"/>
    <x v="4"/>
    <s v="L"/>
    <x v="4"/>
    <n v="18900"/>
    <n v="18900"/>
    <n v="229500"/>
  </r>
  <r>
    <x v="6"/>
    <x v="62"/>
    <x v="106"/>
    <x v="1"/>
    <s v="L"/>
    <x v="10"/>
    <n v="31900"/>
    <n v="31900"/>
    <n v="219800"/>
  </r>
  <r>
    <x v="6"/>
    <x v="62"/>
    <x v="106"/>
    <x v="3"/>
    <s v="L"/>
    <x v="10"/>
    <n v="24900"/>
    <n v="24900"/>
    <n v="241800"/>
  </r>
  <r>
    <x v="6"/>
    <x v="62"/>
    <x v="106"/>
    <x v="4"/>
    <s v="L"/>
    <x v="10"/>
    <n v="20900"/>
    <n v="20900"/>
    <n v="241800"/>
  </r>
  <r>
    <x v="6"/>
    <x v="64"/>
    <x v="107"/>
    <x v="1"/>
    <s v="L"/>
    <x v="3"/>
    <n v="40900"/>
    <n v="40900"/>
    <n v="251000"/>
  </r>
  <r>
    <x v="6"/>
    <x v="64"/>
    <x v="107"/>
    <x v="3"/>
    <s v="L"/>
    <x v="3"/>
    <n v="32900"/>
    <n v="32900"/>
    <n v="276100"/>
  </r>
  <r>
    <x v="6"/>
    <x v="64"/>
    <x v="107"/>
    <x v="4"/>
    <s v="L"/>
    <x v="3"/>
    <n v="28900"/>
    <n v="28900"/>
    <n v="276100"/>
  </r>
  <r>
    <x v="6"/>
    <x v="64"/>
    <x v="108"/>
    <x v="1"/>
    <s v="L"/>
    <x v="3"/>
    <n v="35900"/>
    <n v="35900"/>
    <n v="239700"/>
  </r>
  <r>
    <x v="6"/>
    <x v="64"/>
    <x v="108"/>
    <x v="2"/>
    <s v="L"/>
    <x v="3"/>
    <n v="31900"/>
    <n v="31900"/>
    <n v="239700"/>
  </r>
  <r>
    <x v="6"/>
    <x v="64"/>
    <x v="108"/>
    <x v="3"/>
    <s v="L"/>
    <x v="3"/>
    <n v="28900"/>
    <n v="28900"/>
    <n v="263700"/>
  </r>
  <r>
    <x v="6"/>
    <x v="64"/>
    <x v="108"/>
    <x v="4"/>
    <s v="L"/>
    <x v="3"/>
    <n v="24900"/>
    <n v="24900"/>
    <n v="263700"/>
  </r>
  <r>
    <x v="6"/>
    <x v="65"/>
    <x v="109"/>
    <x v="1"/>
    <s v="L"/>
    <x v="3"/>
    <n v="53900"/>
    <n v="53900"/>
    <n v="295900"/>
  </r>
  <r>
    <x v="6"/>
    <x v="65"/>
    <x v="109"/>
    <x v="2"/>
    <s v="L"/>
    <x v="3"/>
    <n v="49900"/>
    <n v="49900"/>
    <n v="295900"/>
  </r>
  <r>
    <x v="6"/>
    <x v="65"/>
    <x v="109"/>
    <x v="3"/>
    <s v="L"/>
    <x v="3"/>
    <n v="45900"/>
    <n v="45900"/>
    <n v="325500"/>
  </r>
  <r>
    <x v="6"/>
    <x v="65"/>
    <x v="109"/>
    <x v="4"/>
    <s v="L"/>
    <x v="3"/>
    <n v="40900"/>
    <n v="40900"/>
    <n v="325500"/>
  </r>
  <r>
    <x v="6"/>
    <x v="65"/>
    <x v="109"/>
    <x v="1"/>
    <s v="L"/>
    <x v="7"/>
    <n v="51900"/>
    <n v="51900"/>
    <n v="284700"/>
  </r>
  <r>
    <x v="6"/>
    <x v="65"/>
    <x v="109"/>
    <x v="3"/>
    <s v="L"/>
    <x v="7"/>
    <n v="43900"/>
    <n v="43900"/>
    <n v="313200"/>
  </r>
  <r>
    <x v="6"/>
    <x v="65"/>
    <x v="109"/>
    <x v="4"/>
    <s v="L"/>
    <x v="7"/>
    <n v="38900"/>
    <n v="38900"/>
    <n v="313200"/>
  </r>
  <r>
    <x v="6"/>
    <x v="65"/>
    <x v="109"/>
    <x v="1"/>
    <s v="L"/>
    <x v="4"/>
    <n v="46900"/>
    <n v="46900"/>
    <n v="273400"/>
  </r>
  <r>
    <x v="6"/>
    <x v="65"/>
    <x v="109"/>
    <x v="3"/>
    <s v="L"/>
    <x v="4"/>
    <n v="38900"/>
    <n v="38900"/>
    <n v="300700"/>
  </r>
  <r>
    <x v="6"/>
    <x v="65"/>
    <x v="109"/>
    <x v="4"/>
    <s v="L"/>
    <x v="4"/>
    <n v="33900"/>
    <n v="33900"/>
    <n v="300700"/>
  </r>
  <r>
    <x v="6"/>
    <x v="65"/>
    <x v="109"/>
    <x v="1"/>
    <s v="L"/>
    <x v="10"/>
    <n v="48900"/>
    <n v="48900"/>
    <n v="284700"/>
  </r>
  <r>
    <x v="6"/>
    <x v="65"/>
    <x v="109"/>
    <x v="3"/>
    <s v="L"/>
    <x v="10"/>
    <n v="40900"/>
    <n v="40900"/>
    <n v="313200"/>
  </r>
  <r>
    <x v="6"/>
    <x v="65"/>
    <x v="109"/>
    <x v="4"/>
    <s v="L"/>
    <x v="10"/>
    <n v="35900"/>
    <n v="35900"/>
    <n v="313200"/>
  </r>
  <r>
    <x v="6"/>
    <x v="65"/>
    <x v="110"/>
    <x v="1"/>
    <s v="L"/>
    <x v="3"/>
    <n v="46900"/>
    <n v="46900"/>
    <n v="273400"/>
  </r>
  <r>
    <x v="6"/>
    <x v="65"/>
    <x v="110"/>
    <x v="2"/>
    <s v="L"/>
    <x v="3"/>
    <n v="43900"/>
    <n v="43900"/>
    <n v="273400"/>
  </r>
  <r>
    <x v="6"/>
    <x v="65"/>
    <x v="110"/>
    <x v="3"/>
    <s v="L"/>
    <x v="3"/>
    <n v="38900"/>
    <n v="38900"/>
    <n v="300700"/>
  </r>
  <r>
    <x v="6"/>
    <x v="65"/>
    <x v="110"/>
    <x v="4"/>
    <s v="L"/>
    <x v="3"/>
    <n v="33900"/>
    <n v="33900"/>
    <n v="300700"/>
  </r>
  <r>
    <x v="6"/>
    <x v="65"/>
    <x v="110"/>
    <x v="1"/>
    <s v="L"/>
    <x v="7"/>
    <n v="44900"/>
    <n v="44900"/>
    <n v="273400"/>
  </r>
  <r>
    <x v="6"/>
    <x v="65"/>
    <x v="110"/>
    <x v="3"/>
    <s v="L"/>
    <x v="7"/>
    <n v="36900"/>
    <n v="36900"/>
    <n v="300700"/>
  </r>
  <r>
    <x v="6"/>
    <x v="65"/>
    <x v="110"/>
    <x v="4"/>
    <s v="L"/>
    <x v="7"/>
    <n v="31900"/>
    <n v="31900"/>
    <n v="300700"/>
  </r>
  <r>
    <x v="6"/>
    <x v="65"/>
    <x v="110"/>
    <x v="1"/>
    <s v="L"/>
    <x v="4"/>
    <n v="39900"/>
    <n v="39900"/>
    <n v="251000"/>
  </r>
  <r>
    <x v="6"/>
    <x v="65"/>
    <x v="110"/>
    <x v="3"/>
    <s v="L"/>
    <x v="4"/>
    <n v="31900"/>
    <n v="31900"/>
    <n v="276100"/>
  </r>
  <r>
    <x v="6"/>
    <x v="65"/>
    <x v="110"/>
    <x v="4"/>
    <s v="L"/>
    <x v="4"/>
    <n v="26900"/>
    <n v="26900"/>
    <n v="276100"/>
  </r>
  <r>
    <x v="6"/>
    <x v="65"/>
    <x v="110"/>
    <x v="1"/>
    <s v="L"/>
    <x v="10"/>
    <n v="41900"/>
    <n v="41900"/>
    <n v="262200"/>
  </r>
  <r>
    <x v="6"/>
    <x v="65"/>
    <x v="110"/>
    <x v="3"/>
    <s v="L"/>
    <x v="10"/>
    <n v="33900"/>
    <n v="33900"/>
    <n v="288400"/>
  </r>
  <r>
    <x v="6"/>
    <x v="65"/>
    <x v="110"/>
    <x v="4"/>
    <s v="L"/>
    <x v="10"/>
    <n v="28900"/>
    <n v="28900"/>
    <n v="288400"/>
  </r>
  <r>
    <x v="6"/>
    <x v="65"/>
    <x v="111"/>
    <x v="1"/>
    <s v="L"/>
    <x v="3"/>
    <n v="43900"/>
    <n v="43900"/>
    <n v="273400"/>
  </r>
  <r>
    <x v="6"/>
    <x v="65"/>
    <x v="111"/>
    <x v="2"/>
    <s v="L"/>
    <x v="3"/>
    <n v="39900"/>
    <n v="39900"/>
    <n v="273400"/>
  </r>
  <r>
    <x v="6"/>
    <x v="65"/>
    <x v="111"/>
    <x v="3"/>
    <s v="L"/>
    <x v="3"/>
    <n v="35900"/>
    <n v="35900"/>
    <n v="300700"/>
  </r>
  <r>
    <x v="6"/>
    <x v="65"/>
    <x v="111"/>
    <x v="4"/>
    <s v="L"/>
    <x v="3"/>
    <n v="30900"/>
    <n v="30900"/>
    <n v="300700"/>
  </r>
  <r>
    <x v="6"/>
    <x v="65"/>
    <x v="111"/>
    <x v="1"/>
    <s v="L"/>
    <x v="7"/>
    <n v="41900"/>
    <n v="41900"/>
    <n v="262200"/>
  </r>
  <r>
    <x v="6"/>
    <x v="65"/>
    <x v="111"/>
    <x v="3"/>
    <s v="L"/>
    <x v="7"/>
    <n v="33900"/>
    <n v="33900"/>
    <n v="288400"/>
  </r>
  <r>
    <x v="6"/>
    <x v="65"/>
    <x v="111"/>
    <x v="4"/>
    <s v="L"/>
    <x v="7"/>
    <n v="28900"/>
    <n v="28900"/>
    <n v="288400"/>
  </r>
  <r>
    <x v="6"/>
    <x v="65"/>
    <x v="111"/>
    <x v="1"/>
    <s v="L"/>
    <x v="4"/>
    <n v="36900"/>
    <n v="36900"/>
    <n v="239700"/>
  </r>
  <r>
    <x v="6"/>
    <x v="65"/>
    <x v="111"/>
    <x v="3"/>
    <s v="L"/>
    <x v="4"/>
    <n v="28900"/>
    <n v="28900"/>
    <n v="263700"/>
  </r>
  <r>
    <x v="6"/>
    <x v="65"/>
    <x v="111"/>
    <x v="4"/>
    <s v="L"/>
    <x v="4"/>
    <n v="23900"/>
    <n v="23900"/>
    <n v="263700"/>
  </r>
  <r>
    <x v="6"/>
    <x v="65"/>
    <x v="111"/>
    <x v="1"/>
    <s v="L"/>
    <x v="10"/>
    <n v="38900"/>
    <n v="38900"/>
    <n v="251000"/>
  </r>
  <r>
    <x v="6"/>
    <x v="65"/>
    <x v="111"/>
    <x v="3"/>
    <s v="L"/>
    <x v="10"/>
    <n v="30900"/>
    <n v="30900"/>
    <n v="276100"/>
  </r>
  <r>
    <x v="6"/>
    <x v="65"/>
    <x v="111"/>
    <x v="4"/>
    <s v="L"/>
    <x v="10"/>
    <n v="25900"/>
    <n v="25900"/>
    <n v="276100"/>
  </r>
  <r>
    <x v="6"/>
    <x v="66"/>
    <x v="112"/>
    <x v="1"/>
    <s v="L"/>
    <x v="3"/>
    <n v="89900"/>
    <n v="89900"/>
    <n v="363400"/>
  </r>
  <r>
    <x v="6"/>
    <x v="66"/>
    <x v="112"/>
    <x v="2"/>
    <s v="L"/>
    <x v="3"/>
    <n v="82900"/>
    <n v="82900"/>
    <n v="363400"/>
  </r>
  <r>
    <x v="6"/>
    <x v="66"/>
    <x v="112"/>
    <x v="3"/>
    <s v="L"/>
    <x v="3"/>
    <n v="75900"/>
    <n v="75900"/>
    <n v="399700"/>
  </r>
  <r>
    <x v="6"/>
    <x v="66"/>
    <x v="113"/>
    <x v="1"/>
    <s v="L"/>
    <x v="3"/>
    <n v="83900"/>
    <n v="83900"/>
    <n v="340900"/>
  </r>
  <r>
    <x v="6"/>
    <x v="66"/>
    <x v="113"/>
    <x v="2"/>
    <s v="L"/>
    <x v="3"/>
    <n v="76900"/>
    <n v="76900"/>
    <n v="340900"/>
  </r>
  <r>
    <x v="6"/>
    <x v="66"/>
    <x v="113"/>
    <x v="3"/>
    <s v="L"/>
    <x v="3"/>
    <n v="69900"/>
    <n v="69900"/>
    <n v="375000"/>
  </r>
  <r>
    <x v="6"/>
    <x v="66"/>
    <x v="114"/>
    <x v="1"/>
    <s v="L"/>
    <x v="3"/>
    <n v="77900"/>
    <n v="77900"/>
    <n v="329600"/>
  </r>
  <r>
    <x v="6"/>
    <x v="66"/>
    <x v="114"/>
    <x v="2"/>
    <s v="L"/>
    <x v="3"/>
    <n v="70900"/>
    <n v="70900"/>
    <n v="329600"/>
  </r>
  <r>
    <x v="6"/>
    <x v="66"/>
    <x v="114"/>
    <x v="3"/>
    <s v="L"/>
    <x v="3"/>
    <n v="63900"/>
    <n v="63900"/>
    <n v="362600"/>
  </r>
  <r>
    <x v="6"/>
    <x v="66"/>
    <x v="115"/>
    <x v="1"/>
    <s v="L"/>
    <x v="3"/>
    <n v="105900"/>
    <n v="105900"/>
    <n v="385800"/>
  </r>
  <r>
    <x v="6"/>
    <x v="66"/>
    <x v="115"/>
    <x v="2"/>
    <s v="L"/>
    <x v="3"/>
    <n v="97900"/>
    <n v="97900"/>
    <n v="385800"/>
  </r>
  <r>
    <x v="6"/>
    <x v="66"/>
    <x v="115"/>
    <x v="3"/>
    <s v="L"/>
    <x v="3"/>
    <n v="88900"/>
    <n v="88900"/>
    <n v="424400"/>
  </r>
  <r>
    <x v="6"/>
    <x v="66"/>
    <x v="116"/>
    <x v="1"/>
    <s v="L"/>
    <x v="3"/>
    <n v="100900"/>
    <n v="100900"/>
    <n v="374600"/>
  </r>
  <r>
    <x v="6"/>
    <x v="66"/>
    <x v="116"/>
    <x v="2"/>
    <s v="L"/>
    <x v="3"/>
    <n v="91900"/>
    <n v="91900"/>
    <n v="374600"/>
  </r>
  <r>
    <x v="6"/>
    <x v="66"/>
    <x v="116"/>
    <x v="3"/>
    <s v="L"/>
    <x v="3"/>
    <n v="82900"/>
    <n v="82900"/>
    <n v="412100"/>
  </r>
  <r>
    <x v="6"/>
    <x v="66"/>
    <x v="117"/>
    <x v="1"/>
    <s v="L"/>
    <x v="3"/>
    <n v="93900"/>
    <n v="93900"/>
    <n v="363400"/>
  </r>
  <r>
    <x v="6"/>
    <x v="66"/>
    <x v="117"/>
    <x v="2"/>
    <s v="L"/>
    <x v="3"/>
    <n v="85900"/>
    <n v="85900"/>
    <n v="363400"/>
  </r>
  <r>
    <x v="6"/>
    <x v="66"/>
    <x v="117"/>
    <x v="3"/>
    <s v="L"/>
    <x v="3"/>
    <n v="76900"/>
    <n v="76900"/>
    <n v="399700"/>
  </r>
  <r>
    <x v="6"/>
    <x v="67"/>
    <x v="118"/>
    <x v="1"/>
    <s v="L"/>
    <x v="3"/>
    <n v="48900"/>
    <n v="43900"/>
    <n v="273400"/>
  </r>
  <r>
    <x v="6"/>
    <x v="67"/>
    <x v="118"/>
    <x v="2"/>
    <s v="L"/>
    <x v="3"/>
    <n v="44900"/>
    <n v="39900"/>
    <n v="273400"/>
  </r>
  <r>
    <x v="6"/>
    <x v="67"/>
    <x v="118"/>
    <x v="3"/>
    <s v="L"/>
    <x v="3"/>
    <n v="40900"/>
    <n v="35900"/>
    <n v="300700"/>
  </r>
  <r>
    <x v="6"/>
    <x v="67"/>
    <x v="118"/>
    <x v="4"/>
    <s v="L"/>
    <x v="3"/>
    <n v="36900"/>
    <n v="31900"/>
    <n v="300700"/>
  </r>
  <r>
    <x v="6"/>
    <x v="67"/>
    <x v="118"/>
    <x v="1"/>
    <s v="L"/>
    <x v="7"/>
    <n v="46900"/>
    <n v="41900"/>
    <n v="262200"/>
  </r>
  <r>
    <x v="6"/>
    <x v="67"/>
    <x v="118"/>
    <x v="3"/>
    <s v="L"/>
    <x v="7"/>
    <n v="38900"/>
    <n v="33900"/>
    <n v="288400"/>
  </r>
  <r>
    <x v="6"/>
    <x v="67"/>
    <x v="118"/>
    <x v="4"/>
    <s v="L"/>
    <x v="7"/>
    <n v="34900"/>
    <n v="29900"/>
    <n v="288400"/>
  </r>
  <r>
    <x v="6"/>
    <x v="67"/>
    <x v="118"/>
    <x v="1"/>
    <s v="L"/>
    <x v="4"/>
    <n v="42900"/>
    <n v="37900"/>
    <n v="239700"/>
  </r>
  <r>
    <x v="6"/>
    <x v="67"/>
    <x v="118"/>
    <x v="3"/>
    <s v="L"/>
    <x v="4"/>
    <n v="34900"/>
    <n v="29900"/>
    <n v="263700"/>
  </r>
  <r>
    <x v="6"/>
    <x v="67"/>
    <x v="118"/>
    <x v="4"/>
    <s v="L"/>
    <x v="4"/>
    <n v="30900"/>
    <n v="25900"/>
    <n v="263700"/>
  </r>
  <r>
    <x v="6"/>
    <x v="67"/>
    <x v="118"/>
    <x v="1"/>
    <s v="L"/>
    <x v="10"/>
    <n v="44900"/>
    <n v="39900"/>
    <n v="251000"/>
  </r>
  <r>
    <x v="6"/>
    <x v="67"/>
    <x v="118"/>
    <x v="3"/>
    <s v="L"/>
    <x v="10"/>
    <n v="36900"/>
    <n v="31900"/>
    <n v="276100"/>
  </r>
  <r>
    <x v="6"/>
    <x v="67"/>
    <x v="118"/>
    <x v="4"/>
    <s v="L"/>
    <x v="10"/>
    <n v="32900"/>
    <n v="27900"/>
    <n v="276100"/>
  </r>
  <r>
    <x v="6"/>
    <x v="67"/>
    <x v="119"/>
    <x v="1"/>
    <s v="L"/>
    <x v="3"/>
    <n v="43900"/>
    <n v="38900"/>
    <n v="251000"/>
  </r>
  <r>
    <x v="6"/>
    <x v="67"/>
    <x v="119"/>
    <x v="2"/>
    <s v="L"/>
    <x v="3"/>
    <n v="38900"/>
    <n v="33900"/>
    <n v="251000"/>
  </r>
  <r>
    <x v="6"/>
    <x v="67"/>
    <x v="119"/>
    <x v="3"/>
    <s v="L"/>
    <x v="3"/>
    <n v="35900"/>
    <n v="30900"/>
    <n v="276100"/>
  </r>
  <r>
    <x v="6"/>
    <x v="67"/>
    <x v="119"/>
    <x v="4"/>
    <s v="L"/>
    <x v="3"/>
    <n v="31900"/>
    <n v="26900"/>
    <n v="276100"/>
  </r>
  <r>
    <x v="6"/>
    <x v="67"/>
    <x v="119"/>
    <x v="1"/>
    <s v="L"/>
    <x v="7"/>
    <n v="41900"/>
    <n v="36900"/>
    <n v="239700"/>
  </r>
  <r>
    <x v="6"/>
    <x v="67"/>
    <x v="119"/>
    <x v="3"/>
    <s v="L"/>
    <x v="7"/>
    <n v="33900"/>
    <n v="28900"/>
    <n v="263700"/>
  </r>
  <r>
    <x v="6"/>
    <x v="67"/>
    <x v="119"/>
    <x v="4"/>
    <s v="L"/>
    <x v="7"/>
    <n v="29900"/>
    <n v="24900"/>
    <n v="263700"/>
  </r>
  <r>
    <x v="6"/>
    <x v="67"/>
    <x v="119"/>
    <x v="1"/>
    <s v="L"/>
    <x v="4"/>
    <n v="37900"/>
    <n v="32900"/>
    <n v="219800"/>
  </r>
  <r>
    <x v="6"/>
    <x v="67"/>
    <x v="119"/>
    <x v="3"/>
    <s v="L"/>
    <x v="4"/>
    <n v="29900"/>
    <n v="24900"/>
    <n v="241800"/>
  </r>
  <r>
    <x v="6"/>
    <x v="67"/>
    <x v="119"/>
    <x v="4"/>
    <s v="L"/>
    <x v="4"/>
    <n v="25900"/>
    <n v="20900"/>
    <n v="241800"/>
  </r>
  <r>
    <x v="6"/>
    <x v="67"/>
    <x v="119"/>
    <x v="1"/>
    <s v="L"/>
    <x v="10"/>
    <n v="39900"/>
    <n v="34900"/>
    <n v="231100"/>
  </r>
  <r>
    <x v="6"/>
    <x v="67"/>
    <x v="119"/>
    <x v="3"/>
    <s v="L"/>
    <x v="10"/>
    <n v="31900"/>
    <n v="26900"/>
    <n v="254200"/>
  </r>
  <r>
    <x v="6"/>
    <x v="67"/>
    <x v="119"/>
    <x v="4"/>
    <s v="L"/>
    <x v="10"/>
    <n v="27900"/>
    <n v="22900"/>
    <n v="254200"/>
  </r>
  <r>
    <x v="6"/>
    <x v="67"/>
    <x v="120"/>
    <x v="1"/>
    <s v="L"/>
    <x v="3"/>
    <n v="38900"/>
    <n v="33900"/>
    <n v="231100"/>
  </r>
  <r>
    <x v="6"/>
    <x v="67"/>
    <x v="120"/>
    <x v="2"/>
    <s v="L"/>
    <x v="3"/>
    <n v="34900"/>
    <n v="29900"/>
    <n v="231100"/>
  </r>
  <r>
    <x v="6"/>
    <x v="67"/>
    <x v="120"/>
    <x v="3"/>
    <s v="L"/>
    <x v="3"/>
    <n v="31900"/>
    <n v="26900"/>
    <n v="254200"/>
  </r>
  <r>
    <x v="6"/>
    <x v="67"/>
    <x v="120"/>
    <x v="4"/>
    <s v="L"/>
    <x v="3"/>
    <n v="27900"/>
    <n v="22900"/>
    <n v="254200"/>
  </r>
  <r>
    <x v="6"/>
    <x v="67"/>
    <x v="120"/>
    <x v="1"/>
    <s v="L"/>
    <x v="7"/>
    <n v="36900"/>
    <n v="31900"/>
    <n v="219800"/>
  </r>
  <r>
    <x v="6"/>
    <x v="67"/>
    <x v="120"/>
    <x v="3"/>
    <s v="L"/>
    <x v="7"/>
    <n v="29900"/>
    <n v="24900"/>
    <n v="241800"/>
  </r>
  <r>
    <x v="6"/>
    <x v="67"/>
    <x v="120"/>
    <x v="4"/>
    <s v="L"/>
    <x v="7"/>
    <n v="25900"/>
    <n v="20900"/>
    <n v="241800"/>
  </r>
  <r>
    <x v="6"/>
    <x v="67"/>
    <x v="120"/>
    <x v="1"/>
    <s v="L"/>
    <x v="4"/>
    <n v="32900"/>
    <n v="27900"/>
    <n v="208600"/>
  </r>
  <r>
    <x v="6"/>
    <x v="67"/>
    <x v="120"/>
    <x v="3"/>
    <s v="L"/>
    <x v="4"/>
    <n v="25900"/>
    <n v="20900"/>
    <n v="229500"/>
  </r>
  <r>
    <x v="6"/>
    <x v="67"/>
    <x v="120"/>
    <x v="4"/>
    <s v="L"/>
    <x v="4"/>
    <n v="21900"/>
    <n v="16900"/>
    <n v="229500"/>
  </r>
  <r>
    <x v="6"/>
    <x v="67"/>
    <x v="120"/>
    <x v="1"/>
    <s v="L"/>
    <x v="10"/>
    <n v="34900"/>
    <n v="29900"/>
    <n v="208600"/>
  </r>
  <r>
    <x v="6"/>
    <x v="67"/>
    <x v="120"/>
    <x v="3"/>
    <s v="L"/>
    <x v="10"/>
    <n v="27900"/>
    <n v="22900"/>
    <n v="229500"/>
  </r>
  <r>
    <x v="6"/>
    <x v="67"/>
    <x v="120"/>
    <x v="4"/>
    <s v="L"/>
    <x v="10"/>
    <n v="23900"/>
    <n v="18900"/>
    <n v="229500"/>
  </r>
  <r>
    <x v="6"/>
    <x v="68"/>
    <x v="121"/>
    <x v="1"/>
    <s v="L"/>
    <x v="3"/>
    <n v="26900"/>
    <n v="26900"/>
    <n v="208600"/>
  </r>
  <r>
    <x v="6"/>
    <x v="68"/>
    <x v="121"/>
    <x v="2"/>
    <s v="L"/>
    <x v="3"/>
    <n v="23900"/>
    <n v="23900"/>
    <n v="208600"/>
  </r>
  <r>
    <x v="6"/>
    <x v="68"/>
    <x v="121"/>
    <x v="3"/>
    <s v="L"/>
    <x v="3"/>
    <n v="21900"/>
    <n v="21900"/>
    <n v="229500"/>
  </r>
  <r>
    <x v="6"/>
    <x v="68"/>
    <x v="121"/>
    <x v="4"/>
    <s v="L"/>
    <x v="3"/>
    <n v="18900"/>
    <n v="18900"/>
    <n v="229500"/>
  </r>
  <r>
    <x v="6"/>
    <x v="68"/>
    <x v="121"/>
    <x v="1"/>
    <s v="L"/>
    <x v="7"/>
    <n v="24900"/>
    <n v="24900"/>
    <n v="197400"/>
  </r>
  <r>
    <x v="6"/>
    <x v="68"/>
    <x v="121"/>
    <x v="3"/>
    <s v="L"/>
    <x v="7"/>
    <n v="19900"/>
    <n v="19900"/>
    <n v="217100"/>
  </r>
  <r>
    <x v="6"/>
    <x v="68"/>
    <x v="121"/>
    <x v="4"/>
    <s v="L"/>
    <x v="7"/>
    <n v="16900"/>
    <n v="16900"/>
    <n v="217100"/>
  </r>
  <r>
    <x v="6"/>
    <x v="68"/>
    <x v="121"/>
    <x v="1"/>
    <s v="L"/>
    <x v="4"/>
    <n v="22900"/>
    <n v="22900"/>
    <n v="197400"/>
  </r>
  <r>
    <x v="6"/>
    <x v="68"/>
    <x v="121"/>
    <x v="3"/>
    <s v="L"/>
    <x v="4"/>
    <n v="17900"/>
    <n v="17900"/>
    <n v="217100"/>
  </r>
  <r>
    <x v="6"/>
    <x v="68"/>
    <x v="121"/>
    <x v="4"/>
    <s v="L"/>
    <x v="4"/>
    <n v="14900"/>
    <n v="14900"/>
    <n v="217100"/>
  </r>
  <r>
    <x v="6"/>
    <x v="68"/>
    <x v="121"/>
    <x v="1"/>
    <s v="L"/>
    <x v="10"/>
    <n v="24900"/>
    <n v="24900"/>
    <n v="197400"/>
  </r>
  <r>
    <x v="6"/>
    <x v="68"/>
    <x v="121"/>
    <x v="3"/>
    <s v="L"/>
    <x v="10"/>
    <n v="19900"/>
    <n v="19900"/>
    <n v="217100"/>
  </r>
  <r>
    <x v="6"/>
    <x v="68"/>
    <x v="121"/>
    <x v="4"/>
    <s v="L"/>
    <x v="10"/>
    <n v="16900"/>
    <n v="16900"/>
    <n v="217100"/>
  </r>
  <r>
    <x v="6"/>
    <x v="69"/>
    <x v="122"/>
    <x v="2"/>
    <s v="L"/>
    <x v="3"/>
    <n v="35900"/>
    <n v="35900"/>
    <n v="251000"/>
  </r>
  <r>
    <x v="6"/>
    <x v="69"/>
    <x v="122"/>
    <x v="3"/>
    <s v="L"/>
    <x v="3"/>
    <n v="32900"/>
    <n v="32900"/>
    <n v="276100"/>
  </r>
  <r>
    <x v="6"/>
    <x v="69"/>
    <x v="122"/>
    <x v="4"/>
    <s v="L"/>
    <x v="3"/>
    <n v="28900"/>
    <n v="28900"/>
    <n v="276100"/>
  </r>
  <r>
    <x v="6"/>
    <x v="69"/>
    <x v="122"/>
    <x v="0"/>
    <s v="L"/>
    <x v="1"/>
    <n v="47900"/>
    <n v="47900"/>
    <n v="251000"/>
  </r>
  <r>
    <x v="6"/>
    <x v="69"/>
    <x v="122"/>
    <x v="3"/>
    <s v="L"/>
    <x v="7"/>
    <n v="26900"/>
    <n v="26900"/>
    <n v="254200"/>
  </r>
  <r>
    <x v="6"/>
    <x v="69"/>
    <x v="122"/>
    <x v="4"/>
    <s v="L"/>
    <x v="7"/>
    <n v="23900"/>
    <n v="23900"/>
    <n v="254200"/>
  </r>
  <r>
    <x v="6"/>
    <x v="69"/>
    <x v="122"/>
    <x v="3"/>
    <s v="L"/>
    <x v="4"/>
    <n v="25900"/>
    <n v="25900"/>
    <n v="254200"/>
  </r>
  <r>
    <x v="6"/>
    <x v="69"/>
    <x v="122"/>
    <x v="4"/>
    <s v="L"/>
    <x v="4"/>
    <n v="22900"/>
    <n v="22900"/>
    <n v="254200"/>
  </r>
  <r>
    <x v="6"/>
    <x v="69"/>
    <x v="122"/>
    <x v="3"/>
    <s v="L"/>
    <x v="10"/>
    <n v="31900"/>
    <n v="31900"/>
    <n v="276100"/>
  </r>
  <r>
    <x v="6"/>
    <x v="69"/>
    <x v="122"/>
    <x v="4"/>
    <s v="L"/>
    <x v="10"/>
    <n v="27900"/>
    <n v="27900"/>
    <n v="276100"/>
  </r>
  <r>
    <x v="6"/>
    <x v="69"/>
    <x v="122"/>
    <x v="0"/>
    <s v="L"/>
    <x v="11"/>
    <n v="47900"/>
    <n v="47900"/>
    <n v="276100"/>
  </r>
  <r>
    <x v="6"/>
    <x v="69"/>
    <x v="123"/>
    <x v="2"/>
    <s v="L"/>
    <x v="3"/>
    <n v="30900"/>
    <n v="30900"/>
    <n v="231100"/>
  </r>
  <r>
    <x v="6"/>
    <x v="69"/>
    <x v="123"/>
    <x v="3"/>
    <s v="L"/>
    <x v="3"/>
    <n v="27900"/>
    <n v="27900"/>
    <n v="254200"/>
  </r>
  <r>
    <x v="6"/>
    <x v="69"/>
    <x v="123"/>
    <x v="4"/>
    <s v="L"/>
    <x v="3"/>
    <n v="23900"/>
    <n v="23900"/>
    <n v="254200"/>
  </r>
  <r>
    <x v="6"/>
    <x v="69"/>
    <x v="123"/>
    <x v="0"/>
    <s v="L"/>
    <x v="1"/>
    <n v="40900"/>
    <n v="40900"/>
    <n v="231100"/>
  </r>
  <r>
    <x v="6"/>
    <x v="69"/>
    <x v="123"/>
    <x v="3"/>
    <s v="L"/>
    <x v="7"/>
    <n v="22900"/>
    <n v="22900"/>
    <n v="229500"/>
  </r>
  <r>
    <x v="6"/>
    <x v="69"/>
    <x v="123"/>
    <x v="4"/>
    <s v="L"/>
    <x v="7"/>
    <n v="19900"/>
    <n v="19900"/>
    <n v="229500"/>
  </r>
  <r>
    <x v="6"/>
    <x v="69"/>
    <x v="123"/>
    <x v="3"/>
    <s v="L"/>
    <x v="4"/>
    <n v="21900"/>
    <n v="21900"/>
    <n v="229500"/>
  </r>
  <r>
    <x v="6"/>
    <x v="69"/>
    <x v="123"/>
    <x v="4"/>
    <s v="L"/>
    <x v="4"/>
    <n v="18900"/>
    <n v="18900"/>
    <n v="229500"/>
  </r>
  <r>
    <x v="6"/>
    <x v="69"/>
    <x v="123"/>
    <x v="3"/>
    <s v="L"/>
    <x v="10"/>
    <n v="26900"/>
    <n v="26900"/>
    <n v="254200"/>
  </r>
  <r>
    <x v="6"/>
    <x v="69"/>
    <x v="123"/>
    <x v="4"/>
    <s v="L"/>
    <x v="10"/>
    <n v="22900"/>
    <n v="22900"/>
    <n v="254200"/>
  </r>
  <r>
    <x v="6"/>
    <x v="69"/>
    <x v="123"/>
    <x v="0"/>
    <s v="L"/>
    <x v="11"/>
    <n v="40900"/>
    <n v="40900"/>
    <n v="254200"/>
  </r>
  <r>
    <x v="6"/>
    <x v="70"/>
    <x v="124"/>
    <x v="1"/>
    <s v="L"/>
    <x v="3"/>
    <n v="34900"/>
    <n v="34900"/>
    <n v="231100"/>
  </r>
  <r>
    <x v="6"/>
    <x v="70"/>
    <x v="124"/>
    <x v="2"/>
    <s v="L"/>
    <x v="3"/>
    <n v="29900"/>
    <n v="29900"/>
    <n v="231100"/>
  </r>
  <r>
    <x v="6"/>
    <x v="70"/>
    <x v="124"/>
    <x v="3"/>
    <s v="L"/>
    <x v="3"/>
    <n v="26900"/>
    <n v="26900"/>
    <n v="254200"/>
  </r>
  <r>
    <x v="6"/>
    <x v="70"/>
    <x v="124"/>
    <x v="4"/>
    <s v="L"/>
    <x v="3"/>
    <n v="22900"/>
    <n v="22900"/>
    <n v="254200"/>
  </r>
  <r>
    <x v="6"/>
    <x v="70"/>
    <x v="124"/>
    <x v="1"/>
    <s v="L"/>
    <x v="7"/>
    <n v="32900"/>
    <n v="32900"/>
    <n v="219800"/>
  </r>
  <r>
    <x v="6"/>
    <x v="70"/>
    <x v="124"/>
    <x v="3"/>
    <s v="L"/>
    <x v="7"/>
    <n v="24900"/>
    <n v="24900"/>
    <n v="241800"/>
  </r>
  <r>
    <x v="6"/>
    <x v="70"/>
    <x v="124"/>
    <x v="4"/>
    <s v="L"/>
    <x v="7"/>
    <n v="20900"/>
    <n v="20900"/>
    <n v="241800"/>
  </r>
  <r>
    <x v="6"/>
    <x v="70"/>
    <x v="124"/>
    <x v="1"/>
    <s v="L"/>
    <x v="4"/>
    <n v="31900"/>
    <n v="31900"/>
    <n v="219800"/>
  </r>
  <r>
    <x v="6"/>
    <x v="70"/>
    <x v="124"/>
    <x v="3"/>
    <s v="L"/>
    <x v="4"/>
    <n v="23900"/>
    <n v="23900"/>
    <n v="241800"/>
  </r>
  <r>
    <x v="6"/>
    <x v="70"/>
    <x v="124"/>
    <x v="4"/>
    <s v="L"/>
    <x v="4"/>
    <n v="19900"/>
    <n v="19900"/>
    <n v="241800"/>
  </r>
  <r>
    <x v="6"/>
    <x v="70"/>
    <x v="124"/>
    <x v="1"/>
    <s v="L"/>
    <x v="10"/>
    <n v="33900"/>
    <n v="33900"/>
    <n v="231100"/>
  </r>
  <r>
    <x v="6"/>
    <x v="70"/>
    <x v="124"/>
    <x v="3"/>
    <s v="L"/>
    <x v="10"/>
    <n v="25900"/>
    <n v="25900"/>
    <n v="254200"/>
  </r>
  <r>
    <x v="6"/>
    <x v="70"/>
    <x v="124"/>
    <x v="4"/>
    <s v="L"/>
    <x v="10"/>
    <n v="21900"/>
    <n v="21900"/>
    <n v="254200"/>
  </r>
  <r>
    <x v="6"/>
    <x v="70"/>
    <x v="125"/>
    <x v="1"/>
    <s v="L"/>
    <x v="3"/>
    <n v="29900"/>
    <n v="29900"/>
    <n v="208600"/>
  </r>
  <r>
    <x v="6"/>
    <x v="70"/>
    <x v="125"/>
    <x v="2"/>
    <s v="L"/>
    <x v="3"/>
    <n v="25900"/>
    <n v="25900"/>
    <n v="208600"/>
  </r>
  <r>
    <x v="6"/>
    <x v="70"/>
    <x v="125"/>
    <x v="3"/>
    <s v="L"/>
    <x v="3"/>
    <n v="22900"/>
    <n v="22900"/>
    <n v="229500"/>
  </r>
  <r>
    <x v="6"/>
    <x v="70"/>
    <x v="125"/>
    <x v="4"/>
    <s v="L"/>
    <x v="3"/>
    <n v="18900"/>
    <n v="18900"/>
    <n v="229500"/>
  </r>
  <r>
    <x v="6"/>
    <x v="70"/>
    <x v="125"/>
    <x v="1"/>
    <s v="L"/>
    <x v="7"/>
    <n v="27900"/>
    <n v="27900"/>
    <n v="208600"/>
  </r>
  <r>
    <x v="6"/>
    <x v="70"/>
    <x v="125"/>
    <x v="3"/>
    <s v="L"/>
    <x v="7"/>
    <n v="20900"/>
    <n v="20900"/>
    <n v="229500"/>
  </r>
  <r>
    <x v="6"/>
    <x v="70"/>
    <x v="125"/>
    <x v="4"/>
    <s v="L"/>
    <x v="7"/>
    <n v="16900"/>
    <n v="16900"/>
    <n v="229500"/>
  </r>
  <r>
    <x v="6"/>
    <x v="70"/>
    <x v="125"/>
    <x v="1"/>
    <s v="L"/>
    <x v="4"/>
    <n v="26900"/>
    <n v="26900"/>
    <n v="197400"/>
  </r>
  <r>
    <x v="6"/>
    <x v="70"/>
    <x v="125"/>
    <x v="3"/>
    <s v="L"/>
    <x v="4"/>
    <n v="19900"/>
    <n v="19900"/>
    <n v="217100"/>
  </r>
  <r>
    <x v="6"/>
    <x v="70"/>
    <x v="125"/>
    <x v="4"/>
    <s v="L"/>
    <x v="4"/>
    <n v="15900"/>
    <n v="15900"/>
    <n v="217100"/>
  </r>
  <r>
    <x v="6"/>
    <x v="70"/>
    <x v="125"/>
    <x v="1"/>
    <s v="L"/>
    <x v="10"/>
    <n v="28900"/>
    <n v="28900"/>
    <n v="208600"/>
  </r>
  <r>
    <x v="6"/>
    <x v="70"/>
    <x v="125"/>
    <x v="3"/>
    <s v="L"/>
    <x v="10"/>
    <n v="21900"/>
    <n v="21900"/>
    <n v="229500"/>
  </r>
  <r>
    <x v="6"/>
    <x v="70"/>
    <x v="125"/>
    <x v="4"/>
    <s v="L"/>
    <x v="10"/>
    <n v="17900"/>
    <n v="17900"/>
    <n v="229500"/>
  </r>
  <r>
    <x v="6"/>
    <x v="70"/>
    <x v="126"/>
    <x v="1"/>
    <s v="L"/>
    <x v="3"/>
    <n v="25900"/>
    <n v="25900"/>
    <n v="208600"/>
  </r>
  <r>
    <x v="6"/>
    <x v="70"/>
    <x v="126"/>
    <x v="2"/>
    <s v="L"/>
    <x v="3"/>
    <n v="22900"/>
    <n v="22900"/>
    <n v="208600"/>
  </r>
  <r>
    <x v="6"/>
    <x v="70"/>
    <x v="126"/>
    <x v="3"/>
    <s v="L"/>
    <x v="3"/>
    <n v="20900"/>
    <n v="20900"/>
    <n v="229500"/>
  </r>
  <r>
    <x v="6"/>
    <x v="70"/>
    <x v="126"/>
    <x v="4"/>
    <s v="L"/>
    <x v="3"/>
    <n v="17900"/>
    <n v="17900"/>
    <n v="229500"/>
  </r>
  <r>
    <x v="6"/>
    <x v="70"/>
    <x v="126"/>
    <x v="1"/>
    <s v="L"/>
    <x v="7"/>
    <n v="23900"/>
    <n v="23900"/>
    <n v="197400"/>
  </r>
  <r>
    <x v="6"/>
    <x v="70"/>
    <x v="126"/>
    <x v="3"/>
    <s v="L"/>
    <x v="7"/>
    <n v="18900"/>
    <n v="18900"/>
    <n v="217100"/>
  </r>
  <r>
    <x v="6"/>
    <x v="70"/>
    <x v="126"/>
    <x v="4"/>
    <s v="L"/>
    <x v="7"/>
    <n v="15900"/>
    <n v="15900"/>
    <n v="217100"/>
  </r>
  <r>
    <x v="6"/>
    <x v="70"/>
    <x v="126"/>
    <x v="1"/>
    <s v="L"/>
    <x v="4"/>
    <n v="22900"/>
    <n v="22900"/>
    <n v="197400"/>
  </r>
  <r>
    <x v="6"/>
    <x v="70"/>
    <x v="126"/>
    <x v="3"/>
    <s v="L"/>
    <x v="4"/>
    <n v="17900"/>
    <n v="17900"/>
    <n v="217100"/>
  </r>
  <r>
    <x v="6"/>
    <x v="70"/>
    <x v="126"/>
    <x v="4"/>
    <s v="L"/>
    <x v="4"/>
    <n v="14900"/>
    <n v="14900"/>
    <n v="217100"/>
  </r>
  <r>
    <x v="6"/>
    <x v="70"/>
    <x v="126"/>
    <x v="1"/>
    <s v="L"/>
    <x v="10"/>
    <n v="24900"/>
    <n v="24900"/>
    <n v="197400"/>
  </r>
  <r>
    <x v="6"/>
    <x v="70"/>
    <x v="126"/>
    <x v="3"/>
    <s v="L"/>
    <x v="10"/>
    <n v="19900"/>
    <n v="19900"/>
    <n v="217100"/>
  </r>
  <r>
    <x v="6"/>
    <x v="70"/>
    <x v="126"/>
    <x v="4"/>
    <s v="L"/>
    <x v="10"/>
    <n v="16900"/>
    <n v="16900"/>
    <n v="217100"/>
  </r>
  <r>
    <x v="6"/>
    <x v="71"/>
    <x v="127"/>
    <x v="1"/>
    <s v="L"/>
    <x v="3"/>
    <n v="48900"/>
    <n v="44900"/>
    <n v="273400"/>
  </r>
  <r>
    <x v="6"/>
    <x v="71"/>
    <x v="127"/>
    <x v="3"/>
    <s v="L"/>
    <x v="3"/>
    <n v="40900"/>
    <n v="36900"/>
    <n v="300700"/>
  </r>
  <r>
    <x v="6"/>
    <x v="71"/>
    <x v="127"/>
    <x v="4"/>
    <s v="L"/>
    <x v="3"/>
    <n v="36900"/>
    <n v="32900"/>
    <n v="300700"/>
  </r>
  <r>
    <x v="6"/>
    <x v="71"/>
    <x v="127"/>
    <x v="1"/>
    <s v="L"/>
    <x v="7"/>
    <n v="46900"/>
    <n v="42900"/>
    <n v="262200"/>
  </r>
  <r>
    <x v="6"/>
    <x v="71"/>
    <x v="127"/>
    <x v="3"/>
    <s v="L"/>
    <x v="7"/>
    <n v="38900"/>
    <n v="34900"/>
    <n v="288400"/>
  </r>
  <r>
    <x v="6"/>
    <x v="71"/>
    <x v="127"/>
    <x v="4"/>
    <s v="L"/>
    <x v="7"/>
    <n v="34900"/>
    <n v="30900"/>
    <n v="288400"/>
  </r>
  <r>
    <x v="6"/>
    <x v="71"/>
    <x v="127"/>
    <x v="1"/>
    <s v="L"/>
    <x v="4"/>
    <n v="44900"/>
    <n v="40900"/>
    <n v="251000"/>
  </r>
  <r>
    <x v="6"/>
    <x v="71"/>
    <x v="127"/>
    <x v="3"/>
    <s v="L"/>
    <x v="4"/>
    <n v="36900"/>
    <n v="32900"/>
    <n v="276100"/>
  </r>
  <r>
    <x v="6"/>
    <x v="71"/>
    <x v="127"/>
    <x v="4"/>
    <s v="L"/>
    <x v="4"/>
    <n v="32900"/>
    <n v="28900"/>
    <n v="276100"/>
  </r>
  <r>
    <x v="6"/>
    <x v="71"/>
    <x v="127"/>
    <x v="1"/>
    <s v="L"/>
    <x v="10"/>
    <n v="46900"/>
    <n v="42900"/>
    <n v="262200"/>
  </r>
  <r>
    <x v="6"/>
    <x v="71"/>
    <x v="127"/>
    <x v="3"/>
    <s v="L"/>
    <x v="10"/>
    <n v="38900"/>
    <n v="34900"/>
    <n v="288400"/>
  </r>
  <r>
    <x v="6"/>
    <x v="71"/>
    <x v="127"/>
    <x v="4"/>
    <s v="L"/>
    <x v="10"/>
    <n v="34900"/>
    <n v="30900"/>
    <n v="288400"/>
  </r>
  <r>
    <x v="6"/>
    <x v="71"/>
    <x v="128"/>
    <x v="1"/>
    <s v="L"/>
    <x v="3"/>
    <n v="43900"/>
    <n v="39900"/>
    <n v="251000"/>
  </r>
  <r>
    <x v="6"/>
    <x v="71"/>
    <x v="128"/>
    <x v="3"/>
    <s v="L"/>
    <x v="3"/>
    <n v="35900"/>
    <n v="31900"/>
    <n v="276100"/>
  </r>
  <r>
    <x v="6"/>
    <x v="71"/>
    <x v="128"/>
    <x v="4"/>
    <s v="L"/>
    <x v="3"/>
    <n v="31900"/>
    <n v="27900"/>
    <n v="276100"/>
  </r>
  <r>
    <x v="6"/>
    <x v="71"/>
    <x v="128"/>
    <x v="1"/>
    <s v="L"/>
    <x v="7"/>
    <n v="41900"/>
    <n v="37900"/>
    <n v="239700"/>
  </r>
  <r>
    <x v="6"/>
    <x v="71"/>
    <x v="128"/>
    <x v="3"/>
    <s v="L"/>
    <x v="7"/>
    <n v="33900"/>
    <n v="29900"/>
    <n v="263700"/>
  </r>
  <r>
    <x v="6"/>
    <x v="71"/>
    <x v="128"/>
    <x v="4"/>
    <s v="L"/>
    <x v="7"/>
    <n v="29900"/>
    <n v="25900"/>
    <n v="263700"/>
  </r>
  <r>
    <x v="6"/>
    <x v="71"/>
    <x v="128"/>
    <x v="1"/>
    <s v="L"/>
    <x v="4"/>
    <n v="39900"/>
    <n v="35900"/>
    <n v="231100"/>
  </r>
  <r>
    <x v="6"/>
    <x v="71"/>
    <x v="128"/>
    <x v="3"/>
    <s v="L"/>
    <x v="4"/>
    <n v="31900"/>
    <n v="27900"/>
    <n v="254200"/>
  </r>
  <r>
    <x v="6"/>
    <x v="71"/>
    <x v="128"/>
    <x v="4"/>
    <s v="L"/>
    <x v="4"/>
    <n v="27900"/>
    <n v="23900"/>
    <n v="254200"/>
  </r>
  <r>
    <x v="6"/>
    <x v="71"/>
    <x v="128"/>
    <x v="1"/>
    <s v="L"/>
    <x v="10"/>
    <n v="41900"/>
    <n v="37900"/>
    <n v="239700"/>
  </r>
  <r>
    <x v="6"/>
    <x v="71"/>
    <x v="128"/>
    <x v="3"/>
    <s v="L"/>
    <x v="10"/>
    <n v="33900"/>
    <n v="29900"/>
    <n v="263700"/>
  </r>
  <r>
    <x v="6"/>
    <x v="71"/>
    <x v="128"/>
    <x v="4"/>
    <s v="L"/>
    <x v="10"/>
    <n v="29900"/>
    <n v="25900"/>
    <n v="263700"/>
  </r>
  <r>
    <x v="6"/>
    <x v="71"/>
    <x v="129"/>
    <x v="1"/>
    <s v="L"/>
    <x v="3"/>
    <n v="38900"/>
    <n v="34900"/>
    <n v="231100"/>
  </r>
  <r>
    <x v="6"/>
    <x v="71"/>
    <x v="129"/>
    <x v="3"/>
    <s v="L"/>
    <x v="3"/>
    <n v="31900"/>
    <n v="27900"/>
    <n v="254200"/>
  </r>
  <r>
    <x v="6"/>
    <x v="71"/>
    <x v="129"/>
    <x v="4"/>
    <s v="L"/>
    <x v="3"/>
    <n v="27900"/>
    <n v="23900"/>
    <n v="254200"/>
  </r>
  <r>
    <x v="6"/>
    <x v="71"/>
    <x v="129"/>
    <x v="1"/>
    <s v="L"/>
    <x v="7"/>
    <n v="36900"/>
    <n v="32900"/>
    <n v="231100"/>
  </r>
  <r>
    <x v="6"/>
    <x v="71"/>
    <x v="129"/>
    <x v="3"/>
    <s v="L"/>
    <x v="7"/>
    <n v="29900"/>
    <n v="25900"/>
    <n v="254200"/>
  </r>
  <r>
    <x v="6"/>
    <x v="71"/>
    <x v="129"/>
    <x v="4"/>
    <s v="L"/>
    <x v="7"/>
    <n v="25900"/>
    <n v="21900"/>
    <n v="254200"/>
  </r>
  <r>
    <x v="6"/>
    <x v="71"/>
    <x v="129"/>
    <x v="1"/>
    <s v="L"/>
    <x v="4"/>
    <n v="34900"/>
    <n v="30900"/>
    <n v="219800"/>
  </r>
  <r>
    <x v="6"/>
    <x v="71"/>
    <x v="129"/>
    <x v="3"/>
    <s v="L"/>
    <x v="4"/>
    <n v="27900"/>
    <n v="23900"/>
    <n v="241800"/>
  </r>
  <r>
    <x v="6"/>
    <x v="71"/>
    <x v="129"/>
    <x v="4"/>
    <s v="L"/>
    <x v="4"/>
    <n v="23900"/>
    <n v="19900"/>
    <n v="241800"/>
  </r>
  <r>
    <x v="6"/>
    <x v="71"/>
    <x v="129"/>
    <x v="1"/>
    <s v="L"/>
    <x v="10"/>
    <n v="36900"/>
    <n v="32900"/>
    <n v="231100"/>
  </r>
  <r>
    <x v="6"/>
    <x v="71"/>
    <x v="129"/>
    <x v="3"/>
    <s v="L"/>
    <x v="10"/>
    <n v="29900"/>
    <n v="25900"/>
    <n v="254200"/>
  </r>
  <r>
    <x v="6"/>
    <x v="71"/>
    <x v="129"/>
    <x v="4"/>
    <s v="L"/>
    <x v="10"/>
    <n v="25900"/>
    <n v="21900"/>
    <n v="254200"/>
  </r>
  <r>
    <x v="6"/>
    <x v="72"/>
    <x v="130"/>
    <x v="1"/>
    <s v="L"/>
    <x v="3"/>
    <n v="84900"/>
    <n v="84900"/>
    <n v="352100"/>
  </r>
  <r>
    <x v="6"/>
    <x v="72"/>
    <x v="130"/>
    <x v="3"/>
    <s v="L"/>
    <x v="3"/>
    <n v="74900"/>
    <n v="74900"/>
    <n v="387300"/>
  </r>
  <r>
    <x v="6"/>
    <x v="72"/>
    <x v="130"/>
    <x v="4"/>
    <s v="L"/>
    <x v="3"/>
    <n v="68900"/>
    <n v="68900"/>
    <n v="387300"/>
  </r>
  <r>
    <x v="6"/>
    <x v="72"/>
    <x v="130"/>
    <x v="1"/>
    <s v="L"/>
    <x v="7"/>
    <n v="82900"/>
    <n v="82900"/>
    <n v="352100"/>
  </r>
  <r>
    <x v="6"/>
    <x v="72"/>
    <x v="130"/>
    <x v="3"/>
    <s v="L"/>
    <x v="7"/>
    <n v="72900"/>
    <n v="72900"/>
    <n v="387300"/>
  </r>
  <r>
    <x v="6"/>
    <x v="72"/>
    <x v="130"/>
    <x v="4"/>
    <s v="L"/>
    <x v="7"/>
    <n v="66900"/>
    <n v="66900"/>
    <n v="387300"/>
  </r>
  <r>
    <x v="6"/>
    <x v="72"/>
    <x v="130"/>
    <x v="3"/>
    <s v="L"/>
    <x v="4"/>
    <n v="66900"/>
    <n v="66900"/>
    <n v="375000"/>
  </r>
  <r>
    <x v="6"/>
    <x v="72"/>
    <x v="130"/>
    <x v="1"/>
    <s v="L"/>
    <x v="4"/>
    <n v="76900"/>
    <n v="76900"/>
    <n v="340900"/>
  </r>
  <r>
    <x v="6"/>
    <x v="72"/>
    <x v="130"/>
    <x v="4"/>
    <s v="L"/>
    <x v="4"/>
    <n v="60900"/>
    <n v="60900"/>
    <n v="375000"/>
  </r>
  <r>
    <x v="6"/>
    <x v="72"/>
    <x v="130"/>
    <x v="1"/>
    <s v="L"/>
    <x v="10"/>
    <n v="78900"/>
    <n v="78900"/>
    <n v="340900"/>
  </r>
  <r>
    <x v="6"/>
    <x v="72"/>
    <x v="130"/>
    <x v="3"/>
    <s v="L"/>
    <x v="10"/>
    <n v="68900"/>
    <n v="68900"/>
    <n v="375000"/>
  </r>
  <r>
    <x v="6"/>
    <x v="72"/>
    <x v="130"/>
    <x v="4"/>
    <s v="L"/>
    <x v="10"/>
    <n v="62900"/>
    <n v="62900"/>
    <n v="375000"/>
  </r>
  <r>
    <x v="6"/>
    <x v="72"/>
    <x v="131"/>
    <x v="1"/>
    <s v="L"/>
    <x v="3"/>
    <n v="79900"/>
    <n v="79900"/>
    <n v="340900"/>
  </r>
  <r>
    <x v="6"/>
    <x v="72"/>
    <x v="131"/>
    <x v="3"/>
    <s v="L"/>
    <x v="3"/>
    <n v="69900"/>
    <n v="69900"/>
    <n v="375000"/>
  </r>
  <r>
    <x v="6"/>
    <x v="72"/>
    <x v="131"/>
    <x v="4"/>
    <s v="L"/>
    <x v="3"/>
    <n v="63900"/>
    <n v="63900"/>
    <n v="375000"/>
  </r>
  <r>
    <x v="6"/>
    <x v="72"/>
    <x v="131"/>
    <x v="1"/>
    <s v="L"/>
    <x v="7"/>
    <n v="77900"/>
    <n v="77900"/>
    <n v="340900"/>
  </r>
  <r>
    <x v="6"/>
    <x v="72"/>
    <x v="131"/>
    <x v="3"/>
    <s v="L"/>
    <x v="7"/>
    <n v="67900"/>
    <n v="67900"/>
    <n v="375000"/>
  </r>
  <r>
    <x v="6"/>
    <x v="72"/>
    <x v="131"/>
    <x v="4"/>
    <s v="L"/>
    <x v="7"/>
    <n v="61900"/>
    <n v="61900"/>
    <n v="375000"/>
  </r>
  <r>
    <x v="6"/>
    <x v="72"/>
    <x v="131"/>
    <x v="1"/>
    <s v="L"/>
    <x v="4"/>
    <n v="71900"/>
    <n v="71900"/>
    <n v="329600"/>
  </r>
  <r>
    <x v="6"/>
    <x v="72"/>
    <x v="131"/>
    <x v="3"/>
    <s v="L"/>
    <x v="4"/>
    <n v="61900"/>
    <n v="61900"/>
    <n v="362600"/>
  </r>
  <r>
    <x v="6"/>
    <x v="72"/>
    <x v="131"/>
    <x v="4"/>
    <s v="L"/>
    <x v="4"/>
    <n v="55900"/>
    <n v="55900"/>
    <n v="362600"/>
  </r>
  <r>
    <x v="6"/>
    <x v="72"/>
    <x v="131"/>
    <x v="1"/>
    <s v="L"/>
    <x v="10"/>
    <n v="73900"/>
    <n v="73900"/>
    <n v="329600"/>
  </r>
  <r>
    <x v="6"/>
    <x v="72"/>
    <x v="131"/>
    <x v="3"/>
    <s v="L"/>
    <x v="10"/>
    <n v="63900"/>
    <n v="63900"/>
    <n v="362600"/>
  </r>
  <r>
    <x v="6"/>
    <x v="72"/>
    <x v="131"/>
    <x v="4"/>
    <s v="L"/>
    <x v="10"/>
    <n v="57900"/>
    <n v="57900"/>
    <n v="362600"/>
  </r>
  <r>
    <x v="6"/>
    <x v="72"/>
    <x v="132"/>
    <x v="1"/>
    <s v="L"/>
    <x v="3"/>
    <n v="74900"/>
    <n v="74900"/>
    <n v="329600"/>
  </r>
  <r>
    <x v="6"/>
    <x v="72"/>
    <x v="132"/>
    <x v="3"/>
    <s v="L"/>
    <x v="3"/>
    <n v="64900"/>
    <n v="64900"/>
    <n v="362600"/>
  </r>
  <r>
    <x v="6"/>
    <x v="72"/>
    <x v="132"/>
    <x v="4"/>
    <s v="L"/>
    <x v="3"/>
    <n v="58900"/>
    <n v="58900"/>
    <n v="362600"/>
  </r>
  <r>
    <x v="6"/>
    <x v="72"/>
    <x v="132"/>
    <x v="1"/>
    <s v="L"/>
    <x v="7"/>
    <n v="72900"/>
    <n v="72900"/>
    <n v="329600"/>
  </r>
  <r>
    <x v="6"/>
    <x v="72"/>
    <x v="132"/>
    <x v="3"/>
    <s v="L"/>
    <x v="7"/>
    <n v="62900"/>
    <n v="62900"/>
    <n v="362600"/>
  </r>
  <r>
    <x v="6"/>
    <x v="72"/>
    <x v="132"/>
    <x v="4"/>
    <s v="L"/>
    <x v="7"/>
    <n v="56900"/>
    <n v="56900"/>
    <n v="362600"/>
  </r>
  <r>
    <x v="6"/>
    <x v="72"/>
    <x v="132"/>
    <x v="1"/>
    <s v="L"/>
    <x v="4"/>
    <n v="66900"/>
    <n v="66900"/>
    <n v="318400"/>
  </r>
  <r>
    <x v="6"/>
    <x v="72"/>
    <x v="132"/>
    <x v="3"/>
    <s v="L"/>
    <x v="4"/>
    <n v="56900"/>
    <n v="56900"/>
    <n v="350200"/>
  </r>
  <r>
    <x v="6"/>
    <x v="72"/>
    <x v="132"/>
    <x v="4"/>
    <s v="L"/>
    <x v="4"/>
    <n v="50900"/>
    <n v="50900"/>
    <n v="350200"/>
  </r>
  <r>
    <x v="6"/>
    <x v="72"/>
    <x v="132"/>
    <x v="1"/>
    <s v="L"/>
    <x v="10"/>
    <n v="68900"/>
    <n v="68900"/>
    <n v="318400"/>
  </r>
  <r>
    <x v="6"/>
    <x v="72"/>
    <x v="132"/>
    <x v="3"/>
    <s v="L"/>
    <x v="10"/>
    <n v="58900"/>
    <n v="58900"/>
    <n v="350200"/>
  </r>
  <r>
    <x v="6"/>
    <x v="72"/>
    <x v="132"/>
    <x v="4"/>
    <s v="L"/>
    <x v="10"/>
    <n v="52900"/>
    <n v="52900"/>
    <n v="350200"/>
  </r>
  <r>
    <x v="6"/>
    <x v="72"/>
    <x v="133"/>
    <x v="1"/>
    <s v="L"/>
    <x v="3"/>
    <n v="69900"/>
    <n v="69900"/>
    <n v="318400"/>
  </r>
  <r>
    <x v="6"/>
    <x v="72"/>
    <x v="133"/>
    <x v="3"/>
    <s v="L"/>
    <x v="3"/>
    <n v="59900"/>
    <n v="59900"/>
    <n v="350200"/>
  </r>
  <r>
    <x v="6"/>
    <x v="72"/>
    <x v="133"/>
    <x v="4"/>
    <s v="L"/>
    <x v="3"/>
    <n v="53900"/>
    <n v="53900"/>
    <n v="350200"/>
  </r>
  <r>
    <x v="6"/>
    <x v="72"/>
    <x v="133"/>
    <x v="1"/>
    <s v="L"/>
    <x v="7"/>
    <n v="67900"/>
    <n v="67900"/>
    <n v="318400"/>
  </r>
  <r>
    <x v="6"/>
    <x v="72"/>
    <x v="133"/>
    <x v="3"/>
    <s v="L"/>
    <x v="7"/>
    <n v="57900"/>
    <n v="57900"/>
    <n v="350200"/>
  </r>
  <r>
    <x v="6"/>
    <x v="72"/>
    <x v="133"/>
    <x v="4"/>
    <s v="L"/>
    <x v="7"/>
    <n v="51900"/>
    <n v="51900"/>
    <n v="350200"/>
  </r>
  <r>
    <x v="6"/>
    <x v="72"/>
    <x v="133"/>
    <x v="1"/>
    <s v="L"/>
    <x v="4"/>
    <n v="61900"/>
    <n v="61900"/>
    <n v="307200"/>
  </r>
  <r>
    <x v="6"/>
    <x v="72"/>
    <x v="133"/>
    <x v="3"/>
    <s v="L"/>
    <x v="4"/>
    <n v="51900"/>
    <n v="51900"/>
    <n v="337900"/>
  </r>
  <r>
    <x v="6"/>
    <x v="72"/>
    <x v="133"/>
    <x v="4"/>
    <s v="L"/>
    <x v="4"/>
    <n v="45900"/>
    <n v="45900"/>
    <n v="337900"/>
  </r>
  <r>
    <x v="6"/>
    <x v="72"/>
    <x v="133"/>
    <x v="1"/>
    <s v="L"/>
    <x v="10"/>
    <n v="63900"/>
    <n v="63900"/>
    <n v="307200"/>
  </r>
  <r>
    <x v="6"/>
    <x v="72"/>
    <x v="133"/>
    <x v="3"/>
    <s v="L"/>
    <x v="10"/>
    <n v="53900"/>
    <n v="53900"/>
    <n v="337900"/>
  </r>
  <r>
    <x v="6"/>
    <x v="72"/>
    <x v="133"/>
    <x v="4"/>
    <s v="L"/>
    <x v="10"/>
    <n v="47900"/>
    <n v="47900"/>
    <n v="337900"/>
  </r>
  <r>
    <x v="6"/>
    <x v="49"/>
    <x v="134"/>
    <x v="1"/>
    <s v="L"/>
    <x v="3"/>
    <n v="74900"/>
    <n v="74900"/>
    <n v="329600"/>
  </r>
  <r>
    <x v="6"/>
    <x v="49"/>
    <x v="134"/>
    <x v="3"/>
    <s v="L"/>
    <x v="3"/>
    <n v="64900"/>
    <n v="64900"/>
    <n v="362600"/>
  </r>
  <r>
    <x v="6"/>
    <x v="49"/>
    <x v="134"/>
    <x v="4"/>
    <s v="L"/>
    <x v="3"/>
    <n v="58900"/>
    <n v="58900"/>
    <n v="362600"/>
  </r>
  <r>
    <x v="6"/>
    <x v="49"/>
    <x v="134"/>
    <x v="1"/>
    <s v="L"/>
    <x v="10"/>
    <n v="74900"/>
    <n v="74900"/>
    <n v="329600"/>
  </r>
  <r>
    <x v="6"/>
    <x v="49"/>
    <x v="134"/>
    <x v="3"/>
    <s v="L"/>
    <x v="10"/>
    <n v="64900"/>
    <n v="64900"/>
    <n v="362600"/>
  </r>
  <r>
    <x v="6"/>
    <x v="49"/>
    <x v="134"/>
    <x v="4"/>
    <s v="L"/>
    <x v="10"/>
    <n v="58900"/>
    <n v="58900"/>
    <n v="362600"/>
  </r>
  <r>
    <x v="6"/>
    <x v="49"/>
    <x v="135"/>
    <x v="1"/>
    <s v="L"/>
    <x v="3"/>
    <n v="69900"/>
    <n v="69900"/>
    <n v="318400"/>
  </r>
  <r>
    <x v="6"/>
    <x v="49"/>
    <x v="135"/>
    <x v="3"/>
    <s v="L"/>
    <x v="3"/>
    <n v="59900"/>
    <n v="59900"/>
    <n v="350200"/>
  </r>
  <r>
    <x v="6"/>
    <x v="49"/>
    <x v="135"/>
    <x v="4"/>
    <s v="L"/>
    <x v="3"/>
    <n v="53900"/>
    <n v="53900"/>
    <n v="350200"/>
  </r>
  <r>
    <x v="6"/>
    <x v="49"/>
    <x v="135"/>
    <x v="1"/>
    <s v="L"/>
    <x v="10"/>
    <n v="69900"/>
    <n v="69900"/>
    <n v="318400"/>
  </r>
  <r>
    <x v="6"/>
    <x v="49"/>
    <x v="135"/>
    <x v="3"/>
    <s v="L"/>
    <x v="10"/>
    <n v="59900"/>
    <n v="59900"/>
    <n v="350200"/>
  </r>
  <r>
    <x v="6"/>
    <x v="49"/>
    <x v="135"/>
    <x v="4"/>
    <s v="L"/>
    <x v="10"/>
    <n v="53900"/>
    <n v="53900"/>
    <n v="350200"/>
  </r>
  <r>
    <x v="6"/>
    <x v="49"/>
    <x v="136"/>
    <x v="1"/>
    <s v="L"/>
    <x v="3"/>
    <n v="64900"/>
    <n v="64900"/>
    <n v="307200"/>
  </r>
  <r>
    <x v="6"/>
    <x v="49"/>
    <x v="136"/>
    <x v="3"/>
    <s v="L"/>
    <x v="3"/>
    <n v="54900"/>
    <n v="54900"/>
    <n v="337900"/>
  </r>
  <r>
    <x v="6"/>
    <x v="49"/>
    <x v="136"/>
    <x v="4"/>
    <s v="L"/>
    <x v="3"/>
    <n v="48900"/>
    <n v="48900"/>
    <n v="337900"/>
  </r>
  <r>
    <x v="6"/>
    <x v="49"/>
    <x v="136"/>
    <x v="1"/>
    <s v="L"/>
    <x v="10"/>
    <n v="64900"/>
    <n v="64900"/>
    <n v="307200"/>
  </r>
  <r>
    <x v="6"/>
    <x v="49"/>
    <x v="136"/>
    <x v="3"/>
    <s v="L"/>
    <x v="10"/>
    <n v="54900"/>
    <n v="54900"/>
    <n v="337900"/>
  </r>
  <r>
    <x v="6"/>
    <x v="49"/>
    <x v="136"/>
    <x v="4"/>
    <s v="L"/>
    <x v="10"/>
    <n v="48900"/>
    <n v="48900"/>
    <n v="337900"/>
  </r>
  <r>
    <x v="6"/>
    <x v="49"/>
    <x v="137"/>
    <x v="1"/>
    <s v="L"/>
    <x v="3"/>
    <n v="59900"/>
    <n v="59900"/>
    <n v="295900"/>
  </r>
  <r>
    <x v="6"/>
    <x v="49"/>
    <x v="137"/>
    <x v="3"/>
    <s v="L"/>
    <x v="3"/>
    <n v="49900"/>
    <n v="49900"/>
    <n v="325500"/>
  </r>
  <r>
    <x v="6"/>
    <x v="49"/>
    <x v="137"/>
    <x v="4"/>
    <s v="L"/>
    <x v="3"/>
    <n v="43900"/>
    <n v="43900"/>
    <n v="325500"/>
  </r>
  <r>
    <x v="6"/>
    <x v="49"/>
    <x v="137"/>
    <x v="1"/>
    <s v="L"/>
    <x v="10"/>
    <n v="59900"/>
    <n v="59900"/>
    <n v="295900"/>
  </r>
  <r>
    <x v="6"/>
    <x v="49"/>
    <x v="137"/>
    <x v="3"/>
    <s v="L"/>
    <x v="10"/>
    <n v="49900"/>
    <n v="49900"/>
    <n v="325500"/>
  </r>
  <r>
    <x v="6"/>
    <x v="49"/>
    <x v="137"/>
    <x v="4"/>
    <s v="L"/>
    <x v="10"/>
    <n v="43900"/>
    <n v="43900"/>
    <n v="325500"/>
  </r>
  <r>
    <x v="6"/>
    <x v="73"/>
    <x v="138"/>
    <x v="1"/>
    <s v="L"/>
    <x v="3"/>
    <n v="158900"/>
    <n v="148900"/>
    <n v="467100"/>
  </r>
  <r>
    <x v="6"/>
    <x v="73"/>
    <x v="138"/>
    <x v="3"/>
    <s v="L"/>
    <x v="3"/>
    <n v="125900"/>
    <n v="115900"/>
    <n v="513800"/>
  </r>
  <r>
    <x v="6"/>
    <x v="73"/>
    <x v="138"/>
    <x v="1"/>
    <s v="L"/>
    <x v="7"/>
    <n v="156900"/>
    <n v="146900"/>
    <n v="452400"/>
  </r>
  <r>
    <x v="6"/>
    <x v="73"/>
    <x v="138"/>
    <x v="3"/>
    <s v="L"/>
    <x v="7"/>
    <n v="123900"/>
    <n v="113900"/>
    <n v="497600"/>
  </r>
  <r>
    <x v="6"/>
    <x v="73"/>
    <x v="138"/>
    <x v="1"/>
    <s v="L"/>
    <x v="4"/>
    <n v="152900"/>
    <n v="142900"/>
    <n v="437700"/>
  </r>
  <r>
    <x v="6"/>
    <x v="73"/>
    <x v="138"/>
    <x v="3"/>
    <s v="L"/>
    <x v="4"/>
    <n v="119900"/>
    <n v="109900"/>
    <n v="481500"/>
  </r>
  <r>
    <x v="6"/>
    <x v="73"/>
    <x v="138"/>
    <x v="1"/>
    <s v="L"/>
    <x v="10"/>
    <n v="154900"/>
    <n v="144900"/>
    <n v="452400"/>
  </r>
  <r>
    <x v="6"/>
    <x v="73"/>
    <x v="138"/>
    <x v="3"/>
    <s v="L"/>
    <x v="10"/>
    <n v="121900"/>
    <n v="111900"/>
    <n v="497600"/>
  </r>
  <r>
    <x v="6"/>
    <x v="73"/>
    <x v="139"/>
    <x v="1"/>
    <s v="L"/>
    <x v="3"/>
    <n v="144900"/>
    <n v="134900"/>
    <n v="423000"/>
  </r>
  <r>
    <x v="6"/>
    <x v="73"/>
    <x v="139"/>
    <x v="3"/>
    <s v="L"/>
    <x v="3"/>
    <n v="114900"/>
    <n v="104900"/>
    <n v="465300"/>
  </r>
  <r>
    <x v="6"/>
    <x v="73"/>
    <x v="139"/>
    <x v="1"/>
    <s v="L"/>
    <x v="7"/>
    <n v="142900"/>
    <n v="132900"/>
    <n v="423000"/>
  </r>
  <r>
    <x v="6"/>
    <x v="73"/>
    <x v="139"/>
    <x v="3"/>
    <s v="L"/>
    <x v="7"/>
    <n v="112900"/>
    <n v="102900"/>
    <n v="465300"/>
  </r>
  <r>
    <x v="6"/>
    <x v="73"/>
    <x v="139"/>
    <x v="1"/>
    <s v="L"/>
    <x v="4"/>
    <n v="138900"/>
    <n v="128900"/>
    <n v="408300"/>
  </r>
  <r>
    <x v="6"/>
    <x v="73"/>
    <x v="139"/>
    <x v="3"/>
    <s v="L"/>
    <x v="4"/>
    <n v="108900"/>
    <n v="98900"/>
    <n v="449100"/>
  </r>
  <r>
    <x v="6"/>
    <x v="73"/>
    <x v="139"/>
    <x v="1"/>
    <s v="L"/>
    <x v="10"/>
    <n v="140900"/>
    <n v="130900"/>
    <n v="423000"/>
  </r>
  <r>
    <x v="6"/>
    <x v="73"/>
    <x v="139"/>
    <x v="3"/>
    <s v="L"/>
    <x v="10"/>
    <n v="110900"/>
    <n v="100900"/>
    <n v="465300"/>
  </r>
  <r>
    <x v="6"/>
    <x v="73"/>
    <x v="140"/>
    <x v="1"/>
    <s v="L"/>
    <x v="3"/>
    <n v="136900"/>
    <n v="126900"/>
    <n v="408300"/>
  </r>
  <r>
    <x v="6"/>
    <x v="73"/>
    <x v="140"/>
    <x v="3"/>
    <s v="L"/>
    <x v="3"/>
    <n v="108900"/>
    <n v="98900"/>
    <n v="449100"/>
  </r>
  <r>
    <x v="6"/>
    <x v="73"/>
    <x v="140"/>
    <x v="1"/>
    <s v="L"/>
    <x v="7"/>
    <n v="134900"/>
    <n v="124900"/>
    <n v="408300"/>
  </r>
  <r>
    <x v="6"/>
    <x v="73"/>
    <x v="140"/>
    <x v="3"/>
    <s v="L"/>
    <x v="7"/>
    <n v="106900"/>
    <n v="96900"/>
    <n v="449100"/>
  </r>
  <r>
    <x v="6"/>
    <x v="73"/>
    <x v="140"/>
    <x v="1"/>
    <s v="L"/>
    <x v="4"/>
    <n v="130900"/>
    <n v="120900"/>
    <n v="397100"/>
  </r>
  <r>
    <x v="6"/>
    <x v="73"/>
    <x v="140"/>
    <x v="3"/>
    <s v="L"/>
    <x v="4"/>
    <n v="102900"/>
    <n v="92900"/>
    <n v="436800"/>
  </r>
  <r>
    <x v="6"/>
    <x v="73"/>
    <x v="140"/>
    <x v="1"/>
    <s v="L"/>
    <x v="10"/>
    <n v="132900"/>
    <n v="122900"/>
    <n v="397100"/>
  </r>
  <r>
    <x v="6"/>
    <x v="73"/>
    <x v="140"/>
    <x v="3"/>
    <s v="L"/>
    <x v="10"/>
    <n v="104900"/>
    <n v="94900"/>
    <n v="436800"/>
  </r>
  <r>
    <x v="6"/>
    <x v="73"/>
    <x v="140"/>
    <x v="1"/>
    <s v="L"/>
    <x v="3"/>
    <n v="107900"/>
    <n v="97900"/>
    <n v="363400"/>
  </r>
  <r>
    <x v="6"/>
    <x v="73"/>
    <x v="141"/>
    <x v="3"/>
    <s v="L"/>
    <x v="3"/>
    <n v="86900"/>
    <n v="76900"/>
    <n v="399700"/>
  </r>
  <r>
    <x v="6"/>
    <x v="73"/>
    <x v="141"/>
    <x v="1"/>
    <s v="L"/>
    <x v="7"/>
    <n v="105900"/>
    <n v="95900"/>
    <n v="352100"/>
  </r>
  <r>
    <x v="6"/>
    <x v="73"/>
    <x v="141"/>
    <x v="3"/>
    <s v="L"/>
    <x v="7"/>
    <n v="84900"/>
    <n v="74900"/>
    <n v="387300"/>
  </r>
  <r>
    <x v="6"/>
    <x v="73"/>
    <x v="141"/>
    <x v="1"/>
    <s v="L"/>
    <x v="4"/>
    <n v="101900"/>
    <n v="91900"/>
    <n v="352100"/>
  </r>
  <r>
    <x v="6"/>
    <x v="73"/>
    <x v="141"/>
    <x v="3"/>
    <s v="L"/>
    <x v="4"/>
    <n v="80900"/>
    <n v="70900"/>
    <n v="387300"/>
  </r>
  <r>
    <x v="6"/>
    <x v="73"/>
    <x v="141"/>
    <x v="1"/>
    <s v="L"/>
    <x v="10"/>
    <n v="103900"/>
    <n v="93900"/>
    <n v="352100"/>
  </r>
  <r>
    <x v="6"/>
    <x v="73"/>
    <x v="141"/>
    <x v="3"/>
    <s v="L"/>
    <x v="10"/>
    <n v="82900"/>
    <n v="72900"/>
    <n v="387300"/>
  </r>
  <r>
    <x v="6"/>
    <x v="73"/>
    <x v="142"/>
    <x v="1"/>
    <s v="L"/>
    <x v="3"/>
    <n v="126900"/>
    <n v="116900"/>
    <n v="397100"/>
  </r>
  <r>
    <x v="6"/>
    <x v="73"/>
    <x v="142"/>
    <x v="3"/>
    <s v="L"/>
    <x v="3"/>
    <n v="100900"/>
    <n v="90900"/>
    <n v="436800"/>
  </r>
  <r>
    <x v="6"/>
    <x v="73"/>
    <x v="142"/>
    <x v="1"/>
    <s v="L"/>
    <x v="7"/>
    <n v="124900"/>
    <n v="114900"/>
    <n v="385800"/>
  </r>
  <r>
    <x v="6"/>
    <x v="73"/>
    <x v="142"/>
    <x v="3"/>
    <s v="L"/>
    <x v="7"/>
    <n v="98900"/>
    <n v="88900"/>
    <n v="424400"/>
  </r>
  <r>
    <x v="6"/>
    <x v="73"/>
    <x v="142"/>
    <x v="1"/>
    <s v="L"/>
    <x v="4"/>
    <n v="121900"/>
    <n v="111900"/>
    <n v="385800"/>
  </r>
  <r>
    <x v="6"/>
    <x v="73"/>
    <x v="142"/>
    <x v="3"/>
    <s v="L"/>
    <x v="4"/>
    <n v="95900"/>
    <n v="85900"/>
    <n v="424400"/>
  </r>
  <r>
    <x v="6"/>
    <x v="73"/>
    <x v="142"/>
    <x v="1"/>
    <s v="L"/>
    <x v="10"/>
    <n v="123900"/>
    <n v="113900"/>
    <n v="385800"/>
  </r>
  <r>
    <x v="6"/>
    <x v="73"/>
    <x v="142"/>
    <x v="3"/>
    <s v="L"/>
    <x v="10"/>
    <n v="97900"/>
    <n v="87900"/>
    <n v="424400"/>
  </r>
  <r>
    <x v="6"/>
    <x v="73"/>
    <x v="143"/>
    <x v="1"/>
    <s v="L"/>
    <x v="3"/>
    <n v="114900"/>
    <n v="104900"/>
    <n v="374600"/>
  </r>
  <r>
    <x v="6"/>
    <x v="73"/>
    <x v="143"/>
    <x v="3"/>
    <s v="L"/>
    <x v="3"/>
    <n v="91900"/>
    <n v="81900"/>
    <n v="412100"/>
  </r>
  <r>
    <x v="6"/>
    <x v="73"/>
    <x v="143"/>
    <x v="1"/>
    <s v="L"/>
    <x v="7"/>
    <n v="112900"/>
    <n v="102900"/>
    <n v="363400"/>
  </r>
  <r>
    <x v="6"/>
    <x v="73"/>
    <x v="143"/>
    <x v="3"/>
    <s v="L"/>
    <x v="7"/>
    <n v="89900"/>
    <n v="79900"/>
    <n v="399700"/>
  </r>
  <r>
    <x v="6"/>
    <x v="73"/>
    <x v="143"/>
    <x v="1"/>
    <s v="L"/>
    <x v="4"/>
    <n v="109900"/>
    <n v="99900"/>
    <n v="363400"/>
  </r>
  <r>
    <x v="6"/>
    <x v="73"/>
    <x v="143"/>
    <x v="3"/>
    <s v="L"/>
    <x v="4"/>
    <n v="86900"/>
    <n v="76900"/>
    <n v="399700"/>
  </r>
  <r>
    <x v="6"/>
    <x v="73"/>
    <x v="143"/>
    <x v="1"/>
    <s v="L"/>
    <x v="10"/>
    <n v="111900"/>
    <n v="101900"/>
    <n v="363400"/>
  </r>
  <r>
    <x v="6"/>
    <x v="73"/>
    <x v="143"/>
    <x v="3"/>
    <s v="L"/>
    <x v="10"/>
    <n v="88900"/>
    <n v="78900"/>
    <n v="399700"/>
  </r>
  <r>
    <x v="6"/>
    <x v="73"/>
    <x v="144"/>
    <x v="1"/>
    <s v="L"/>
    <x v="3"/>
    <n v="107900"/>
    <n v="97900"/>
    <n v="363400"/>
  </r>
  <r>
    <x v="6"/>
    <x v="73"/>
    <x v="144"/>
    <x v="3"/>
    <s v="L"/>
    <x v="3"/>
    <n v="86900"/>
    <n v="76900"/>
    <n v="399700"/>
  </r>
  <r>
    <x v="6"/>
    <x v="73"/>
    <x v="144"/>
    <x v="1"/>
    <s v="L"/>
    <x v="7"/>
    <n v="105900"/>
    <n v="95900"/>
    <n v="352100"/>
  </r>
  <r>
    <x v="6"/>
    <x v="73"/>
    <x v="144"/>
    <x v="3"/>
    <s v="L"/>
    <x v="7"/>
    <n v="84900"/>
    <n v="74900"/>
    <n v="387300"/>
  </r>
  <r>
    <x v="6"/>
    <x v="73"/>
    <x v="144"/>
    <x v="1"/>
    <s v="L"/>
    <x v="4"/>
    <n v="102900"/>
    <n v="92900"/>
    <n v="352100"/>
  </r>
  <r>
    <x v="6"/>
    <x v="73"/>
    <x v="144"/>
    <x v="3"/>
    <s v="L"/>
    <x v="4"/>
    <n v="81900"/>
    <n v="71900"/>
    <n v="387300"/>
  </r>
  <r>
    <x v="6"/>
    <x v="73"/>
    <x v="144"/>
    <x v="1"/>
    <s v="L"/>
    <x v="10"/>
    <n v="104900"/>
    <n v="94900"/>
    <n v="352100"/>
  </r>
  <r>
    <x v="6"/>
    <x v="73"/>
    <x v="144"/>
    <x v="3"/>
    <s v="L"/>
    <x v="10"/>
    <n v="83900"/>
    <n v="73900"/>
    <n v="387300"/>
  </r>
  <r>
    <x v="6"/>
    <x v="73"/>
    <x v="145"/>
    <x v="1"/>
    <s v="L"/>
    <x v="3"/>
    <n v="87900"/>
    <n v="77900"/>
    <n v="329600"/>
  </r>
  <r>
    <x v="6"/>
    <x v="73"/>
    <x v="145"/>
    <x v="3"/>
    <s v="L"/>
    <x v="3"/>
    <n v="71900"/>
    <n v="61900"/>
    <n v="362600"/>
  </r>
  <r>
    <x v="6"/>
    <x v="73"/>
    <x v="145"/>
    <x v="1"/>
    <s v="L"/>
    <x v="7"/>
    <n v="85900"/>
    <n v="75900"/>
    <n v="318400"/>
  </r>
  <r>
    <x v="6"/>
    <x v="73"/>
    <x v="145"/>
    <x v="3"/>
    <s v="L"/>
    <x v="7"/>
    <n v="69900"/>
    <n v="59900"/>
    <n v="350200"/>
  </r>
  <r>
    <x v="6"/>
    <x v="73"/>
    <x v="145"/>
    <x v="1"/>
    <s v="L"/>
    <x v="4"/>
    <n v="82900"/>
    <n v="72900"/>
    <n v="318400"/>
  </r>
  <r>
    <x v="6"/>
    <x v="73"/>
    <x v="145"/>
    <x v="3"/>
    <s v="L"/>
    <x v="4"/>
    <n v="66900"/>
    <n v="56900"/>
    <n v="350200"/>
  </r>
  <r>
    <x v="6"/>
    <x v="73"/>
    <x v="145"/>
    <x v="1"/>
    <s v="L"/>
    <x v="10"/>
    <n v="84900"/>
    <n v="74900"/>
    <n v="318400"/>
  </r>
  <r>
    <x v="6"/>
    <x v="73"/>
    <x v="145"/>
    <x v="3"/>
    <s v="L"/>
    <x v="10"/>
    <n v="68900"/>
    <n v="58900"/>
    <n v="350200"/>
  </r>
  <r>
    <x v="6"/>
    <x v="49"/>
    <x v="134"/>
    <x v="1"/>
    <s v="L"/>
    <x v="4"/>
    <n v="72900"/>
    <n v="72900"/>
    <n v="329600"/>
  </r>
  <r>
    <x v="6"/>
    <x v="49"/>
    <x v="134"/>
    <x v="3"/>
    <s v="L"/>
    <x v="4"/>
    <n v="62900"/>
    <n v="62900"/>
    <n v="362600"/>
  </r>
  <r>
    <x v="6"/>
    <x v="49"/>
    <x v="134"/>
    <x v="4"/>
    <s v="L"/>
    <x v="4"/>
    <n v="56900"/>
    <n v="56900"/>
    <n v="362600"/>
  </r>
  <r>
    <x v="6"/>
    <x v="49"/>
    <x v="135"/>
    <x v="1"/>
    <s v="L"/>
    <x v="4"/>
    <n v="67900"/>
    <n v="67900"/>
    <n v="318400"/>
  </r>
  <r>
    <x v="6"/>
    <x v="49"/>
    <x v="135"/>
    <x v="3"/>
    <s v="L"/>
    <x v="4"/>
    <n v="57900"/>
    <n v="57900"/>
    <n v="350200"/>
  </r>
  <r>
    <x v="6"/>
    <x v="49"/>
    <x v="135"/>
    <x v="4"/>
    <s v="L"/>
    <x v="4"/>
    <n v="51900"/>
    <n v="51900"/>
    <n v="350200"/>
  </r>
  <r>
    <x v="6"/>
    <x v="49"/>
    <x v="136"/>
    <x v="1"/>
    <s v="L"/>
    <x v="4"/>
    <n v="62900"/>
    <n v="62900"/>
    <n v="307200"/>
  </r>
  <r>
    <x v="6"/>
    <x v="49"/>
    <x v="136"/>
    <x v="3"/>
    <s v="L"/>
    <x v="4"/>
    <n v="52900"/>
    <n v="52900"/>
    <n v="337900"/>
  </r>
  <r>
    <x v="6"/>
    <x v="49"/>
    <x v="136"/>
    <x v="4"/>
    <s v="L"/>
    <x v="4"/>
    <n v="46900"/>
    <n v="46900"/>
    <n v="337900"/>
  </r>
  <r>
    <x v="6"/>
    <x v="49"/>
    <x v="137"/>
    <x v="1"/>
    <s v="L"/>
    <x v="4"/>
    <n v="57900"/>
    <n v="57900"/>
    <n v="295900"/>
  </r>
  <r>
    <x v="6"/>
    <x v="49"/>
    <x v="137"/>
    <x v="3"/>
    <s v="L"/>
    <x v="4"/>
    <n v="47900"/>
    <n v="47900"/>
    <n v="325500"/>
  </r>
  <r>
    <x v="6"/>
    <x v="49"/>
    <x v="137"/>
    <x v="4"/>
    <s v="L"/>
    <x v="4"/>
    <n v="41900"/>
    <n v="41900"/>
    <n v="325500"/>
  </r>
  <r>
    <x v="6"/>
    <x v="65"/>
    <x v="146"/>
    <x v="1"/>
    <s v="L"/>
    <x v="4"/>
    <n v="55900"/>
    <n v="55900"/>
    <n v="295900"/>
  </r>
  <r>
    <x v="6"/>
    <x v="65"/>
    <x v="146"/>
    <x v="3"/>
    <s v="L"/>
    <x v="4"/>
    <n v="46900"/>
    <n v="46900"/>
    <n v="325500"/>
  </r>
  <r>
    <x v="6"/>
    <x v="65"/>
    <x v="146"/>
    <x v="4"/>
    <s v="L"/>
    <x v="4"/>
    <n v="40900"/>
    <n v="40900"/>
    <n v="325500"/>
  </r>
  <r>
    <x v="6"/>
    <x v="65"/>
    <x v="146"/>
    <x v="1"/>
    <s v="L"/>
    <x v="3"/>
    <n v="62900"/>
    <n v="62900"/>
    <n v="307200"/>
  </r>
  <r>
    <x v="6"/>
    <x v="65"/>
    <x v="146"/>
    <x v="3"/>
    <s v="L"/>
    <x v="3"/>
    <n v="53900"/>
    <n v="53900"/>
    <n v="337900"/>
  </r>
  <r>
    <x v="6"/>
    <x v="65"/>
    <x v="146"/>
    <x v="4"/>
    <s v="L"/>
    <x v="3"/>
    <n v="47900"/>
    <n v="47900"/>
    <n v="337900"/>
  </r>
  <r>
    <x v="6"/>
    <x v="65"/>
    <x v="146"/>
    <x v="1"/>
    <s v="L"/>
    <x v="9"/>
    <n v="60900"/>
    <n v="60900"/>
    <n v="307200"/>
  </r>
  <r>
    <x v="6"/>
    <x v="65"/>
    <x v="146"/>
    <x v="3"/>
    <s v="L"/>
    <x v="9"/>
    <n v="51900"/>
    <n v="51900"/>
    <n v="337900"/>
  </r>
  <r>
    <x v="6"/>
    <x v="65"/>
    <x v="146"/>
    <x v="4"/>
    <s v="L"/>
    <x v="9"/>
    <n v="45900"/>
    <n v="45900"/>
    <n v="337900"/>
  </r>
  <r>
    <x v="6"/>
    <x v="65"/>
    <x v="146"/>
    <x v="1"/>
    <s v="L"/>
    <x v="10"/>
    <n v="57900"/>
    <n v="57900"/>
    <n v="295900"/>
  </r>
  <r>
    <x v="6"/>
    <x v="65"/>
    <x v="146"/>
    <x v="3"/>
    <s v="L"/>
    <x v="10"/>
    <n v="48900"/>
    <n v="48900"/>
    <n v="325500"/>
  </r>
  <r>
    <x v="6"/>
    <x v="65"/>
    <x v="146"/>
    <x v="4"/>
    <s v="L"/>
    <x v="10"/>
    <n v="42900"/>
    <n v="42900"/>
    <n v="325500"/>
  </r>
  <r>
    <x v="6"/>
    <x v="74"/>
    <x v="147"/>
    <x v="1"/>
    <s v="L"/>
    <x v="3"/>
    <n v="32900"/>
    <n v="32900"/>
    <n v="208000"/>
  </r>
  <r>
    <x v="6"/>
    <x v="74"/>
    <x v="147"/>
    <x v="2"/>
    <s v="L"/>
    <x v="3"/>
    <n v="29900"/>
    <n v="29900"/>
    <n v="228800"/>
  </r>
  <r>
    <x v="6"/>
    <x v="74"/>
    <x v="147"/>
    <x v="3"/>
    <s v="L"/>
    <x v="3"/>
    <n v="26900"/>
    <n v="26900"/>
    <n v="228800"/>
  </r>
  <r>
    <x v="6"/>
    <x v="74"/>
    <x v="147"/>
    <x v="3"/>
    <s v="L"/>
    <x v="7"/>
    <n v="24900"/>
    <n v="24900"/>
    <n v="217600"/>
  </r>
  <r>
    <x v="6"/>
    <x v="74"/>
    <x v="147"/>
    <x v="3"/>
    <s v="L"/>
    <x v="4"/>
    <n v="20900"/>
    <n v="20900"/>
    <n v="206600"/>
  </r>
  <r>
    <x v="6"/>
    <x v="74"/>
    <x v="148"/>
    <x v="1"/>
    <s v="L"/>
    <x v="3"/>
    <n v="32900"/>
    <n v="32900"/>
    <n v="208000"/>
  </r>
  <r>
    <x v="6"/>
    <x v="74"/>
    <x v="148"/>
    <x v="2"/>
    <s v="L"/>
    <x v="3"/>
    <n v="29900"/>
    <n v="29900"/>
    <n v="228800"/>
  </r>
  <r>
    <x v="6"/>
    <x v="74"/>
    <x v="148"/>
    <x v="3"/>
    <s v="L"/>
    <x v="3"/>
    <n v="26900"/>
    <n v="26900"/>
    <n v="228800"/>
  </r>
  <r>
    <x v="6"/>
    <x v="74"/>
    <x v="148"/>
    <x v="3"/>
    <s v="L"/>
    <x v="7"/>
    <n v="24900"/>
    <n v="24900"/>
    <n v="217600"/>
  </r>
  <r>
    <x v="6"/>
    <x v="74"/>
    <x v="148"/>
    <x v="3"/>
    <s v="L"/>
    <x v="4"/>
    <n v="20900"/>
    <n v="20900"/>
    <n v="206600"/>
  </r>
  <r>
    <x v="6"/>
    <x v="74"/>
    <x v="149"/>
    <x v="1"/>
    <s v="L"/>
    <x v="3"/>
    <n v="29900"/>
    <n v="29900"/>
    <n v="197800"/>
  </r>
  <r>
    <x v="6"/>
    <x v="74"/>
    <x v="149"/>
    <x v="2"/>
    <s v="L"/>
    <x v="3"/>
    <n v="26900"/>
    <n v="26900"/>
    <n v="217600"/>
  </r>
  <r>
    <x v="6"/>
    <x v="74"/>
    <x v="149"/>
    <x v="3"/>
    <s v="L"/>
    <x v="3"/>
    <n v="23900"/>
    <n v="23900"/>
    <n v="217600"/>
  </r>
  <r>
    <x v="6"/>
    <x v="74"/>
    <x v="149"/>
    <x v="3"/>
    <s v="L"/>
    <x v="7"/>
    <n v="21900"/>
    <n v="21900"/>
    <n v="206600"/>
  </r>
  <r>
    <x v="6"/>
    <x v="74"/>
    <x v="149"/>
    <x v="3"/>
    <s v="L"/>
    <x v="4"/>
    <n v="17900"/>
    <n v="17900"/>
    <n v="195400"/>
  </r>
  <r>
    <x v="6"/>
    <x v="74"/>
    <x v="150"/>
    <x v="1"/>
    <s v="L"/>
    <x v="3"/>
    <n v="29900"/>
    <n v="29900"/>
    <n v="197800"/>
  </r>
  <r>
    <x v="6"/>
    <x v="74"/>
    <x v="150"/>
    <x v="2"/>
    <s v="L"/>
    <x v="3"/>
    <n v="26900"/>
    <n v="26900"/>
    <n v="217600"/>
  </r>
  <r>
    <x v="6"/>
    <x v="74"/>
    <x v="150"/>
    <x v="3"/>
    <s v="L"/>
    <x v="3"/>
    <n v="23900"/>
    <n v="23900"/>
    <n v="217600"/>
  </r>
  <r>
    <x v="6"/>
    <x v="74"/>
    <x v="150"/>
    <x v="3"/>
    <s v="L"/>
    <x v="7"/>
    <n v="21900"/>
    <n v="21900"/>
    <n v="206600"/>
  </r>
  <r>
    <x v="6"/>
    <x v="74"/>
    <x v="150"/>
    <x v="3"/>
    <s v="L"/>
    <x v="4"/>
    <n v="17900"/>
    <n v="17900"/>
    <n v="195400"/>
  </r>
  <r>
    <x v="6"/>
    <x v="74"/>
    <x v="151"/>
    <x v="1"/>
    <s v="L"/>
    <x v="3"/>
    <n v="26900"/>
    <n v="26900"/>
    <n v="187700"/>
  </r>
  <r>
    <x v="6"/>
    <x v="74"/>
    <x v="151"/>
    <x v="2"/>
    <s v="L"/>
    <x v="3"/>
    <n v="23900"/>
    <n v="23900"/>
    <n v="206600"/>
  </r>
  <r>
    <x v="6"/>
    <x v="74"/>
    <x v="151"/>
    <x v="3"/>
    <s v="L"/>
    <x v="3"/>
    <n v="20900"/>
    <n v="20900"/>
    <n v="206600"/>
  </r>
  <r>
    <x v="6"/>
    <x v="74"/>
    <x v="151"/>
    <x v="3"/>
    <s v="L"/>
    <x v="7"/>
    <n v="18900"/>
    <n v="18900"/>
    <n v="195400"/>
  </r>
  <r>
    <x v="6"/>
    <x v="74"/>
    <x v="151"/>
    <x v="3"/>
    <s v="L"/>
    <x v="4"/>
    <n v="14900"/>
    <n v="14900"/>
    <n v="195400"/>
  </r>
  <r>
    <x v="6"/>
    <x v="74"/>
    <x v="152"/>
    <x v="1"/>
    <s v="L"/>
    <x v="3"/>
    <n v="26900"/>
    <n v="26900"/>
    <n v="187700"/>
  </r>
  <r>
    <x v="6"/>
    <x v="74"/>
    <x v="152"/>
    <x v="2"/>
    <s v="L"/>
    <x v="3"/>
    <n v="23900"/>
    <n v="23900"/>
    <n v="206600"/>
  </r>
  <r>
    <x v="6"/>
    <x v="74"/>
    <x v="152"/>
    <x v="3"/>
    <s v="L"/>
    <x v="3"/>
    <n v="20900"/>
    <n v="20900"/>
    <n v="206600"/>
  </r>
  <r>
    <x v="6"/>
    <x v="74"/>
    <x v="152"/>
    <x v="3"/>
    <s v="L"/>
    <x v="7"/>
    <n v="18900"/>
    <n v="18900"/>
    <n v="195400"/>
  </r>
  <r>
    <x v="6"/>
    <x v="74"/>
    <x v="152"/>
    <x v="3"/>
    <s v="L"/>
    <x v="4"/>
    <n v="14900"/>
    <n v="14900"/>
    <n v="195400"/>
  </r>
  <r>
    <x v="7"/>
    <x v="75"/>
    <x v="153"/>
    <x v="1"/>
    <s v="L"/>
    <x v="3"/>
    <n v="49900"/>
    <n v="49900"/>
    <n v="294400"/>
  </r>
  <r>
    <x v="7"/>
    <x v="75"/>
    <x v="153"/>
    <x v="1"/>
    <s v="L"/>
    <x v="2"/>
    <n v="46900"/>
    <n v="46900"/>
    <n v="294400"/>
  </r>
  <r>
    <x v="7"/>
    <x v="75"/>
    <x v="153"/>
    <x v="2"/>
    <s v="L"/>
    <x v="3"/>
    <n v="45900"/>
    <n v="45900"/>
    <n v="323800"/>
  </r>
  <r>
    <x v="7"/>
    <x v="75"/>
    <x v="153"/>
    <x v="2"/>
    <s v="L"/>
    <x v="2"/>
    <n v="42900"/>
    <n v="42900"/>
    <n v="323800"/>
  </r>
  <r>
    <x v="7"/>
    <x v="75"/>
    <x v="154"/>
    <x v="1"/>
    <s v="L"/>
    <x v="3"/>
    <n v="47900"/>
    <n v="47900"/>
    <n v="294400"/>
  </r>
  <r>
    <x v="7"/>
    <x v="75"/>
    <x v="154"/>
    <x v="1"/>
    <s v="L"/>
    <x v="2"/>
    <n v="44900"/>
    <n v="44900"/>
    <n v="283200"/>
  </r>
  <r>
    <x v="7"/>
    <x v="75"/>
    <x v="154"/>
    <x v="2"/>
    <s v="L"/>
    <x v="3"/>
    <n v="43900"/>
    <n v="43900"/>
    <n v="323800"/>
  </r>
  <r>
    <x v="7"/>
    <x v="75"/>
    <x v="154"/>
    <x v="2"/>
    <s v="L"/>
    <x v="2"/>
    <n v="40900"/>
    <n v="40900"/>
    <n v="311500"/>
  </r>
  <r>
    <x v="8"/>
    <x v="76"/>
    <x v="155"/>
    <x v="1"/>
    <s v="L"/>
    <x v="4"/>
    <n v="49900"/>
    <n v="49900"/>
    <n v="273400"/>
  </r>
  <r>
    <x v="8"/>
    <x v="76"/>
    <x v="155"/>
    <x v="3"/>
    <s v="L"/>
    <x v="4"/>
    <n v="39900"/>
    <n v="39900"/>
    <n v="300700"/>
  </r>
  <r>
    <x v="8"/>
    <x v="76"/>
    <x v="155"/>
    <x v="4"/>
    <s v="L"/>
    <x v="4"/>
    <n v="34900"/>
    <n v="34900"/>
    <n v="300700"/>
  </r>
  <r>
    <x v="8"/>
    <x v="76"/>
    <x v="156"/>
    <x v="1"/>
    <s v="L"/>
    <x v="4"/>
    <n v="45900"/>
    <n v="45900"/>
    <n v="273400"/>
  </r>
  <r>
    <x v="8"/>
    <x v="76"/>
    <x v="156"/>
    <x v="3"/>
    <s v="L"/>
    <x v="4"/>
    <n v="35900"/>
    <n v="35900"/>
    <n v="300700"/>
  </r>
  <r>
    <x v="8"/>
    <x v="76"/>
    <x v="156"/>
    <x v="4"/>
    <s v="L"/>
    <x v="4"/>
    <n v="30900"/>
    <n v="30900"/>
    <n v="300700"/>
  </r>
  <r>
    <x v="8"/>
    <x v="76"/>
    <x v="157"/>
    <x v="1"/>
    <s v="L"/>
    <x v="4"/>
    <n v="42900"/>
    <n v="42900"/>
    <n v="251000"/>
  </r>
  <r>
    <x v="8"/>
    <x v="76"/>
    <x v="157"/>
    <x v="3"/>
    <s v="L"/>
    <x v="4"/>
    <n v="32900"/>
    <n v="32900"/>
    <n v="276100"/>
  </r>
  <r>
    <x v="8"/>
    <x v="76"/>
    <x v="157"/>
    <x v="4"/>
    <s v="L"/>
    <x v="4"/>
    <n v="27900"/>
    <n v="27900"/>
    <n v="276100"/>
  </r>
  <r>
    <x v="8"/>
    <x v="77"/>
    <x v="158"/>
    <x v="1"/>
    <s v="L"/>
    <x v="4"/>
    <n v="17900"/>
    <n v="17900"/>
    <n v="197400"/>
  </r>
  <r>
    <x v="8"/>
    <x v="77"/>
    <x v="158"/>
    <x v="2"/>
    <s v="L"/>
    <x v="4"/>
    <n v="16900"/>
    <n v="16900"/>
    <n v="197400"/>
  </r>
  <r>
    <x v="8"/>
    <x v="77"/>
    <x v="158"/>
    <x v="3"/>
    <s v="L"/>
    <x v="4"/>
    <n v="15900"/>
    <n v="15900"/>
    <n v="217100"/>
  </r>
  <r>
    <x v="8"/>
    <x v="77"/>
    <x v="158"/>
    <x v="4"/>
    <s v="L"/>
    <x v="4"/>
    <n v="14900"/>
    <n v="14900"/>
    <n v="217100"/>
  </r>
  <r>
    <x v="8"/>
    <x v="78"/>
    <x v="159"/>
    <x v="1"/>
    <s v="L"/>
    <x v="4"/>
    <n v="22900"/>
    <n v="22900"/>
    <n v="197400"/>
  </r>
  <r>
    <x v="8"/>
    <x v="78"/>
    <x v="159"/>
    <x v="2"/>
    <s v="L"/>
    <x v="4"/>
    <n v="19900"/>
    <n v="19900"/>
    <n v="197400"/>
  </r>
  <r>
    <x v="8"/>
    <x v="78"/>
    <x v="159"/>
    <x v="3"/>
    <s v="L"/>
    <x v="4"/>
    <n v="17900"/>
    <n v="17900"/>
    <n v="217100"/>
  </r>
  <r>
    <x v="8"/>
    <x v="78"/>
    <x v="159"/>
    <x v="4"/>
    <s v="L"/>
    <x v="4"/>
    <n v="14900"/>
    <n v="14900"/>
    <n v="217100"/>
  </r>
  <r>
    <x v="8"/>
    <x v="77"/>
    <x v="160"/>
    <x v="1"/>
    <s v="L"/>
    <x v="4"/>
    <n v="16900"/>
    <n v="16900"/>
    <n v="197400"/>
  </r>
  <r>
    <x v="8"/>
    <x v="77"/>
    <x v="160"/>
    <x v="2"/>
    <s v="L"/>
    <x v="4"/>
    <n v="15900"/>
    <n v="15900"/>
    <n v="197400"/>
  </r>
  <r>
    <x v="8"/>
    <x v="77"/>
    <x v="160"/>
    <x v="3"/>
    <s v="L"/>
    <x v="4"/>
    <n v="14900"/>
    <n v="14900"/>
    <n v="217100"/>
  </r>
  <r>
    <x v="8"/>
    <x v="77"/>
    <x v="160"/>
    <x v="4"/>
    <s v="L"/>
    <x v="4"/>
    <n v="13900"/>
    <n v="13900"/>
    <n v="217100"/>
  </r>
  <r>
    <x v="8"/>
    <x v="77"/>
    <x v="161"/>
    <x v="1"/>
    <s v="L"/>
    <x v="4"/>
    <n v="15900"/>
    <n v="15900"/>
    <n v="197400"/>
  </r>
  <r>
    <x v="8"/>
    <x v="77"/>
    <x v="161"/>
    <x v="2"/>
    <s v="L"/>
    <x v="4"/>
    <n v="14900"/>
    <n v="14900"/>
    <n v="197400"/>
  </r>
  <r>
    <x v="8"/>
    <x v="77"/>
    <x v="161"/>
    <x v="3"/>
    <s v="L"/>
    <x v="4"/>
    <n v="13900"/>
    <n v="13900"/>
    <n v="217100"/>
  </r>
  <r>
    <x v="8"/>
    <x v="77"/>
    <x v="161"/>
    <x v="4"/>
    <s v="L"/>
    <x v="4"/>
    <n v="12900"/>
    <n v="12900"/>
    <n v="217100"/>
  </r>
  <r>
    <x v="8"/>
    <x v="79"/>
    <x v="162"/>
    <x v="1"/>
    <s v="L"/>
    <x v="4"/>
    <n v="38900"/>
    <n v="38900"/>
    <n v="239700"/>
  </r>
  <r>
    <x v="8"/>
    <x v="79"/>
    <x v="162"/>
    <x v="2"/>
    <s v="L"/>
    <x v="4"/>
    <n v="33900"/>
    <n v="33900"/>
    <n v="239700"/>
  </r>
  <r>
    <x v="8"/>
    <x v="79"/>
    <x v="162"/>
    <x v="3"/>
    <s v="L"/>
    <x v="4"/>
    <n v="28900"/>
    <n v="28900"/>
    <n v="263700"/>
  </r>
  <r>
    <x v="8"/>
    <x v="79"/>
    <x v="163"/>
    <x v="1"/>
    <s v="L"/>
    <x v="4"/>
    <n v="35900"/>
    <n v="35900"/>
    <n v="231100"/>
  </r>
  <r>
    <x v="8"/>
    <x v="79"/>
    <x v="163"/>
    <x v="2"/>
    <s v="L"/>
    <x v="4"/>
    <n v="30900"/>
    <n v="30900"/>
    <n v="231100"/>
  </r>
  <r>
    <x v="8"/>
    <x v="79"/>
    <x v="163"/>
    <x v="3"/>
    <s v="L"/>
    <x v="4"/>
    <n v="25900"/>
    <n v="25900"/>
    <n v="254200"/>
  </r>
  <r>
    <x v="8"/>
    <x v="80"/>
    <x v="164"/>
    <x v="1"/>
    <s v="L"/>
    <x v="4"/>
    <n v="29900"/>
    <n v="29900"/>
    <n v="219800"/>
  </r>
  <r>
    <x v="8"/>
    <x v="80"/>
    <x v="164"/>
    <x v="2"/>
    <s v="L"/>
    <x v="4"/>
    <n v="27900"/>
    <n v="27900"/>
    <n v="219800"/>
  </r>
  <r>
    <x v="8"/>
    <x v="80"/>
    <x v="164"/>
    <x v="3"/>
    <s v="L"/>
    <x v="4"/>
    <n v="24900"/>
    <n v="24900"/>
    <n v="241800"/>
  </r>
  <r>
    <x v="8"/>
    <x v="80"/>
    <x v="164"/>
    <x v="4"/>
    <s v="L"/>
    <x v="4"/>
    <n v="21900"/>
    <n v="21900"/>
    <n v="241800"/>
  </r>
  <r>
    <x v="8"/>
    <x v="80"/>
    <x v="165"/>
    <x v="1"/>
    <s v="L"/>
    <x v="4"/>
    <n v="26900"/>
    <n v="26900"/>
    <n v="208600"/>
  </r>
  <r>
    <x v="8"/>
    <x v="80"/>
    <x v="165"/>
    <x v="2"/>
    <s v="L"/>
    <x v="4"/>
    <n v="24900"/>
    <n v="24900"/>
    <n v="208600"/>
  </r>
  <r>
    <x v="8"/>
    <x v="80"/>
    <x v="165"/>
    <x v="3"/>
    <s v="L"/>
    <x v="4"/>
    <n v="21900"/>
    <n v="21900"/>
    <n v="229500"/>
  </r>
  <r>
    <x v="8"/>
    <x v="80"/>
    <x v="165"/>
    <x v="4"/>
    <s v="L"/>
    <x v="4"/>
    <n v="18900"/>
    <n v="18900"/>
    <n v="229500"/>
  </r>
  <r>
    <x v="8"/>
    <x v="80"/>
    <x v="166"/>
    <x v="1"/>
    <s v="L"/>
    <x v="4"/>
    <n v="22900"/>
    <n v="22900"/>
    <n v="197400"/>
  </r>
  <r>
    <x v="8"/>
    <x v="80"/>
    <x v="166"/>
    <x v="2"/>
    <s v="L"/>
    <x v="4"/>
    <n v="19900"/>
    <n v="19900"/>
    <n v="197400"/>
  </r>
  <r>
    <x v="8"/>
    <x v="80"/>
    <x v="166"/>
    <x v="3"/>
    <s v="L"/>
    <x v="4"/>
    <n v="17900"/>
    <n v="17900"/>
    <n v="217100"/>
  </r>
  <r>
    <x v="8"/>
    <x v="80"/>
    <x v="166"/>
    <x v="4"/>
    <s v="L"/>
    <x v="4"/>
    <n v="14900"/>
    <n v="14900"/>
    <n v="217100"/>
  </r>
  <r>
    <x v="8"/>
    <x v="81"/>
    <x v="167"/>
    <x v="1"/>
    <s v="L"/>
    <x v="4"/>
    <n v="35900"/>
    <n v="35900"/>
    <n v="231100"/>
  </r>
  <r>
    <x v="8"/>
    <x v="81"/>
    <x v="167"/>
    <x v="2"/>
    <s v="L"/>
    <x v="4"/>
    <n v="30900"/>
    <n v="30900"/>
    <n v="231100"/>
  </r>
  <r>
    <x v="8"/>
    <x v="81"/>
    <x v="167"/>
    <x v="3"/>
    <s v="L"/>
    <x v="4"/>
    <n v="25900"/>
    <n v="25900"/>
    <n v="254200"/>
  </r>
  <r>
    <x v="8"/>
    <x v="81"/>
    <x v="168"/>
    <x v="1"/>
    <s v="L"/>
    <x v="4"/>
    <n v="32900"/>
    <n v="32900"/>
    <n v="219800"/>
  </r>
  <r>
    <x v="8"/>
    <x v="81"/>
    <x v="168"/>
    <x v="2"/>
    <s v="L"/>
    <x v="4"/>
    <n v="28900"/>
    <n v="28900"/>
    <n v="219800"/>
  </r>
  <r>
    <x v="8"/>
    <x v="81"/>
    <x v="168"/>
    <x v="3"/>
    <s v="L"/>
    <x v="4"/>
    <n v="24900"/>
    <n v="24900"/>
    <n v="241800"/>
  </r>
  <r>
    <x v="8"/>
    <x v="81"/>
    <x v="169"/>
    <x v="1"/>
    <s v="L"/>
    <x v="4"/>
    <n v="35900"/>
    <n v="35900"/>
    <n v="231100"/>
  </r>
  <r>
    <x v="8"/>
    <x v="81"/>
    <x v="169"/>
    <x v="2"/>
    <s v="L"/>
    <x v="4"/>
    <n v="30900"/>
    <n v="30900"/>
    <n v="231100"/>
  </r>
  <r>
    <x v="8"/>
    <x v="81"/>
    <x v="169"/>
    <x v="3"/>
    <s v="L"/>
    <x v="4"/>
    <n v="25900"/>
    <n v="25900"/>
    <n v="254200"/>
  </r>
  <r>
    <x v="8"/>
    <x v="81"/>
    <x v="170"/>
    <x v="1"/>
    <s v="L"/>
    <x v="4"/>
    <n v="32900"/>
    <n v="32900"/>
    <n v="219800"/>
  </r>
  <r>
    <x v="8"/>
    <x v="81"/>
    <x v="170"/>
    <x v="2"/>
    <s v="L"/>
    <x v="4"/>
    <n v="28900"/>
    <n v="28900"/>
    <n v="219800"/>
  </r>
  <r>
    <x v="8"/>
    <x v="81"/>
    <x v="170"/>
    <x v="3"/>
    <s v="L"/>
    <x v="4"/>
    <n v="24900"/>
    <n v="24900"/>
    <n v="241800"/>
  </r>
  <r>
    <x v="8"/>
    <x v="82"/>
    <x v="171"/>
    <x v="1"/>
    <s v="L"/>
    <x v="4"/>
    <n v="23900"/>
    <n v="23900"/>
    <n v="197400"/>
  </r>
  <r>
    <x v="8"/>
    <x v="82"/>
    <x v="171"/>
    <x v="2"/>
    <s v="L"/>
    <x v="4"/>
    <n v="20900"/>
    <n v="20900"/>
    <n v="197400"/>
  </r>
  <r>
    <x v="8"/>
    <x v="82"/>
    <x v="171"/>
    <x v="3"/>
    <s v="L"/>
    <x v="4"/>
    <n v="18900"/>
    <n v="18900"/>
    <n v="217100"/>
  </r>
  <r>
    <x v="8"/>
    <x v="82"/>
    <x v="171"/>
    <x v="4"/>
    <s v="L"/>
    <x v="4"/>
    <n v="15900"/>
    <n v="15900"/>
    <n v="217100"/>
  </r>
  <r>
    <x v="8"/>
    <x v="77"/>
    <x v="172"/>
    <x v="1"/>
    <s v="L"/>
    <x v="4"/>
    <n v="17900"/>
    <n v="17900"/>
    <n v="197400"/>
  </r>
  <r>
    <x v="8"/>
    <x v="77"/>
    <x v="172"/>
    <x v="2"/>
    <s v="L"/>
    <x v="4"/>
    <n v="16900"/>
    <n v="16900"/>
    <n v="197400"/>
  </r>
  <r>
    <x v="8"/>
    <x v="77"/>
    <x v="172"/>
    <x v="3"/>
    <s v="L"/>
    <x v="4"/>
    <n v="15900"/>
    <n v="15900"/>
    <n v="217100"/>
  </r>
  <r>
    <x v="8"/>
    <x v="77"/>
    <x v="172"/>
    <x v="4"/>
    <s v="L"/>
    <x v="4"/>
    <n v="14900"/>
    <n v="14900"/>
    <n v="217100"/>
  </r>
  <r>
    <x v="8"/>
    <x v="77"/>
    <x v="173"/>
    <x v="1"/>
    <s v="L"/>
    <x v="4"/>
    <n v="16900"/>
    <n v="16900"/>
    <n v="197400"/>
  </r>
  <r>
    <x v="8"/>
    <x v="77"/>
    <x v="173"/>
    <x v="2"/>
    <s v="L"/>
    <x v="4"/>
    <n v="15900"/>
    <n v="15900"/>
    <n v="197400"/>
  </r>
  <r>
    <x v="8"/>
    <x v="77"/>
    <x v="173"/>
    <x v="3"/>
    <s v="L"/>
    <x v="4"/>
    <n v="14900"/>
    <n v="14900"/>
    <n v="217100"/>
  </r>
  <r>
    <x v="8"/>
    <x v="77"/>
    <x v="173"/>
    <x v="4"/>
    <s v="L"/>
    <x v="4"/>
    <n v="13900"/>
    <n v="13900"/>
    <n v="217100"/>
  </r>
  <r>
    <x v="8"/>
    <x v="77"/>
    <x v="174"/>
    <x v="1"/>
    <s v="L"/>
    <x v="4"/>
    <n v="15900"/>
    <n v="15900"/>
    <n v="197400"/>
  </r>
  <r>
    <x v="8"/>
    <x v="77"/>
    <x v="174"/>
    <x v="2"/>
    <s v="L"/>
    <x v="4"/>
    <n v="14900"/>
    <n v="14900"/>
    <n v="197400"/>
  </r>
  <r>
    <x v="8"/>
    <x v="77"/>
    <x v="174"/>
    <x v="3"/>
    <s v="L"/>
    <x v="4"/>
    <n v="13900"/>
    <n v="13900"/>
    <n v="217100"/>
  </r>
  <r>
    <x v="8"/>
    <x v="77"/>
    <x v="174"/>
    <x v="4"/>
    <s v="L"/>
    <x v="4"/>
    <n v="12900"/>
    <n v="12900"/>
    <n v="217100"/>
  </r>
  <r>
    <x v="8"/>
    <x v="83"/>
    <x v="175"/>
    <x v="1"/>
    <s v="L"/>
    <x v="4"/>
    <n v="29900"/>
    <n v="29900"/>
    <n v="219800"/>
  </r>
  <r>
    <x v="8"/>
    <x v="83"/>
    <x v="175"/>
    <x v="2"/>
    <s v="L"/>
    <x v="4"/>
    <n v="26900"/>
    <n v="26900"/>
    <n v="219800"/>
  </r>
  <r>
    <x v="8"/>
    <x v="83"/>
    <x v="175"/>
    <x v="3"/>
    <s v="L"/>
    <x v="4"/>
    <n v="23900"/>
    <n v="23900"/>
    <n v="241800"/>
  </r>
  <r>
    <x v="8"/>
    <x v="83"/>
    <x v="175"/>
    <x v="4"/>
    <s v="L"/>
    <x v="4"/>
    <n v="20900"/>
    <n v="20900"/>
    <n v="241800"/>
  </r>
  <r>
    <x v="8"/>
    <x v="83"/>
    <x v="176"/>
    <x v="1"/>
    <s v="L"/>
    <x v="4"/>
    <n v="29900"/>
    <n v="29900"/>
    <n v="219800"/>
  </r>
  <r>
    <x v="8"/>
    <x v="83"/>
    <x v="176"/>
    <x v="2"/>
    <s v="L"/>
    <x v="4"/>
    <n v="26900"/>
    <n v="26900"/>
    <n v="219800"/>
  </r>
  <r>
    <x v="8"/>
    <x v="83"/>
    <x v="176"/>
    <x v="3"/>
    <s v="L"/>
    <x v="4"/>
    <n v="23900"/>
    <n v="23900"/>
    <n v="241800"/>
  </r>
  <r>
    <x v="8"/>
    <x v="83"/>
    <x v="176"/>
    <x v="4"/>
    <s v="L"/>
    <x v="4"/>
    <n v="20900"/>
    <n v="20900"/>
    <n v="241800"/>
  </r>
  <r>
    <x v="8"/>
    <x v="84"/>
    <x v="177"/>
    <x v="1"/>
    <s v="L"/>
    <x v="4"/>
    <n v="28900"/>
    <n v="28900"/>
    <n v="208600"/>
  </r>
  <r>
    <x v="8"/>
    <x v="84"/>
    <x v="177"/>
    <x v="2"/>
    <s v="L"/>
    <x v="4"/>
    <n v="25900"/>
    <n v="25900"/>
    <n v="208600"/>
  </r>
  <r>
    <x v="8"/>
    <x v="84"/>
    <x v="177"/>
    <x v="3"/>
    <s v="L"/>
    <x v="4"/>
    <n v="22900"/>
    <n v="22900"/>
    <n v="229500"/>
  </r>
  <r>
    <x v="8"/>
    <x v="84"/>
    <x v="177"/>
    <x v="4"/>
    <s v="L"/>
    <x v="4"/>
    <n v="19900"/>
    <n v="19900"/>
    <n v="229500"/>
  </r>
  <r>
    <x v="8"/>
    <x v="83"/>
    <x v="178"/>
    <x v="1"/>
    <s v="L"/>
    <x v="4"/>
    <n v="27900"/>
    <n v="27900"/>
    <n v="208600"/>
  </r>
  <r>
    <x v="8"/>
    <x v="83"/>
    <x v="178"/>
    <x v="2"/>
    <s v="L"/>
    <x v="4"/>
    <n v="24900"/>
    <n v="24900"/>
    <n v="208600"/>
  </r>
  <r>
    <x v="8"/>
    <x v="83"/>
    <x v="178"/>
    <x v="3"/>
    <s v="L"/>
    <x v="4"/>
    <n v="21900"/>
    <n v="21900"/>
    <n v="229500"/>
  </r>
  <r>
    <x v="8"/>
    <x v="83"/>
    <x v="178"/>
    <x v="4"/>
    <s v="L"/>
    <x v="4"/>
    <n v="18900"/>
    <n v="18900"/>
    <n v="229500"/>
  </r>
  <r>
    <x v="8"/>
    <x v="84"/>
    <x v="179"/>
    <x v="1"/>
    <s v="L"/>
    <x v="4"/>
    <n v="26900"/>
    <n v="26900"/>
    <n v="208600"/>
  </r>
  <r>
    <x v="8"/>
    <x v="84"/>
    <x v="179"/>
    <x v="2"/>
    <s v="L"/>
    <x v="4"/>
    <n v="23900"/>
    <n v="23900"/>
    <n v="208600"/>
  </r>
  <r>
    <x v="8"/>
    <x v="84"/>
    <x v="179"/>
    <x v="3"/>
    <s v="L"/>
    <x v="4"/>
    <n v="20900"/>
    <n v="20900"/>
    <n v="229500"/>
  </r>
  <r>
    <x v="8"/>
    <x v="84"/>
    <x v="179"/>
    <x v="4"/>
    <s v="L"/>
    <x v="4"/>
    <n v="17900"/>
    <n v="17900"/>
    <n v="229500"/>
  </r>
  <r>
    <x v="8"/>
    <x v="83"/>
    <x v="180"/>
    <x v="1"/>
    <s v="L"/>
    <x v="4"/>
    <n v="25900"/>
    <n v="25900"/>
    <n v="197400"/>
  </r>
  <r>
    <x v="8"/>
    <x v="83"/>
    <x v="180"/>
    <x v="2"/>
    <s v="L"/>
    <x v="4"/>
    <n v="22900"/>
    <n v="22900"/>
    <n v="197400"/>
  </r>
  <r>
    <x v="8"/>
    <x v="83"/>
    <x v="180"/>
    <x v="3"/>
    <s v="L"/>
    <x v="4"/>
    <n v="19900"/>
    <n v="19900"/>
    <n v="217100"/>
  </r>
  <r>
    <x v="8"/>
    <x v="83"/>
    <x v="180"/>
    <x v="4"/>
    <s v="L"/>
    <x v="4"/>
    <n v="16900"/>
    <n v="16900"/>
    <n v="217100"/>
  </r>
  <r>
    <x v="8"/>
    <x v="84"/>
    <x v="181"/>
    <x v="1"/>
    <s v="L"/>
    <x v="4"/>
    <n v="24900"/>
    <n v="24900"/>
    <n v="197400"/>
  </r>
  <r>
    <x v="8"/>
    <x v="84"/>
    <x v="181"/>
    <x v="2"/>
    <s v="L"/>
    <x v="4"/>
    <n v="21900"/>
    <n v="21900"/>
    <n v="197400"/>
  </r>
  <r>
    <x v="8"/>
    <x v="84"/>
    <x v="181"/>
    <x v="3"/>
    <s v="L"/>
    <x v="4"/>
    <n v="18900"/>
    <n v="18900"/>
    <n v="217100"/>
  </r>
  <r>
    <x v="8"/>
    <x v="84"/>
    <x v="181"/>
    <x v="4"/>
    <s v="L"/>
    <x v="4"/>
    <n v="15900"/>
    <n v="15900"/>
    <n v="217100"/>
  </r>
  <r>
    <x v="8"/>
    <x v="77"/>
    <x v="182"/>
    <x v="1"/>
    <s v="L"/>
    <x v="4"/>
    <n v="18900"/>
    <n v="18900"/>
    <n v="197400"/>
  </r>
  <r>
    <x v="8"/>
    <x v="77"/>
    <x v="182"/>
    <x v="2"/>
    <s v="L"/>
    <x v="4"/>
    <n v="17900"/>
    <n v="17900"/>
    <n v="197400"/>
  </r>
  <r>
    <x v="8"/>
    <x v="77"/>
    <x v="182"/>
    <x v="3"/>
    <s v="L"/>
    <x v="4"/>
    <n v="16900"/>
    <n v="16900"/>
    <n v="217100"/>
  </r>
  <r>
    <x v="8"/>
    <x v="77"/>
    <x v="182"/>
    <x v="4"/>
    <s v="L"/>
    <x v="4"/>
    <n v="15900"/>
    <n v="15900"/>
    <n v="217100"/>
  </r>
  <r>
    <x v="8"/>
    <x v="83"/>
    <x v="183"/>
    <x v="1"/>
    <s v="L"/>
    <x v="4"/>
    <n v="36900"/>
    <n v="36900"/>
    <n v="231100"/>
  </r>
  <r>
    <x v="8"/>
    <x v="83"/>
    <x v="183"/>
    <x v="2"/>
    <s v="L"/>
    <x v="4"/>
    <n v="31900"/>
    <n v="31900"/>
    <n v="231100"/>
  </r>
  <r>
    <x v="8"/>
    <x v="83"/>
    <x v="183"/>
    <x v="3"/>
    <s v="L"/>
    <x v="4"/>
    <n v="26900"/>
    <n v="26900"/>
    <n v="254200"/>
  </r>
  <r>
    <x v="8"/>
    <x v="83"/>
    <x v="183"/>
    <x v="4"/>
    <s v="L"/>
    <x v="4"/>
    <n v="21900"/>
    <n v="21900"/>
    <n v="254200"/>
  </r>
  <r>
    <x v="8"/>
    <x v="85"/>
    <x v="184"/>
    <x v="1"/>
    <s v="L"/>
    <x v="4"/>
    <n v="27900"/>
    <n v="27900"/>
    <n v="208600"/>
  </r>
  <r>
    <x v="8"/>
    <x v="85"/>
    <x v="184"/>
    <x v="2"/>
    <s v="L"/>
    <x v="4"/>
    <n v="23900"/>
    <n v="23900"/>
    <n v="208600"/>
  </r>
  <r>
    <x v="8"/>
    <x v="85"/>
    <x v="184"/>
    <x v="3"/>
    <s v="L"/>
    <x v="4"/>
    <n v="20900"/>
    <n v="20900"/>
    <n v="229500"/>
  </r>
  <r>
    <x v="8"/>
    <x v="85"/>
    <x v="184"/>
    <x v="4"/>
    <s v="L"/>
    <x v="4"/>
    <n v="17900"/>
    <n v="17900"/>
    <n v="229500"/>
  </r>
  <r>
    <x v="8"/>
    <x v="85"/>
    <x v="185"/>
    <x v="1"/>
    <s v="L"/>
    <x v="4"/>
    <n v="27900"/>
    <n v="27900"/>
    <n v="208600"/>
  </r>
  <r>
    <x v="8"/>
    <x v="85"/>
    <x v="185"/>
    <x v="2"/>
    <s v="L"/>
    <x v="4"/>
    <n v="23900"/>
    <n v="23900"/>
    <n v="208600"/>
  </r>
  <r>
    <x v="8"/>
    <x v="85"/>
    <x v="185"/>
    <x v="3"/>
    <s v="L"/>
    <x v="4"/>
    <n v="20900"/>
    <n v="20900"/>
    <n v="229500"/>
  </r>
  <r>
    <x v="8"/>
    <x v="85"/>
    <x v="185"/>
    <x v="4"/>
    <s v="L"/>
    <x v="4"/>
    <n v="17900"/>
    <n v="17900"/>
    <n v="229500"/>
  </r>
  <r>
    <x v="8"/>
    <x v="86"/>
    <x v="186"/>
    <x v="1"/>
    <s v="L"/>
    <x v="4"/>
    <n v="33900"/>
    <n v="33900"/>
    <n v="219800"/>
  </r>
  <r>
    <x v="8"/>
    <x v="86"/>
    <x v="186"/>
    <x v="2"/>
    <s v="L"/>
    <x v="4"/>
    <n v="28900"/>
    <n v="28900"/>
    <n v="219800"/>
  </r>
  <r>
    <x v="8"/>
    <x v="86"/>
    <x v="186"/>
    <x v="3"/>
    <s v="L"/>
    <x v="4"/>
    <n v="24900"/>
    <n v="24900"/>
    <n v="241800"/>
  </r>
  <r>
    <x v="8"/>
    <x v="86"/>
    <x v="186"/>
    <x v="4"/>
    <s v="L"/>
    <x v="4"/>
    <n v="20900"/>
    <n v="20900"/>
    <n v="241800"/>
  </r>
  <r>
    <x v="8"/>
    <x v="86"/>
    <x v="187"/>
    <x v="1"/>
    <s v="L"/>
    <x v="4"/>
    <n v="33900"/>
    <n v="33900"/>
    <n v="219800"/>
  </r>
  <r>
    <x v="8"/>
    <x v="86"/>
    <x v="187"/>
    <x v="2"/>
    <s v="L"/>
    <x v="4"/>
    <n v="28900"/>
    <n v="28900"/>
    <n v="219800"/>
  </r>
  <r>
    <x v="8"/>
    <x v="86"/>
    <x v="187"/>
    <x v="3"/>
    <s v="L"/>
    <x v="4"/>
    <n v="24900"/>
    <n v="24900"/>
    <n v="241800"/>
  </r>
  <r>
    <x v="8"/>
    <x v="86"/>
    <x v="187"/>
    <x v="4"/>
    <s v="L"/>
    <x v="4"/>
    <n v="20900"/>
    <n v="20900"/>
    <n v="241800"/>
  </r>
  <r>
    <x v="8"/>
    <x v="85"/>
    <x v="188"/>
    <x v="1"/>
    <s v="L"/>
    <x v="4"/>
    <n v="29900"/>
    <n v="29900"/>
    <n v="208600"/>
  </r>
  <r>
    <x v="8"/>
    <x v="85"/>
    <x v="188"/>
    <x v="2"/>
    <s v="L"/>
    <x v="4"/>
    <n v="25900"/>
    <n v="25900"/>
    <n v="208600"/>
  </r>
  <r>
    <x v="8"/>
    <x v="85"/>
    <x v="188"/>
    <x v="3"/>
    <s v="L"/>
    <x v="4"/>
    <n v="22900"/>
    <n v="22900"/>
    <n v="229500"/>
  </r>
  <r>
    <x v="8"/>
    <x v="85"/>
    <x v="188"/>
    <x v="4"/>
    <s v="L"/>
    <x v="4"/>
    <n v="19900"/>
    <n v="19900"/>
    <n v="229500"/>
  </r>
  <r>
    <x v="8"/>
    <x v="85"/>
    <x v="189"/>
    <x v="1"/>
    <s v="L"/>
    <x v="4"/>
    <n v="29900"/>
    <n v="29900"/>
    <n v="208600"/>
  </r>
  <r>
    <x v="8"/>
    <x v="85"/>
    <x v="189"/>
    <x v="2"/>
    <s v="L"/>
    <x v="4"/>
    <n v="25900"/>
    <n v="25900"/>
    <n v="208600"/>
  </r>
  <r>
    <x v="8"/>
    <x v="85"/>
    <x v="189"/>
    <x v="3"/>
    <s v="L"/>
    <x v="4"/>
    <n v="22900"/>
    <n v="22900"/>
    <n v="229500"/>
  </r>
  <r>
    <x v="8"/>
    <x v="85"/>
    <x v="189"/>
    <x v="4"/>
    <s v="L"/>
    <x v="4"/>
    <n v="19900"/>
    <n v="19900"/>
    <n v="229500"/>
  </r>
  <r>
    <x v="8"/>
    <x v="86"/>
    <x v="190"/>
    <x v="1"/>
    <s v="L"/>
    <x v="4"/>
    <n v="35900"/>
    <n v="35900"/>
    <n v="231100"/>
  </r>
  <r>
    <x v="8"/>
    <x v="86"/>
    <x v="190"/>
    <x v="2"/>
    <s v="L"/>
    <x v="4"/>
    <n v="30900"/>
    <n v="30900"/>
    <n v="231100"/>
  </r>
  <r>
    <x v="8"/>
    <x v="86"/>
    <x v="190"/>
    <x v="3"/>
    <s v="L"/>
    <x v="4"/>
    <n v="26900"/>
    <n v="26900"/>
    <n v="254200"/>
  </r>
  <r>
    <x v="8"/>
    <x v="86"/>
    <x v="190"/>
    <x v="4"/>
    <s v="L"/>
    <x v="4"/>
    <n v="22900"/>
    <n v="22900"/>
    <n v="254200"/>
  </r>
  <r>
    <x v="8"/>
    <x v="86"/>
    <x v="191"/>
    <x v="1"/>
    <s v="L"/>
    <x v="4"/>
    <n v="35900"/>
    <n v="35900"/>
    <n v="231100"/>
  </r>
  <r>
    <x v="8"/>
    <x v="86"/>
    <x v="191"/>
    <x v="2"/>
    <s v="L"/>
    <x v="4"/>
    <n v="30900"/>
    <n v="30900"/>
    <n v="231100"/>
  </r>
  <r>
    <x v="8"/>
    <x v="86"/>
    <x v="191"/>
    <x v="3"/>
    <s v="L"/>
    <x v="4"/>
    <n v="26900"/>
    <n v="26900"/>
    <n v="254200"/>
  </r>
  <r>
    <x v="8"/>
    <x v="86"/>
    <x v="191"/>
    <x v="4"/>
    <s v="L"/>
    <x v="4"/>
    <n v="22900"/>
    <n v="22900"/>
    <n v="254200"/>
  </r>
  <r>
    <x v="8"/>
    <x v="85"/>
    <x v="192"/>
    <x v="1"/>
    <s v="L"/>
    <x v="4"/>
    <n v="31900"/>
    <n v="31900"/>
    <n v="219800"/>
  </r>
  <r>
    <x v="8"/>
    <x v="85"/>
    <x v="192"/>
    <x v="2"/>
    <s v="L"/>
    <x v="4"/>
    <n v="27900"/>
    <n v="27900"/>
    <n v="219800"/>
  </r>
  <r>
    <x v="8"/>
    <x v="85"/>
    <x v="192"/>
    <x v="3"/>
    <s v="L"/>
    <x v="4"/>
    <n v="24900"/>
    <n v="24900"/>
    <n v="241800"/>
  </r>
  <r>
    <x v="8"/>
    <x v="85"/>
    <x v="192"/>
    <x v="4"/>
    <s v="L"/>
    <x v="4"/>
    <n v="21900"/>
    <n v="21900"/>
    <n v="241800"/>
  </r>
  <r>
    <x v="8"/>
    <x v="85"/>
    <x v="193"/>
    <x v="1"/>
    <s v="L"/>
    <x v="4"/>
    <n v="31900"/>
    <n v="31900"/>
    <n v="219800"/>
  </r>
  <r>
    <x v="8"/>
    <x v="85"/>
    <x v="193"/>
    <x v="2"/>
    <s v="L"/>
    <x v="4"/>
    <n v="27900"/>
    <n v="27900"/>
    <n v="219800"/>
  </r>
  <r>
    <x v="8"/>
    <x v="85"/>
    <x v="193"/>
    <x v="3"/>
    <s v="L"/>
    <x v="4"/>
    <n v="24900"/>
    <n v="24900"/>
    <n v="241800"/>
  </r>
  <r>
    <x v="8"/>
    <x v="85"/>
    <x v="193"/>
    <x v="4"/>
    <s v="L"/>
    <x v="4"/>
    <n v="21900"/>
    <n v="21900"/>
    <n v="241800"/>
  </r>
  <r>
    <x v="8"/>
    <x v="86"/>
    <x v="194"/>
    <x v="1"/>
    <s v="L"/>
    <x v="4"/>
    <n v="37900"/>
    <n v="37900"/>
    <n v="239700"/>
  </r>
  <r>
    <x v="8"/>
    <x v="86"/>
    <x v="194"/>
    <x v="2"/>
    <s v="L"/>
    <x v="4"/>
    <n v="32900"/>
    <n v="32900"/>
    <n v="239700"/>
  </r>
  <r>
    <x v="8"/>
    <x v="86"/>
    <x v="194"/>
    <x v="3"/>
    <s v="L"/>
    <x v="4"/>
    <n v="28900"/>
    <n v="28900"/>
    <n v="263700"/>
  </r>
  <r>
    <x v="8"/>
    <x v="86"/>
    <x v="194"/>
    <x v="4"/>
    <s v="L"/>
    <x v="4"/>
    <n v="24900"/>
    <n v="24900"/>
    <n v="263700"/>
  </r>
  <r>
    <x v="8"/>
    <x v="86"/>
    <x v="195"/>
    <x v="1"/>
    <s v="L"/>
    <x v="4"/>
    <n v="37900"/>
    <n v="37900"/>
    <n v="239700"/>
  </r>
  <r>
    <x v="8"/>
    <x v="86"/>
    <x v="195"/>
    <x v="2"/>
    <s v="L"/>
    <x v="4"/>
    <n v="32900"/>
    <n v="32900"/>
    <n v="239700"/>
  </r>
  <r>
    <x v="8"/>
    <x v="86"/>
    <x v="195"/>
    <x v="3"/>
    <s v="L"/>
    <x v="4"/>
    <n v="28900"/>
    <n v="28900"/>
    <n v="263700"/>
  </r>
  <r>
    <x v="8"/>
    <x v="86"/>
    <x v="195"/>
    <x v="4"/>
    <s v="L"/>
    <x v="4"/>
    <n v="24900"/>
    <n v="24900"/>
    <n v="263700"/>
  </r>
  <r>
    <x v="8"/>
    <x v="87"/>
    <x v="196"/>
    <x v="1"/>
    <s v="L"/>
    <x v="4"/>
    <n v="38900"/>
    <n v="38900"/>
    <n v="239700"/>
  </r>
  <r>
    <x v="8"/>
    <x v="87"/>
    <x v="196"/>
    <x v="3"/>
    <s v="L"/>
    <x v="4"/>
    <n v="28900"/>
    <n v="28900"/>
    <n v="263700"/>
  </r>
  <r>
    <x v="8"/>
    <x v="87"/>
    <x v="196"/>
    <x v="4"/>
    <s v="L"/>
    <x v="4"/>
    <n v="23900"/>
    <n v="23900"/>
    <n v="263700"/>
  </r>
  <r>
    <x v="8"/>
    <x v="87"/>
    <x v="197"/>
    <x v="1"/>
    <s v="L"/>
    <x v="4"/>
    <n v="38900"/>
    <n v="38900"/>
    <n v="239700"/>
  </r>
  <r>
    <x v="8"/>
    <x v="87"/>
    <x v="197"/>
    <x v="3"/>
    <s v="L"/>
    <x v="4"/>
    <n v="28900"/>
    <n v="28900"/>
    <n v="263700"/>
  </r>
  <r>
    <x v="8"/>
    <x v="87"/>
    <x v="197"/>
    <x v="4"/>
    <s v="L"/>
    <x v="4"/>
    <n v="23900"/>
    <n v="23900"/>
    <n v="263700"/>
  </r>
  <r>
    <x v="8"/>
    <x v="87"/>
    <x v="198"/>
    <x v="1"/>
    <s v="L"/>
    <x v="4"/>
    <n v="42900"/>
    <n v="42900"/>
    <n v="251000"/>
  </r>
  <r>
    <x v="8"/>
    <x v="87"/>
    <x v="198"/>
    <x v="2"/>
    <s v="L"/>
    <x v="4"/>
    <n v="34900"/>
    <n v="34900"/>
    <n v="251000"/>
  </r>
  <r>
    <x v="8"/>
    <x v="87"/>
    <x v="198"/>
    <x v="3"/>
    <s v="L"/>
    <x v="4"/>
    <n v="32900"/>
    <n v="32900"/>
    <n v="276100"/>
  </r>
  <r>
    <x v="8"/>
    <x v="87"/>
    <x v="198"/>
    <x v="4"/>
    <s v="L"/>
    <x v="4"/>
    <n v="27900"/>
    <n v="27900"/>
    <n v="276100"/>
  </r>
  <r>
    <x v="8"/>
    <x v="87"/>
    <x v="199"/>
    <x v="1"/>
    <s v="L"/>
    <x v="4"/>
    <n v="42900"/>
    <n v="42900"/>
    <n v="251000"/>
  </r>
  <r>
    <x v="8"/>
    <x v="87"/>
    <x v="199"/>
    <x v="3"/>
    <s v="L"/>
    <x v="4"/>
    <n v="32900"/>
    <n v="32900"/>
    <n v="276100"/>
  </r>
  <r>
    <x v="8"/>
    <x v="87"/>
    <x v="199"/>
    <x v="4"/>
    <s v="L"/>
    <x v="4"/>
    <n v="27900"/>
    <n v="27900"/>
    <n v="276100"/>
  </r>
  <r>
    <x v="8"/>
    <x v="87"/>
    <x v="200"/>
    <x v="1"/>
    <s v="L"/>
    <x v="4"/>
    <n v="42900"/>
    <n v="42900"/>
    <n v="251000"/>
  </r>
  <r>
    <x v="8"/>
    <x v="87"/>
    <x v="200"/>
    <x v="3"/>
    <s v="L"/>
    <x v="4"/>
    <n v="32900"/>
    <n v="32900"/>
    <n v="276100"/>
  </r>
  <r>
    <x v="8"/>
    <x v="87"/>
    <x v="200"/>
    <x v="4"/>
    <s v="L"/>
    <x v="4"/>
    <n v="27900"/>
    <n v="27900"/>
    <n v="276100"/>
  </r>
  <r>
    <x v="8"/>
    <x v="87"/>
    <x v="201"/>
    <x v="1"/>
    <s v="L"/>
    <x v="4"/>
    <n v="45900"/>
    <n v="45900"/>
    <n v="273400"/>
  </r>
  <r>
    <x v="8"/>
    <x v="87"/>
    <x v="201"/>
    <x v="2"/>
    <s v="L"/>
    <x v="4"/>
    <n v="37900"/>
    <n v="37900"/>
    <n v="273400"/>
  </r>
  <r>
    <x v="8"/>
    <x v="87"/>
    <x v="201"/>
    <x v="3"/>
    <s v="L"/>
    <x v="4"/>
    <n v="35900"/>
    <n v="35900"/>
    <n v="300700"/>
  </r>
  <r>
    <x v="8"/>
    <x v="87"/>
    <x v="201"/>
    <x v="4"/>
    <s v="L"/>
    <x v="4"/>
    <n v="30900"/>
    <n v="30900"/>
    <n v="300700"/>
  </r>
  <r>
    <x v="8"/>
    <x v="87"/>
    <x v="202"/>
    <x v="1"/>
    <s v="L"/>
    <x v="4"/>
    <n v="45900"/>
    <n v="45900"/>
    <n v="273400"/>
  </r>
  <r>
    <x v="8"/>
    <x v="87"/>
    <x v="202"/>
    <x v="3"/>
    <s v="L"/>
    <x v="4"/>
    <n v="35900"/>
    <n v="35900"/>
    <n v="300700"/>
  </r>
  <r>
    <x v="8"/>
    <x v="87"/>
    <x v="202"/>
    <x v="4"/>
    <s v="L"/>
    <x v="4"/>
    <n v="30900"/>
    <n v="30900"/>
    <n v="300700"/>
  </r>
  <r>
    <x v="8"/>
    <x v="88"/>
    <x v="203"/>
    <x v="1"/>
    <s v="L"/>
    <x v="4"/>
    <n v="24900"/>
    <n v="24900"/>
    <n v="197400"/>
  </r>
  <r>
    <x v="8"/>
    <x v="88"/>
    <x v="203"/>
    <x v="3"/>
    <s v="L"/>
    <x v="4"/>
    <n v="18900"/>
    <n v="18900"/>
    <n v="217100"/>
  </r>
  <r>
    <x v="8"/>
    <x v="88"/>
    <x v="203"/>
    <x v="4"/>
    <s v="L"/>
    <x v="4"/>
    <n v="15900"/>
    <n v="15900"/>
    <n v="217100"/>
  </r>
  <r>
    <x v="8"/>
    <x v="88"/>
    <x v="204"/>
    <x v="1"/>
    <s v="L"/>
    <x v="4"/>
    <n v="24900"/>
    <n v="24900"/>
    <n v="197400"/>
  </r>
  <r>
    <x v="8"/>
    <x v="88"/>
    <x v="204"/>
    <x v="3"/>
    <s v="L"/>
    <x v="4"/>
    <n v="18900"/>
    <n v="18900"/>
    <n v="217100"/>
  </r>
  <r>
    <x v="8"/>
    <x v="88"/>
    <x v="204"/>
    <x v="4"/>
    <s v="L"/>
    <x v="4"/>
    <n v="15900"/>
    <n v="15900"/>
    <n v="217100"/>
  </r>
  <r>
    <x v="8"/>
    <x v="88"/>
    <x v="205"/>
    <x v="1"/>
    <s v="L"/>
    <x v="4"/>
    <n v="26900"/>
    <n v="26900"/>
    <n v="208600"/>
  </r>
  <r>
    <x v="8"/>
    <x v="88"/>
    <x v="205"/>
    <x v="3"/>
    <s v="L"/>
    <x v="4"/>
    <n v="20900"/>
    <n v="20900"/>
    <n v="229500"/>
  </r>
  <r>
    <x v="8"/>
    <x v="88"/>
    <x v="205"/>
    <x v="4"/>
    <s v="L"/>
    <x v="4"/>
    <n v="17900"/>
    <n v="17900"/>
    <n v="229500"/>
  </r>
  <r>
    <x v="8"/>
    <x v="88"/>
    <x v="206"/>
    <x v="1"/>
    <s v="L"/>
    <x v="4"/>
    <n v="26900"/>
    <n v="26900"/>
    <n v="208600"/>
  </r>
  <r>
    <x v="8"/>
    <x v="88"/>
    <x v="206"/>
    <x v="3"/>
    <s v="L"/>
    <x v="4"/>
    <n v="20900"/>
    <n v="20900"/>
    <n v="229500"/>
  </r>
  <r>
    <x v="8"/>
    <x v="88"/>
    <x v="206"/>
    <x v="4"/>
    <s v="L"/>
    <x v="4"/>
    <n v="17900"/>
    <n v="17900"/>
    <n v="229500"/>
  </r>
  <r>
    <x v="8"/>
    <x v="88"/>
    <x v="207"/>
    <x v="1"/>
    <s v="L"/>
    <x v="4"/>
    <n v="28900"/>
    <n v="28900"/>
    <n v="208600"/>
  </r>
  <r>
    <x v="8"/>
    <x v="88"/>
    <x v="207"/>
    <x v="3"/>
    <s v="L"/>
    <x v="4"/>
    <n v="22900"/>
    <n v="22900"/>
    <n v="229500"/>
  </r>
  <r>
    <x v="8"/>
    <x v="88"/>
    <x v="207"/>
    <x v="4"/>
    <s v="L"/>
    <x v="4"/>
    <n v="19900"/>
    <n v="19900"/>
    <n v="229500"/>
  </r>
  <r>
    <x v="8"/>
    <x v="88"/>
    <x v="208"/>
    <x v="1"/>
    <s v="L"/>
    <x v="4"/>
    <n v="28900"/>
    <n v="28900"/>
    <n v="208600"/>
  </r>
  <r>
    <x v="8"/>
    <x v="88"/>
    <x v="208"/>
    <x v="3"/>
    <s v="L"/>
    <x v="4"/>
    <n v="22900"/>
    <n v="22900"/>
    <n v="229500"/>
  </r>
  <r>
    <x v="8"/>
    <x v="88"/>
    <x v="208"/>
    <x v="4"/>
    <s v="L"/>
    <x v="4"/>
    <n v="19900"/>
    <n v="19900"/>
    <n v="229500"/>
  </r>
  <r>
    <x v="8"/>
    <x v="77"/>
    <x v="209"/>
    <x v="1"/>
    <s v="L"/>
    <x v="4"/>
    <n v="15900"/>
    <n v="15900"/>
    <n v="197400"/>
  </r>
  <r>
    <x v="8"/>
    <x v="77"/>
    <x v="209"/>
    <x v="3"/>
    <s v="L"/>
    <x v="4"/>
    <n v="13900"/>
    <n v="13900"/>
    <n v="217100"/>
  </r>
  <r>
    <x v="8"/>
    <x v="77"/>
    <x v="209"/>
    <x v="4"/>
    <s v="L"/>
    <x v="4"/>
    <n v="12900"/>
    <n v="12900"/>
    <n v="217100"/>
  </r>
  <r>
    <x v="8"/>
    <x v="77"/>
    <x v="210"/>
    <x v="1"/>
    <s v="L"/>
    <x v="4"/>
    <n v="15900"/>
    <n v="15900"/>
    <n v="197400"/>
  </r>
  <r>
    <x v="8"/>
    <x v="77"/>
    <x v="210"/>
    <x v="3"/>
    <s v="L"/>
    <x v="4"/>
    <n v="13900"/>
    <n v="13900"/>
    <n v="217100"/>
  </r>
  <r>
    <x v="8"/>
    <x v="77"/>
    <x v="210"/>
    <x v="4"/>
    <s v="L"/>
    <x v="4"/>
    <n v="12900"/>
    <n v="12900"/>
    <n v="217100"/>
  </r>
  <r>
    <x v="8"/>
    <x v="77"/>
    <x v="211"/>
    <x v="1"/>
    <s v="L"/>
    <x v="4"/>
    <n v="16900"/>
    <n v="16900"/>
    <n v="197400"/>
  </r>
  <r>
    <x v="8"/>
    <x v="77"/>
    <x v="211"/>
    <x v="3"/>
    <s v="L"/>
    <x v="4"/>
    <n v="14900"/>
    <n v="14900"/>
    <n v="217100"/>
  </r>
  <r>
    <x v="8"/>
    <x v="77"/>
    <x v="211"/>
    <x v="4"/>
    <s v="L"/>
    <x v="4"/>
    <n v="13900"/>
    <n v="13900"/>
    <n v="217100"/>
  </r>
  <r>
    <x v="8"/>
    <x v="77"/>
    <x v="212"/>
    <x v="1"/>
    <s v="L"/>
    <x v="4"/>
    <n v="16900"/>
    <n v="16900"/>
    <n v="197400"/>
  </r>
  <r>
    <x v="8"/>
    <x v="77"/>
    <x v="212"/>
    <x v="3"/>
    <s v="L"/>
    <x v="4"/>
    <n v="14900"/>
    <n v="14900"/>
    <n v="217100"/>
  </r>
  <r>
    <x v="8"/>
    <x v="77"/>
    <x v="212"/>
    <x v="4"/>
    <s v="L"/>
    <x v="4"/>
    <n v="13900"/>
    <n v="13900"/>
    <n v="217100"/>
  </r>
  <r>
    <x v="8"/>
    <x v="77"/>
    <x v="213"/>
    <x v="1"/>
    <s v="L"/>
    <x v="4"/>
    <n v="17900"/>
    <n v="17900"/>
    <n v="197400"/>
  </r>
  <r>
    <x v="8"/>
    <x v="77"/>
    <x v="213"/>
    <x v="3"/>
    <s v="L"/>
    <x v="4"/>
    <n v="15900"/>
    <n v="15900"/>
    <n v="217100"/>
  </r>
  <r>
    <x v="8"/>
    <x v="77"/>
    <x v="213"/>
    <x v="4"/>
    <s v="L"/>
    <x v="4"/>
    <n v="14900"/>
    <n v="14900"/>
    <n v="217100"/>
  </r>
  <r>
    <x v="8"/>
    <x v="77"/>
    <x v="214"/>
    <x v="1"/>
    <s v="L"/>
    <x v="4"/>
    <n v="17900"/>
    <n v="17900"/>
    <n v="197400"/>
  </r>
  <r>
    <x v="8"/>
    <x v="77"/>
    <x v="214"/>
    <x v="3"/>
    <s v="L"/>
    <x v="4"/>
    <n v="15900"/>
    <n v="15900"/>
    <n v="217100"/>
  </r>
  <r>
    <x v="8"/>
    <x v="77"/>
    <x v="214"/>
    <x v="4"/>
    <s v="L"/>
    <x v="4"/>
    <n v="14900"/>
    <n v="14900"/>
    <n v="217100"/>
  </r>
  <r>
    <x v="8"/>
    <x v="77"/>
    <x v="215"/>
    <x v="1"/>
    <s v="L"/>
    <x v="4"/>
    <n v="18900"/>
    <n v="18900"/>
    <n v="197400"/>
  </r>
  <r>
    <x v="8"/>
    <x v="77"/>
    <x v="215"/>
    <x v="3"/>
    <s v="L"/>
    <x v="4"/>
    <n v="16900"/>
    <n v="16900"/>
    <n v="217100"/>
  </r>
  <r>
    <x v="8"/>
    <x v="77"/>
    <x v="215"/>
    <x v="4"/>
    <s v="L"/>
    <x v="4"/>
    <n v="15900"/>
    <n v="15900"/>
    <n v="217100"/>
  </r>
  <r>
    <x v="8"/>
    <x v="77"/>
    <x v="216"/>
    <x v="1"/>
    <s v="L"/>
    <x v="4"/>
    <n v="18900"/>
    <n v="18900"/>
    <n v="197400"/>
  </r>
  <r>
    <x v="8"/>
    <x v="77"/>
    <x v="216"/>
    <x v="3"/>
    <s v="L"/>
    <x v="4"/>
    <n v="16900"/>
    <n v="16900"/>
    <n v="217100"/>
  </r>
  <r>
    <x v="8"/>
    <x v="77"/>
    <x v="216"/>
    <x v="4"/>
    <s v="L"/>
    <x v="4"/>
    <n v="15900"/>
    <n v="15900"/>
    <n v="217100"/>
  </r>
  <r>
    <x v="8"/>
    <x v="89"/>
    <x v="217"/>
    <x v="1"/>
    <s v="L"/>
    <x v="4"/>
    <n v="40900"/>
    <n v="40900"/>
    <n v="251000"/>
  </r>
  <r>
    <x v="8"/>
    <x v="89"/>
    <x v="217"/>
    <x v="3"/>
    <s v="L"/>
    <x v="4"/>
    <n v="30900"/>
    <n v="30900"/>
    <n v="276100"/>
  </r>
  <r>
    <x v="8"/>
    <x v="89"/>
    <x v="217"/>
    <x v="4"/>
    <s v="L"/>
    <x v="4"/>
    <n v="25900"/>
    <n v="25900"/>
    <n v="276100"/>
  </r>
  <r>
    <x v="8"/>
    <x v="89"/>
    <x v="218"/>
    <x v="1"/>
    <s v="L"/>
    <x v="4"/>
    <n v="40900"/>
    <n v="40900"/>
    <n v="251000"/>
  </r>
  <r>
    <x v="8"/>
    <x v="89"/>
    <x v="218"/>
    <x v="3"/>
    <s v="L"/>
    <x v="4"/>
    <n v="30900"/>
    <n v="30900"/>
    <n v="276100"/>
  </r>
  <r>
    <x v="8"/>
    <x v="89"/>
    <x v="218"/>
    <x v="4"/>
    <s v="L"/>
    <x v="4"/>
    <n v="25900"/>
    <n v="25900"/>
    <n v="276100"/>
  </r>
  <r>
    <x v="8"/>
    <x v="89"/>
    <x v="219"/>
    <x v="1"/>
    <s v="L"/>
    <x v="4"/>
    <n v="33900"/>
    <n v="33900"/>
    <n v="231100"/>
  </r>
  <r>
    <x v="8"/>
    <x v="89"/>
    <x v="219"/>
    <x v="3"/>
    <s v="L"/>
    <x v="4"/>
    <n v="27900"/>
    <n v="27900"/>
    <n v="254200"/>
  </r>
  <r>
    <x v="8"/>
    <x v="89"/>
    <x v="219"/>
    <x v="4"/>
    <s v="L"/>
    <x v="4"/>
    <n v="24900"/>
    <n v="24900"/>
    <n v="254200"/>
  </r>
  <r>
    <x v="8"/>
    <x v="89"/>
    <x v="220"/>
    <x v="1"/>
    <s v="L"/>
    <x v="4"/>
    <n v="33900"/>
    <n v="33900"/>
    <n v="231100"/>
  </r>
  <r>
    <x v="8"/>
    <x v="89"/>
    <x v="220"/>
    <x v="3"/>
    <s v="L"/>
    <x v="4"/>
    <n v="27900"/>
    <n v="27900"/>
    <n v="254200"/>
  </r>
  <r>
    <x v="8"/>
    <x v="89"/>
    <x v="220"/>
    <x v="4"/>
    <s v="L"/>
    <x v="4"/>
    <n v="24900"/>
    <n v="24900"/>
    <n v="254200"/>
  </r>
  <r>
    <x v="8"/>
    <x v="89"/>
    <x v="221"/>
    <x v="1"/>
    <s v="L"/>
    <x v="4"/>
    <n v="31900"/>
    <n v="31900"/>
    <n v="231100"/>
  </r>
  <r>
    <x v="8"/>
    <x v="89"/>
    <x v="221"/>
    <x v="3"/>
    <s v="L"/>
    <x v="4"/>
    <n v="25900"/>
    <n v="25900"/>
    <n v="254200"/>
  </r>
  <r>
    <x v="8"/>
    <x v="89"/>
    <x v="221"/>
    <x v="4"/>
    <s v="L"/>
    <x v="4"/>
    <n v="22900"/>
    <n v="22900"/>
    <n v="254200"/>
  </r>
  <r>
    <x v="8"/>
    <x v="89"/>
    <x v="222"/>
    <x v="1"/>
    <s v="L"/>
    <x v="4"/>
    <n v="31900"/>
    <n v="31900"/>
    <n v="231100"/>
  </r>
  <r>
    <x v="8"/>
    <x v="89"/>
    <x v="222"/>
    <x v="3"/>
    <s v="L"/>
    <x v="4"/>
    <n v="25900"/>
    <n v="25900"/>
    <n v="254200"/>
  </r>
  <r>
    <x v="8"/>
    <x v="89"/>
    <x v="222"/>
    <x v="4"/>
    <s v="L"/>
    <x v="4"/>
    <n v="22900"/>
    <n v="22900"/>
    <n v="254200"/>
  </r>
  <r>
    <x v="8"/>
    <x v="89"/>
    <x v="223"/>
    <x v="1"/>
    <s v="L"/>
    <x v="4"/>
    <n v="31900"/>
    <n v="31900"/>
    <n v="231100"/>
  </r>
  <r>
    <x v="8"/>
    <x v="89"/>
    <x v="223"/>
    <x v="3"/>
    <s v="L"/>
    <x v="4"/>
    <n v="25900"/>
    <n v="25900"/>
    <n v="254200"/>
  </r>
  <r>
    <x v="8"/>
    <x v="89"/>
    <x v="223"/>
    <x v="4"/>
    <s v="L"/>
    <x v="4"/>
    <n v="22900"/>
    <n v="22900"/>
    <n v="254200"/>
  </r>
  <r>
    <x v="8"/>
    <x v="89"/>
    <x v="224"/>
    <x v="1"/>
    <s v="L"/>
    <x v="4"/>
    <n v="29900"/>
    <n v="29900"/>
    <n v="219800"/>
  </r>
  <r>
    <x v="8"/>
    <x v="89"/>
    <x v="224"/>
    <x v="3"/>
    <s v="L"/>
    <x v="4"/>
    <n v="23900"/>
    <n v="23900"/>
    <n v="241800"/>
  </r>
  <r>
    <x v="8"/>
    <x v="89"/>
    <x v="224"/>
    <x v="4"/>
    <s v="L"/>
    <x v="4"/>
    <n v="20900"/>
    <n v="20900"/>
    <n v="241800"/>
  </r>
  <r>
    <x v="8"/>
    <x v="89"/>
    <x v="225"/>
    <x v="1"/>
    <s v="L"/>
    <x v="4"/>
    <n v="29900"/>
    <n v="29900"/>
    <n v="219800"/>
  </r>
  <r>
    <x v="8"/>
    <x v="89"/>
    <x v="225"/>
    <x v="3"/>
    <s v="L"/>
    <x v="4"/>
    <n v="23900"/>
    <n v="23900"/>
    <n v="241800"/>
  </r>
  <r>
    <x v="8"/>
    <x v="89"/>
    <x v="225"/>
    <x v="4"/>
    <s v="L"/>
    <x v="4"/>
    <n v="20900"/>
    <n v="20900"/>
    <n v="241800"/>
  </r>
  <r>
    <x v="8"/>
    <x v="90"/>
    <x v="226"/>
    <x v="1"/>
    <s v="L"/>
    <x v="4"/>
    <n v="34900"/>
    <n v="34900"/>
    <n v="231100"/>
  </r>
  <r>
    <x v="8"/>
    <x v="90"/>
    <x v="226"/>
    <x v="3"/>
    <s v="L"/>
    <x v="4"/>
    <n v="25900"/>
    <n v="25900"/>
    <n v="254200"/>
  </r>
  <r>
    <x v="8"/>
    <x v="90"/>
    <x v="226"/>
    <x v="4"/>
    <s v="L"/>
    <x v="4"/>
    <n v="21900"/>
    <n v="21900"/>
    <n v="254200"/>
  </r>
  <r>
    <x v="8"/>
    <x v="90"/>
    <x v="227"/>
    <x v="1"/>
    <s v="L"/>
    <x v="4"/>
    <n v="34900"/>
    <n v="34900"/>
    <n v="231100"/>
  </r>
  <r>
    <x v="8"/>
    <x v="90"/>
    <x v="227"/>
    <x v="3"/>
    <s v="L"/>
    <x v="4"/>
    <n v="25900"/>
    <n v="25900"/>
    <n v="254200"/>
  </r>
  <r>
    <x v="8"/>
    <x v="90"/>
    <x v="227"/>
    <x v="4"/>
    <s v="L"/>
    <x v="4"/>
    <n v="21900"/>
    <n v="21900"/>
    <n v="254200"/>
  </r>
  <r>
    <x v="8"/>
    <x v="90"/>
    <x v="228"/>
    <x v="1"/>
    <s v="L"/>
    <x v="4"/>
    <n v="34900"/>
    <n v="34900"/>
    <n v="231100"/>
  </r>
  <r>
    <x v="8"/>
    <x v="90"/>
    <x v="228"/>
    <x v="3"/>
    <s v="L"/>
    <x v="4"/>
    <n v="25900"/>
    <n v="25900"/>
    <n v="254200"/>
  </r>
  <r>
    <x v="8"/>
    <x v="90"/>
    <x v="228"/>
    <x v="4"/>
    <s v="L"/>
    <x v="4"/>
    <n v="21900"/>
    <n v="21900"/>
    <n v="254200"/>
  </r>
  <r>
    <x v="8"/>
    <x v="90"/>
    <x v="229"/>
    <x v="1"/>
    <s v="L"/>
    <x v="4"/>
    <n v="38900"/>
    <n v="38900"/>
    <n v="239700"/>
  </r>
  <r>
    <x v="8"/>
    <x v="90"/>
    <x v="229"/>
    <x v="3"/>
    <s v="L"/>
    <x v="4"/>
    <n v="29900"/>
    <n v="29900"/>
    <n v="263700"/>
  </r>
  <r>
    <x v="8"/>
    <x v="90"/>
    <x v="229"/>
    <x v="4"/>
    <s v="L"/>
    <x v="4"/>
    <n v="24900"/>
    <n v="24900"/>
    <n v="263700"/>
  </r>
  <r>
    <x v="8"/>
    <x v="90"/>
    <x v="230"/>
    <x v="1"/>
    <s v="L"/>
    <x v="4"/>
    <n v="38900"/>
    <n v="38900"/>
    <n v="239700"/>
  </r>
  <r>
    <x v="8"/>
    <x v="90"/>
    <x v="230"/>
    <x v="3"/>
    <s v="L"/>
    <x v="4"/>
    <n v="29900"/>
    <n v="29900"/>
    <n v="263700"/>
  </r>
  <r>
    <x v="8"/>
    <x v="90"/>
    <x v="230"/>
    <x v="4"/>
    <s v="L"/>
    <x v="4"/>
    <n v="24900"/>
    <n v="24900"/>
    <n v="263700"/>
  </r>
  <r>
    <x v="8"/>
    <x v="90"/>
    <x v="231"/>
    <x v="1"/>
    <s v="L"/>
    <x v="4"/>
    <n v="38900"/>
    <n v="38900"/>
    <n v="239700"/>
  </r>
  <r>
    <x v="8"/>
    <x v="90"/>
    <x v="231"/>
    <x v="3"/>
    <s v="L"/>
    <x v="4"/>
    <n v="29900"/>
    <n v="29900"/>
    <n v="263700"/>
  </r>
  <r>
    <x v="8"/>
    <x v="90"/>
    <x v="231"/>
    <x v="4"/>
    <s v="L"/>
    <x v="4"/>
    <n v="24900"/>
    <n v="24900"/>
    <n v="263700"/>
  </r>
  <r>
    <x v="8"/>
    <x v="90"/>
    <x v="232"/>
    <x v="1"/>
    <s v="L"/>
    <x v="4"/>
    <n v="40900"/>
    <n v="40900"/>
    <n v="251000"/>
  </r>
  <r>
    <x v="8"/>
    <x v="90"/>
    <x v="232"/>
    <x v="3"/>
    <s v="L"/>
    <x v="4"/>
    <n v="31900"/>
    <n v="31900"/>
    <n v="276100"/>
  </r>
  <r>
    <x v="8"/>
    <x v="90"/>
    <x v="232"/>
    <x v="4"/>
    <s v="L"/>
    <x v="4"/>
    <n v="26900"/>
    <n v="26900"/>
    <n v="276100"/>
  </r>
  <r>
    <x v="8"/>
    <x v="90"/>
    <x v="233"/>
    <x v="1"/>
    <s v="L"/>
    <x v="4"/>
    <n v="40900"/>
    <n v="40900"/>
    <n v="251000"/>
  </r>
  <r>
    <x v="8"/>
    <x v="90"/>
    <x v="233"/>
    <x v="3"/>
    <s v="L"/>
    <x v="4"/>
    <n v="31900"/>
    <n v="31900"/>
    <n v="276100"/>
  </r>
  <r>
    <x v="8"/>
    <x v="90"/>
    <x v="233"/>
    <x v="4"/>
    <s v="L"/>
    <x v="4"/>
    <n v="26900"/>
    <n v="26900"/>
    <n v="276100"/>
  </r>
  <r>
    <x v="8"/>
    <x v="90"/>
    <x v="234"/>
    <x v="1"/>
    <s v="L"/>
    <x v="4"/>
    <n v="40900"/>
    <n v="40900"/>
    <n v="251000"/>
  </r>
  <r>
    <x v="8"/>
    <x v="90"/>
    <x v="234"/>
    <x v="3"/>
    <s v="L"/>
    <x v="4"/>
    <n v="31900"/>
    <n v="31900"/>
    <n v="276100"/>
  </r>
  <r>
    <x v="8"/>
    <x v="90"/>
    <x v="234"/>
    <x v="4"/>
    <s v="L"/>
    <x v="4"/>
    <n v="26900"/>
    <n v="26900"/>
    <n v="276100"/>
  </r>
  <r>
    <x v="8"/>
    <x v="91"/>
    <x v="235"/>
    <x v="1"/>
    <s v="L"/>
    <x v="4"/>
    <n v="32900"/>
    <n v="32900"/>
    <n v="231100"/>
  </r>
  <r>
    <x v="8"/>
    <x v="91"/>
    <x v="235"/>
    <x v="3"/>
    <s v="L"/>
    <x v="4"/>
    <n v="25900"/>
    <n v="25900"/>
    <n v="254200"/>
  </r>
  <r>
    <x v="8"/>
    <x v="91"/>
    <x v="235"/>
    <x v="4"/>
    <s v="L"/>
    <x v="4"/>
    <n v="22900"/>
    <n v="22900"/>
    <n v="254200"/>
  </r>
  <r>
    <x v="8"/>
    <x v="91"/>
    <x v="236"/>
    <x v="1"/>
    <s v="L"/>
    <x v="4"/>
    <n v="29900"/>
    <n v="29900"/>
    <n v="208600"/>
  </r>
  <r>
    <x v="8"/>
    <x v="91"/>
    <x v="236"/>
    <x v="3"/>
    <s v="L"/>
    <x v="4"/>
    <n v="22900"/>
    <n v="22900"/>
    <n v="229500"/>
  </r>
  <r>
    <x v="8"/>
    <x v="91"/>
    <x v="236"/>
    <x v="4"/>
    <s v="L"/>
    <x v="4"/>
    <n v="19900"/>
    <n v="19900"/>
    <n v="229500"/>
  </r>
  <r>
    <x v="8"/>
    <x v="91"/>
    <x v="237"/>
    <x v="1"/>
    <s v="L"/>
    <x v="4"/>
    <n v="29900"/>
    <n v="29900"/>
    <n v="208600"/>
  </r>
  <r>
    <x v="8"/>
    <x v="91"/>
    <x v="237"/>
    <x v="3"/>
    <s v="L"/>
    <x v="4"/>
    <n v="22900"/>
    <n v="22900"/>
    <n v="229500"/>
  </r>
  <r>
    <x v="8"/>
    <x v="91"/>
    <x v="237"/>
    <x v="4"/>
    <s v="L"/>
    <x v="4"/>
    <n v="19900"/>
    <n v="19900"/>
    <n v="229500"/>
  </r>
  <r>
    <x v="8"/>
    <x v="91"/>
    <x v="238"/>
    <x v="1"/>
    <s v="L"/>
    <x v="4"/>
    <n v="29900"/>
    <n v="29900"/>
    <n v="208600"/>
  </r>
  <r>
    <x v="8"/>
    <x v="91"/>
    <x v="238"/>
    <x v="3"/>
    <s v="L"/>
    <x v="4"/>
    <n v="22900"/>
    <n v="22900"/>
    <n v="229500"/>
  </r>
  <r>
    <x v="8"/>
    <x v="91"/>
    <x v="238"/>
    <x v="4"/>
    <s v="L"/>
    <x v="4"/>
    <n v="19900"/>
    <n v="19900"/>
    <n v="229500"/>
  </r>
  <r>
    <x v="8"/>
    <x v="91"/>
    <x v="239"/>
    <x v="1"/>
    <s v="L"/>
    <x v="4"/>
    <n v="28900"/>
    <n v="28900"/>
    <n v="208600"/>
  </r>
  <r>
    <x v="8"/>
    <x v="91"/>
    <x v="239"/>
    <x v="3"/>
    <s v="L"/>
    <x v="4"/>
    <n v="21900"/>
    <n v="21900"/>
    <n v="229500"/>
  </r>
  <r>
    <x v="8"/>
    <x v="91"/>
    <x v="239"/>
    <x v="4"/>
    <s v="L"/>
    <x v="4"/>
    <n v="18900"/>
    <n v="18900"/>
    <n v="229500"/>
  </r>
  <r>
    <x v="9"/>
    <x v="92"/>
    <x v="240"/>
    <x v="1"/>
    <s v="L"/>
    <x v="7"/>
    <n v="86900"/>
    <n v="86900"/>
    <n v="384300"/>
  </r>
  <r>
    <x v="9"/>
    <x v="92"/>
    <x v="240"/>
    <x v="1"/>
    <s v="L"/>
    <x v="4"/>
    <n v="78900"/>
    <n v="78900"/>
    <n v="361900"/>
  </r>
  <r>
    <x v="9"/>
    <x v="92"/>
    <x v="240"/>
    <x v="2"/>
    <s v="L"/>
    <x v="7"/>
    <n v="78900"/>
    <n v="78900"/>
    <n v="422700"/>
  </r>
  <r>
    <x v="9"/>
    <x v="92"/>
    <x v="240"/>
    <x v="2"/>
    <s v="L"/>
    <x v="4"/>
    <n v="70900"/>
    <n v="70900"/>
    <n v="398100"/>
  </r>
  <r>
    <x v="9"/>
    <x v="92"/>
    <x v="240"/>
    <x v="3"/>
    <s v="L"/>
    <x v="7"/>
    <n v="70900"/>
    <n v="70900"/>
    <n v="422700"/>
  </r>
  <r>
    <x v="9"/>
    <x v="92"/>
    <x v="240"/>
    <x v="3"/>
    <s v="L"/>
    <x v="4"/>
    <n v="62900"/>
    <n v="62900"/>
    <n v="398100"/>
  </r>
  <r>
    <x v="9"/>
    <x v="92"/>
    <x v="241"/>
    <x v="1"/>
    <s v="L"/>
    <x v="7"/>
    <n v="49900"/>
    <n v="49900"/>
    <n v="294400"/>
  </r>
  <r>
    <x v="9"/>
    <x v="92"/>
    <x v="241"/>
    <x v="1"/>
    <s v="L"/>
    <x v="4"/>
    <n v="44900"/>
    <n v="44900"/>
    <n v="283200"/>
  </r>
  <r>
    <x v="9"/>
    <x v="92"/>
    <x v="241"/>
    <x v="2"/>
    <s v="L"/>
    <x v="7"/>
    <n v="44900"/>
    <n v="44900"/>
    <n v="323800"/>
  </r>
  <r>
    <x v="9"/>
    <x v="92"/>
    <x v="241"/>
    <x v="2"/>
    <s v="L"/>
    <x v="4"/>
    <n v="39900"/>
    <n v="39900"/>
    <n v="311500"/>
  </r>
  <r>
    <x v="9"/>
    <x v="92"/>
    <x v="241"/>
    <x v="3"/>
    <s v="L"/>
    <x v="7"/>
    <n v="39900"/>
    <n v="39900"/>
    <n v="323800"/>
  </r>
  <r>
    <x v="9"/>
    <x v="92"/>
    <x v="241"/>
    <x v="3"/>
    <s v="L"/>
    <x v="4"/>
    <n v="34900"/>
    <n v="34900"/>
    <n v="311500"/>
  </r>
  <r>
    <x v="9"/>
    <x v="93"/>
    <x v="242"/>
    <x v="1"/>
    <s v="L"/>
    <x v="7"/>
    <n v="29900"/>
    <n v="29900"/>
    <n v="238200"/>
  </r>
  <r>
    <x v="9"/>
    <x v="93"/>
    <x v="242"/>
    <x v="1"/>
    <s v="L"/>
    <x v="4"/>
    <n v="26900"/>
    <n v="26900"/>
    <n v="229600"/>
  </r>
  <r>
    <x v="9"/>
    <x v="93"/>
    <x v="242"/>
    <x v="2"/>
    <s v="L"/>
    <x v="7"/>
    <n v="25900"/>
    <n v="25900"/>
    <n v="262000"/>
  </r>
  <r>
    <x v="9"/>
    <x v="93"/>
    <x v="242"/>
    <x v="2"/>
    <s v="L"/>
    <x v="4"/>
    <n v="22900"/>
    <n v="22900"/>
    <n v="252600"/>
  </r>
  <r>
    <x v="9"/>
    <x v="93"/>
    <x v="242"/>
    <x v="3"/>
    <s v="L"/>
    <x v="7"/>
    <n v="22900"/>
    <n v="22900"/>
    <n v="262000"/>
  </r>
  <r>
    <x v="9"/>
    <x v="93"/>
    <x v="242"/>
    <x v="3"/>
    <s v="L"/>
    <x v="4"/>
    <n v="19900"/>
    <n v="19900"/>
    <n v="252600"/>
  </r>
  <r>
    <x v="9"/>
    <x v="94"/>
    <x v="243"/>
    <x v="1"/>
    <s v="L"/>
    <x v="7"/>
    <n v="22900"/>
    <n v="22900"/>
    <n v="207100"/>
  </r>
  <r>
    <x v="9"/>
    <x v="94"/>
    <x v="243"/>
    <x v="1"/>
    <s v="L"/>
    <x v="4"/>
    <n v="19900"/>
    <n v="19900"/>
    <n v="195900"/>
  </r>
  <r>
    <x v="9"/>
    <x v="94"/>
    <x v="243"/>
    <x v="2"/>
    <s v="L"/>
    <x v="7"/>
    <n v="20900"/>
    <n v="20900"/>
    <n v="227800"/>
  </r>
  <r>
    <x v="9"/>
    <x v="94"/>
    <x v="243"/>
    <x v="2"/>
    <s v="L"/>
    <x v="4"/>
    <n v="17900"/>
    <n v="17900"/>
    <n v="215500"/>
  </r>
  <r>
    <x v="9"/>
    <x v="94"/>
    <x v="243"/>
    <x v="3"/>
    <s v="L"/>
    <x v="7"/>
    <n v="19400"/>
    <n v="19400"/>
    <n v="227800"/>
  </r>
  <r>
    <x v="9"/>
    <x v="94"/>
    <x v="243"/>
    <x v="3"/>
    <s v="L"/>
    <x v="4"/>
    <n v="16400"/>
    <n v="16400"/>
    <n v="215500"/>
  </r>
  <r>
    <x v="9"/>
    <x v="95"/>
    <x v="244"/>
    <x v="1"/>
    <s v="L"/>
    <x v="7"/>
    <n v="26900"/>
    <n v="26900"/>
    <n v="229600"/>
  </r>
  <r>
    <x v="9"/>
    <x v="95"/>
    <x v="244"/>
    <x v="1"/>
    <s v="L"/>
    <x v="4"/>
    <n v="23900"/>
    <n v="23900"/>
    <n v="218300"/>
  </r>
  <r>
    <x v="9"/>
    <x v="95"/>
    <x v="244"/>
    <x v="2"/>
    <s v="L"/>
    <x v="7"/>
    <n v="23900"/>
    <n v="23900"/>
    <n v="252600"/>
  </r>
  <r>
    <x v="9"/>
    <x v="95"/>
    <x v="244"/>
    <x v="2"/>
    <s v="L"/>
    <x v="4"/>
    <n v="20900"/>
    <n v="20900"/>
    <n v="240100"/>
  </r>
  <r>
    <x v="9"/>
    <x v="95"/>
    <x v="244"/>
    <x v="3"/>
    <s v="L"/>
    <x v="7"/>
    <n v="21900"/>
    <n v="21900"/>
    <n v="252600"/>
  </r>
  <r>
    <x v="9"/>
    <x v="95"/>
    <x v="244"/>
    <x v="3"/>
    <s v="L"/>
    <x v="4"/>
    <n v="18900"/>
    <n v="18900"/>
    <n v="240100"/>
  </r>
  <r>
    <x v="9"/>
    <x v="96"/>
    <x v="245"/>
    <x v="1"/>
    <s v="L"/>
    <x v="7"/>
    <n v="19400"/>
    <n v="19400"/>
    <n v="195900"/>
  </r>
  <r>
    <x v="9"/>
    <x v="96"/>
    <x v="245"/>
    <x v="1"/>
    <s v="L"/>
    <x v="4"/>
    <n v="16400"/>
    <n v="16400"/>
    <n v="195900"/>
  </r>
  <r>
    <x v="9"/>
    <x v="96"/>
    <x v="245"/>
    <x v="2"/>
    <s v="L"/>
    <x v="7"/>
    <n v="17400"/>
    <n v="17400"/>
    <n v="215500"/>
  </r>
  <r>
    <x v="9"/>
    <x v="96"/>
    <x v="245"/>
    <x v="2"/>
    <s v="L"/>
    <x v="4"/>
    <n v="14400"/>
    <n v="14400"/>
    <n v="215500"/>
  </r>
  <r>
    <x v="9"/>
    <x v="96"/>
    <x v="245"/>
    <x v="3"/>
    <s v="L"/>
    <x v="7"/>
    <n v="15900"/>
    <n v="15900"/>
    <n v="215500"/>
  </r>
  <r>
    <x v="9"/>
    <x v="96"/>
    <x v="245"/>
    <x v="3"/>
    <s v="L"/>
    <x v="4"/>
    <n v="12900"/>
    <n v="12900"/>
    <n v="215500"/>
  </r>
  <r>
    <x v="9"/>
    <x v="97"/>
    <x v="246"/>
    <x v="1"/>
    <s v="L"/>
    <x v="7"/>
    <n v="19900"/>
    <n v="19900"/>
    <n v="195900"/>
  </r>
  <r>
    <x v="9"/>
    <x v="97"/>
    <x v="246"/>
    <x v="1"/>
    <s v="L"/>
    <x v="4"/>
    <n v="17900"/>
    <n v="17900"/>
    <n v="195900"/>
  </r>
  <r>
    <x v="9"/>
    <x v="97"/>
    <x v="246"/>
    <x v="2"/>
    <s v="L"/>
    <x v="7"/>
    <n v="17900"/>
    <n v="17900"/>
    <n v="215500"/>
  </r>
  <r>
    <x v="9"/>
    <x v="97"/>
    <x v="246"/>
    <x v="2"/>
    <s v="L"/>
    <x v="4"/>
    <n v="15900"/>
    <n v="15900"/>
    <n v="215500"/>
  </r>
  <r>
    <x v="9"/>
    <x v="97"/>
    <x v="246"/>
    <x v="3"/>
    <s v="L"/>
    <x v="7"/>
    <n v="16400"/>
    <n v="16400"/>
    <n v="215500"/>
  </r>
  <r>
    <x v="9"/>
    <x v="97"/>
    <x v="246"/>
    <x v="3"/>
    <s v="L"/>
    <x v="4"/>
    <n v="14400"/>
    <n v="14400"/>
    <n v="215500"/>
  </r>
  <r>
    <x v="9"/>
    <x v="98"/>
    <x v="247"/>
    <x v="1"/>
    <s v="L"/>
    <x v="7"/>
    <n v="34900"/>
    <n v="34900"/>
    <n v="260700"/>
  </r>
  <r>
    <x v="9"/>
    <x v="98"/>
    <x v="247"/>
    <x v="1"/>
    <s v="L"/>
    <x v="4"/>
    <n v="29900"/>
    <n v="29900"/>
    <n v="238200"/>
  </r>
  <r>
    <x v="9"/>
    <x v="98"/>
    <x v="247"/>
    <x v="2"/>
    <s v="L"/>
    <x v="7"/>
    <n v="30900"/>
    <n v="30900"/>
    <n v="286800"/>
  </r>
  <r>
    <x v="9"/>
    <x v="98"/>
    <x v="247"/>
    <x v="2"/>
    <s v="L"/>
    <x v="4"/>
    <n v="25900"/>
    <n v="25900"/>
    <n v="262000"/>
  </r>
  <r>
    <x v="9"/>
    <x v="98"/>
    <x v="247"/>
    <x v="3"/>
    <s v="L"/>
    <x v="7"/>
    <n v="27900"/>
    <n v="27900"/>
    <n v="286800"/>
  </r>
  <r>
    <x v="9"/>
    <x v="98"/>
    <x v="247"/>
    <x v="3"/>
    <s v="L"/>
    <x v="4"/>
    <n v="22900"/>
    <n v="22900"/>
    <n v="262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1000000}" name="피벗 테이블2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4" indent="0" outline="1" outlineData="1" multipleFieldFilters="0">
  <location ref="A3:A103" firstHeaderRow="1" firstDataRow="1" firstDataCol="1"/>
  <pivotFields count="9">
    <pivotField showAll="0"/>
    <pivotField axis="axisRow" showAll="0">
      <items count="100">
        <item x="9"/>
        <item x="7"/>
        <item x="5"/>
        <item x="98"/>
        <item x="76"/>
        <item x="15"/>
        <item x="10"/>
        <item x="13"/>
        <item x="14"/>
        <item x="11"/>
        <item x="35"/>
        <item x="92"/>
        <item x="31"/>
        <item x="80"/>
        <item x="71"/>
        <item x="59"/>
        <item x="41"/>
        <item x="75"/>
        <item x="42"/>
        <item x="30"/>
        <item x="54"/>
        <item x="55"/>
        <item x="85"/>
        <item x="86"/>
        <item x="56"/>
        <item x="53"/>
        <item x="74"/>
        <item x="62"/>
        <item x="79"/>
        <item x="28"/>
        <item x="89"/>
        <item x="46"/>
        <item x="6"/>
        <item x="90"/>
        <item x="91"/>
        <item x="73"/>
        <item x="66"/>
        <item x="43"/>
        <item x="45"/>
        <item x="39"/>
        <item x="38"/>
        <item x="23"/>
        <item x="48"/>
        <item x="40"/>
        <item x="0"/>
        <item x="49"/>
        <item x="72"/>
        <item x="78"/>
        <item x="4"/>
        <item x="1"/>
        <item x="29"/>
        <item x="12"/>
        <item x="25"/>
        <item x="21"/>
        <item x="20"/>
        <item x="51"/>
        <item x="22"/>
        <item x="70"/>
        <item x="24"/>
        <item x="18"/>
        <item x="47"/>
        <item x="88"/>
        <item x="19"/>
        <item x="83"/>
        <item x="84"/>
        <item x="69"/>
        <item x="82"/>
        <item x="26"/>
        <item x="52"/>
        <item x="34"/>
        <item x="87"/>
        <item x="27"/>
        <item x="57"/>
        <item x="58"/>
        <item x="77"/>
        <item x="32"/>
        <item x="81"/>
        <item x="50"/>
        <item x="2"/>
        <item x="3"/>
        <item x="61"/>
        <item x="8"/>
        <item x="44"/>
        <item x="37"/>
        <item x="17"/>
        <item x="16"/>
        <item x="94"/>
        <item x="67"/>
        <item x="96"/>
        <item x="68"/>
        <item x="93"/>
        <item x="97"/>
        <item x="95"/>
        <item x="64"/>
        <item x="60"/>
        <item x="63"/>
        <item x="65"/>
        <item x="33"/>
        <item x="36"/>
        <item t="default"/>
      </items>
    </pivotField>
    <pivotField showAll="0"/>
    <pivotField showAll="0" defaultSubtotal="0"/>
    <pivotField showAll="0" defaultSubtotal="0"/>
    <pivotField showAll="0" defaultSubtotal="0"/>
    <pivotField numFmtId="176" showAll="0" defaultSubtotal="0"/>
    <pivotField numFmtId="176" showAll="0"/>
    <pivotField numFmtId="176" showAll="0" defaultSubtotal="0"/>
  </pivotFields>
  <rowFields count="1">
    <field x="1"/>
  </rowFields>
  <rowItems count="10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6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FFFF00"/>
  </sheetPr>
  <dimension ref="B2:G31"/>
  <sheetViews>
    <sheetView showGridLines="0" tabSelected="1" zoomScale="85" zoomScaleNormal="85" workbookViewId="0">
      <selection activeCell="E4" sqref="E4"/>
    </sheetView>
  </sheetViews>
  <sheetFormatPr defaultColWidth="8.58203125" defaultRowHeight="17" x14ac:dyDescent="0.45"/>
  <cols>
    <col min="1" max="1" width="8.58203125" style="5"/>
    <col min="2" max="2" width="27" style="5" customWidth="1"/>
    <col min="3" max="7" width="15.58203125" style="5" customWidth="1"/>
    <col min="8" max="16384" width="8.58203125" style="5"/>
  </cols>
  <sheetData>
    <row r="2" spans="2:6" x14ac:dyDescent="0.45">
      <c r="B2" s="27" t="s">
        <v>603</v>
      </c>
    </row>
    <row r="3" spans="2:6" x14ac:dyDescent="0.45">
      <c r="B3" s="147" t="s">
        <v>1204</v>
      </c>
    </row>
    <row r="4" spans="2:6" x14ac:dyDescent="0.45">
      <c r="B4" s="147" t="s">
        <v>1205</v>
      </c>
    </row>
    <row r="5" spans="2:6" x14ac:dyDescent="0.45">
      <c r="B5" s="147" t="s">
        <v>1324</v>
      </c>
    </row>
    <row r="6" spans="2:6" x14ac:dyDescent="0.45">
      <c r="B6" s="147" t="s">
        <v>1331</v>
      </c>
    </row>
    <row r="7" spans="2:6" x14ac:dyDescent="0.45">
      <c r="B7" s="28"/>
    </row>
    <row r="8" spans="2:6" x14ac:dyDescent="0.45">
      <c r="B8" s="148" t="s">
        <v>1330</v>
      </c>
    </row>
    <row r="9" spans="2:6" x14ac:dyDescent="0.45">
      <c r="B9" s="148" t="s">
        <v>1168</v>
      </c>
    </row>
    <row r="10" spans="2:6" x14ac:dyDescent="0.45">
      <c r="B10" s="149" t="s">
        <v>1054</v>
      </c>
    </row>
    <row r="11" spans="2:6" x14ac:dyDescent="0.45">
      <c r="B11" s="147" t="s">
        <v>1055</v>
      </c>
    </row>
    <row r="12" spans="2:6" x14ac:dyDescent="0.45">
      <c r="B12" s="210" t="s">
        <v>1056</v>
      </c>
      <c r="C12" s="212" t="s">
        <v>1057</v>
      </c>
      <c r="D12" s="212" t="s">
        <v>1058</v>
      </c>
      <c r="E12" s="212" t="s">
        <v>1059</v>
      </c>
      <c r="F12" s="214" t="s">
        <v>1060</v>
      </c>
    </row>
    <row r="13" spans="2:6" x14ac:dyDescent="0.45">
      <c r="B13" s="211"/>
      <c r="C13" s="213"/>
      <c r="D13" s="213"/>
      <c r="E13" s="213"/>
      <c r="F13" s="215"/>
    </row>
    <row r="14" spans="2:6" x14ac:dyDescent="0.45">
      <c r="B14" s="208" t="s">
        <v>1164</v>
      </c>
      <c r="C14" s="202" t="s">
        <v>1061</v>
      </c>
      <c r="D14" s="203"/>
      <c r="E14" s="202" t="s">
        <v>1062</v>
      </c>
      <c r="F14" s="206"/>
    </row>
    <row r="15" spans="2:6" x14ac:dyDescent="0.45">
      <c r="B15" s="209"/>
      <c r="C15" s="204"/>
      <c r="D15" s="205"/>
      <c r="E15" s="204"/>
      <c r="F15" s="207"/>
    </row>
    <row r="16" spans="2:6" x14ac:dyDescent="0.45">
      <c r="B16" s="208" t="s">
        <v>1165</v>
      </c>
      <c r="C16" s="202" t="s">
        <v>1061</v>
      </c>
      <c r="D16" s="203"/>
      <c r="E16" s="202" t="s">
        <v>1166</v>
      </c>
      <c r="F16" s="206"/>
    </row>
    <row r="17" spans="2:7" x14ac:dyDescent="0.45">
      <c r="B17" s="209"/>
      <c r="C17" s="204"/>
      <c r="D17" s="205"/>
      <c r="E17" s="204"/>
      <c r="F17" s="207"/>
    </row>
    <row r="18" spans="2:7" x14ac:dyDescent="0.45">
      <c r="B18" s="208" t="s">
        <v>1167</v>
      </c>
      <c r="C18" s="202" t="s">
        <v>1061</v>
      </c>
      <c r="D18" s="203"/>
      <c r="E18" s="202" t="s">
        <v>1166</v>
      </c>
      <c r="F18" s="206"/>
    </row>
    <row r="19" spans="2:7" x14ac:dyDescent="0.45">
      <c r="B19" s="209"/>
      <c r="C19" s="204"/>
      <c r="D19" s="205"/>
      <c r="E19" s="204"/>
      <c r="F19" s="207"/>
    </row>
    <row r="20" spans="2:7" x14ac:dyDescent="0.45">
      <c r="B20" s="180"/>
      <c r="C20" s="180"/>
      <c r="D20" s="180"/>
      <c r="E20" s="180"/>
      <c r="F20" s="180"/>
    </row>
    <row r="21" spans="2:7" x14ac:dyDescent="0.45">
      <c r="B21" s="147"/>
    </row>
    <row r="22" spans="2:7" x14ac:dyDescent="0.45">
      <c r="B22" s="122"/>
    </row>
    <row r="23" spans="2:7" x14ac:dyDescent="0.45">
      <c r="B23" s="4" t="s">
        <v>1063</v>
      </c>
    </row>
    <row r="24" spans="2:7" x14ac:dyDescent="0.45">
      <c r="B24" s="5" t="s">
        <v>604</v>
      </c>
    </row>
    <row r="25" spans="2:7" x14ac:dyDescent="0.45">
      <c r="B25" s="34" t="s">
        <v>605</v>
      </c>
    </row>
    <row r="26" spans="2:7" x14ac:dyDescent="0.45">
      <c r="B26" s="27" t="s">
        <v>1037</v>
      </c>
      <c r="C26" s="126"/>
      <c r="D26" s="126"/>
      <c r="E26" s="126"/>
      <c r="F26" s="126"/>
      <c r="G26" s="126"/>
    </row>
    <row r="27" spans="2:7" x14ac:dyDescent="0.45">
      <c r="B27" s="27" t="s">
        <v>1022</v>
      </c>
      <c r="C27" s="126"/>
      <c r="D27" s="126"/>
      <c r="E27" s="126"/>
      <c r="F27" s="126"/>
      <c r="G27" s="126"/>
    </row>
    <row r="28" spans="2:7" x14ac:dyDescent="0.45">
      <c r="B28" s="34"/>
    </row>
    <row r="29" spans="2:7" x14ac:dyDescent="0.45">
      <c r="B29" s="5" t="s">
        <v>606</v>
      </c>
    </row>
    <row r="30" spans="2:7" x14ac:dyDescent="0.45">
      <c r="B30" s="5" t="s">
        <v>607</v>
      </c>
    </row>
    <row r="31" spans="2:7" x14ac:dyDescent="0.45">
      <c r="B31" s="127"/>
    </row>
  </sheetData>
  <mergeCells count="14">
    <mergeCell ref="B18:B19"/>
    <mergeCell ref="C18:D19"/>
    <mergeCell ref="E18:F19"/>
    <mergeCell ref="B12:B13"/>
    <mergeCell ref="C12:C13"/>
    <mergeCell ref="D12:D13"/>
    <mergeCell ref="E12:E13"/>
    <mergeCell ref="F12:F13"/>
    <mergeCell ref="C14:D15"/>
    <mergeCell ref="E14:F15"/>
    <mergeCell ref="B14:B15"/>
    <mergeCell ref="B16:B17"/>
    <mergeCell ref="C16:D17"/>
    <mergeCell ref="E16:F17"/>
  </mergeCells>
  <phoneticPr fontId="1" type="noConversion"/>
  <pageMargins left="0.7" right="0.7" top="0.75" bottom="0.75" header="0.3" footer="0.3"/>
  <pageSetup paperSize="9" orientation="portrait" verticalDpi="0" r:id="rId1"/>
  <customProperties>
    <customPr name="_pios_id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C00000"/>
    <pageSetUpPr fitToPage="1"/>
  </sheetPr>
  <dimension ref="A1:K2178"/>
  <sheetViews>
    <sheetView showGridLines="0" topLeftCell="B1" zoomScale="85" zoomScaleNormal="85" workbookViewId="0">
      <selection activeCell="B46" sqref="B46"/>
    </sheetView>
  </sheetViews>
  <sheetFormatPr defaultColWidth="9" defaultRowHeight="17" outlineLevelCol="1" x14ac:dyDescent="0.45"/>
  <cols>
    <col min="1" max="1" width="30.1640625" style="153" hidden="1" customWidth="1" outlineLevel="1"/>
    <col min="2" max="2" width="19.33203125" style="4" customWidth="1" collapsed="1"/>
    <col min="3" max="3" width="26.58203125" style="4" customWidth="1"/>
    <col min="4" max="4" width="37" style="4" customWidth="1"/>
    <col min="5" max="5" width="11.33203125" style="4" customWidth="1"/>
    <col min="6" max="6" width="10.83203125" style="4" customWidth="1"/>
    <col min="7" max="7" width="17.5" style="4" customWidth="1"/>
    <col min="8" max="9" width="9" style="4" customWidth="1" outlineLevel="1"/>
    <col min="10" max="10" width="23.5" style="16" bestFit="1" customWidth="1"/>
    <col min="11" max="11" width="8.83203125" style="16" customWidth="1"/>
    <col min="12" max="16384" width="9" style="16"/>
  </cols>
  <sheetData>
    <row r="1" spans="1:10" s="4" customFormat="1" ht="15" customHeight="1" x14ac:dyDescent="0.45">
      <c r="A1" s="118"/>
      <c r="B1" s="216" t="s">
        <v>695</v>
      </c>
      <c r="C1" s="216"/>
      <c r="D1" s="216"/>
      <c r="E1" s="216"/>
      <c r="F1" s="216"/>
      <c r="G1" s="216"/>
      <c r="H1" s="33"/>
      <c r="I1" s="33"/>
      <c r="J1" s="7"/>
    </row>
    <row r="2" spans="1:10" s="4" customFormat="1" ht="15" customHeight="1" x14ac:dyDescent="0.45">
      <c r="A2" s="118"/>
      <c r="B2" s="216"/>
      <c r="C2" s="216"/>
      <c r="D2" s="216"/>
      <c r="E2" s="216"/>
      <c r="F2" s="216"/>
      <c r="G2" s="216"/>
      <c r="H2" s="33"/>
      <c r="I2" s="33"/>
      <c r="J2" s="6"/>
    </row>
    <row r="3" spans="1:10" s="118" customFormat="1" ht="15" customHeight="1" x14ac:dyDescent="0.45">
      <c r="B3" s="119"/>
      <c r="C3" s="119"/>
      <c r="D3" s="119"/>
      <c r="E3" s="119"/>
      <c r="F3" s="119"/>
      <c r="G3" s="119"/>
      <c r="H3" s="119"/>
      <c r="I3" s="119"/>
      <c r="J3" s="120"/>
    </row>
    <row r="4" spans="1:10" s="118" customFormat="1" ht="15" customHeight="1" x14ac:dyDescent="0.45">
      <c r="B4" s="121" t="s">
        <v>603</v>
      </c>
      <c r="C4" s="119"/>
      <c r="D4" s="119"/>
      <c r="E4" s="119"/>
      <c r="F4" s="119"/>
      <c r="G4" s="119"/>
      <c r="H4" s="119"/>
      <c r="I4" s="119"/>
      <c r="J4" s="120"/>
    </row>
    <row r="5" spans="1:10" s="9" customFormat="1" ht="15" customHeight="1" x14ac:dyDescent="0.45">
      <c r="A5" s="118"/>
      <c r="B5" s="147" t="s">
        <v>1204</v>
      </c>
      <c r="C5" s="8"/>
      <c r="D5" s="8"/>
      <c r="E5" s="8"/>
      <c r="F5" s="8"/>
      <c r="G5" s="8"/>
      <c r="H5" s="8"/>
      <c r="I5" s="8"/>
      <c r="J5" s="8"/>
    </row>
    <row r="6" spans="1:10" s="9" customFormat="1" ht="15" customHeight="1" x14ac:dyDescent="0.45">
      <c r="A6" s="118"/>
      <c r="B6" s="147" t="s">
        <v>1205</v>
      </c>
      <c r="C6" s="8"/>
      <c r="D6" s="8"/>
      <c r="E6" s="8"/>
      <c r="F6" s="8"/>
      <c r="G6" s="8"/>
      <c r="H6" s="8"/>
      <c r="I6" s="8"/>
      <c r="J6" s="8"/>
    </row>
    <row r="7" spans="1:10" s="9" customFormat="1" ht="15" customHeight="1" x14ac:dyDescent="0.45">
      <c r="A7" s="118"/>
      <c r="B7" s="147" t="s">
        <v>1324</v>
      </c>
      <c r="C7" s="8"/>
      <c r="D7" s="8"/>
      <c r="E7" s="8"/>
      <c r="F7" s="8"/>
      <c r="G7" s="8"/>
      <c r="H7" s="8"/>
      <c r="I7" s="8"/>
      <c r="J7" s="8"/>
    </row>
    <row r="8" spans="1:10" s="9" customFormat="1" ht="15" customHeight="1" x14ac:dyDescent="0.45">
      <c r="A8" s="118"/>
      <c r="B8" s="147" t="s">
        <v>1331</v>
      </c>
      <c r="C8" s="8"/>
      <c r="D8" s="8"/>
      <c r="E8" s="8"/>
      <c r="F8" s="8"/>
      <c r="G8" s="8"/>
      <c r="H8" s="8"/>
      <c r="I8" s="8"/>
      <c r="J8" s="8"/>
    </row>
    <row r="9" spans="1:10" s="9" customFormat="1" ht="15" customHeight="1" x14ac:dyDescent="0.45">
      <c r="A9" s="118"/>
      <c r="B9" s="28"/>
      <c r="C9" s="8"/>
      <c r="D9" s="8"/>
      <c r="E9" s="8"/>
      <c r="F9" s="8"/>
      <c r="G9" s="8"/>
      <c r="H9" s="8"/>
      <c r="I9" s="8"/>
      <c r="J9" s="8"/>
    </row>
    <row r="10" spans="1:10" s="4" customFormat="1" ht="23.25" customHeight="1" thickBot="1" x14ac:dyDescent="0.5">
      <c r="A10" s="118"/>
      <c r="B10" s="10" t="s">
        <v>476</v>
      </c>
      <c r="H10" s="8"/>
      <c r="I10" s="8"/>
    </row>
    <row r="11" spans="1:10" ht="22.5" customHeight="1" thickBot="1" x14ac:dyDescent="0.5">
      <c r="B11" s="11" t="s">
        <v>696</v>
      </c>
      <c r="C11" s="12" t="s">
        <v>477</v>
      </c>
      <c r="D11" s="13" t="s">
        <v>450</v>
      </c>
      <c r="E11" s="13" t="s">
        <v>458</v>
      </c>
      <c r="F11" s="13" t="s">
        <v>459</v>
      </c>
      <c r="G11" s="14" t="s">
        <v>451</v>
      </c>
      <c r="H11" s="35" t="s">
        <v>611</v>
      </c>
      <c r="I11" s="35" t="s">
        <v>612</v>
      </c>
      <c r="J11" s="15" t="s">
        <v>478</v>
      </c>
    </row>
    <row r="12" spans="1:10" ht="16" customHeight="1" thickTop="1" x14ac:dyDescent="0.45">
      <c r="A12" s="153" t="str">
        <f>B12&amp;C12&amp;E12&amp;G12</f>
        <v>정수기AIS 3.032M(2개월점검주기)</v>
      </c>
      <c r="B12" s="21" t="s">
        <v>2</v>
      </c>
      <c r="C12" s="22" t="s">
        <v>524</v>
      </c>
      <c r="D12" s="23" t="s">
        <v>103</v>
      </c>
      <c r="E12" s="23">
        <v>3</v>
      </c>
      <c r="F12" s="23" t="s">
        <v>1</v>
      </c>
      <c r="G12" s="24" t="s">
        <v>452</v>
      </c>
      <c r="H12" s="36">
        <v>54900</v>
      </c>
      <c r="I12" s="36">
        <v>50900</v>
      </c>
      <c r="J12" s="25">
        <v>287400</v>
      </c>
    </row>
    <row r="13" spans="1:10" ht="16" customHeight="1" x14ac:dyDescent="0.45">
      <c r="A13" s="153" t="str">
        <f>B13&amp;C13&amp;E13&amp;G13</f>
        <v>정수기AIS 3.052M(2개월점검주기)</v>
      </c>
      <c r="B13" s="17" t="s">
        <v>2</v>
      </c>
      <c r="C13" s="18" t="s">
        <v>524</v>
      </c>
      <c r="D13" s="19" t="s">
        <v>103</v>
      </c>
      <c r="E13" s="19">
        <v>5</v>
      </c>
      <c r="F13" s="19" t="s">
        <v>0</v>
      </c>
      <c r="G13" s="20" t="s">
        <v>452</v>
      </c>
      <c r="H13" s="36">
        <v>52400</v>
      </c>
      <c r="I13" s="36">
        <v>48400</v>
      </c>
      <c r="J13" s="25">
        <v>287400</v>
      </c>
    </row>
    <row r="14" spans="1:10" ht="16" customHeight="1" x14ac:dyDescent="0.45">
      <c r="A14" s="153" t="str">
        <f>B14&amp;C14&amp;E14&amp;G14</f>
        <v>정수기AIS 3.062M(2개월점검주기)</v>
      </c>
      <c r="B14" s="17" t="s">
        <v>2</v>
      </c>
      <c r="C14" s="18" t="s">
        <v>524</v>
      </c>
      <c r="D14" s="19" t="s">
        <v>103</v>
      </c>
      <c r="E14" s="19">
        <v>6</v>
      </c>
      <c r="F14" s="19" t="s">
        <v>0</v>
      </c>
      <c r="G14" s="20" t="s">
        <v>452</v>
      </c>
      <c r="H14" s="36">
        <v>50900</v>
      </c>
      <c r="I14" s="36">
        <v>46900</v>
      </c>
      <c r="J14" s="25">
        <v>359300</v>
      </c>
    </row>
    <row r="15" spans="1:10" ht="16" customHeight="1" x14ac:dyDescent="0.45">
      <c r="A15" s="153" t="str">
        <f>B15&amp;C15&amp;E15&amp;G15</f>
        <v>정수기AIS 3.072M(2개월점검주기)</v>
      </c>
      <c r="B15" s="17" t="s">
        <v>2</v>
      </c>
      <c r="C15" s="18" t="s">
        <v>524</v>
      </c>
      <c r="D15" s="19" t="s">
        <v>103</v>
      </c>
      <c r="E15" s="19">
        <v>7</v>
      </c>
      <c r="F15" s="19" t="s">
        <v>0</v>
      </c>
      <c r="G15" s="20" t="s">
        <v>452</v>
      </c>
      <c r="H15" s="36">
        <v>49400</v>
      </c>
      <c r="I15" s="36">
        <v>45400</v>
      </c>
      <c r="J15" s="25">
        <v>359300</v>
      </c>
    </row>
    <row r="16" spans="1:10" ht="16" customHeight="1" x14ac:dyDescent="0.45">
      <c r="A16" s="153" t="str">
        <f>B16&amp;C16&amp;E16&amp;G16</f>
        <v>정수기AIS 3.034M(4개월점검주기)</v>
      </c>
      <c r="B16" s="17" t="s">
        <v>2</v>
      </c>
      <c r="C16" s="18" t="s">
        <v>524</v>
      </c>
      <c r="D16" s="19" t="s">
        <v>103</v>
      </c>
      <c r="E16" s="19">
        <v>3</v>
      </c>
      <c r="F16" s="19" t="s">
        <v>1</v>
      </c>
      <c r="G16" s="20" t="s">
        <v>453</v>
      </c>
      <c r="H16" s="36">
        <v>51900</v>
      </c>
      <c r="I16" s="36">
        <v>47900</v>
      </c>
      <c r="J16" s="25">
        <v>287400</v>
      </c>
    </row>
    <row r="17" spans="1:10" ht="16" customHeight="1" x14ac:dyDescent="0.45">
      <c r="A17" s="153" t="str">
        <f>B17&amp;C17&amp;E17&amp;G17</f>
        <v>정수기AIS 3.054M(4개월점검주기)</v>
      </c>
      <c r="B17" s="17" t="s">
        <v>2</v>
      </c>
      <c r="C17" s="18" t="s">
        <v>524</v>
      </c>
      <c r="D17" s="19" t="s">
        <v>103</v>
      </c>
      <c r="E17" s="19">
        <v>5</v>
      </c>
      <c r="F17" s="19" t="s">
        <v>0</v>
      </c>
      <c r="G17" s="20" t="s">
        <v>453</v>
      </c>
      <c r="H17" s="36">
        <v>49400</v>
      </c>
      <c r="I17" s="36">
        <v>45400</v>
      </c>
      <c r="J17" s="25">
        <v>287400</v>
      </c>
    </row>
    <row r="18" spans="1:10" ht="16" customHeight="1" x14ac:dyDescent="0.45">
      <c r="A18" s="153" t="str">
        <f>B18&amp;C18&amp;E18&amp;G18</f>
        <v>정수기AIS 3.064M(4개월점검주기)</v>
      </c>
      <c r="B18" s="17" t="s">
        <v>2</v>
      </c>
      <c r="C18" s="18" t="s">
        <v>524</v>
      </c>
      <c r="D18" s="19" t="s">
        <v>103</v>
      </c>
      <c r="E18" s="19">
        <v>6</v>
      </c>
      <c r="F18" s="19" t="s">
        <v>0</v>
      </c>
      <c r="G18" s="20" t="s">
        <v>453</v>
      </c>
      <c r="H18" s="36">
        <v>47900</v>
      </c>
      <c r="I18" s="36">
        <v>43900</v>
      </c>
      <c r="J18" s="25">
        <v>359300</v>
      </c>
    </row>
    <row r="19" spans="1:10" ht="16" customHeight="1" x14ac:dyDescent="0.45">
      <c r="A19" s="153" t="str">
        <f>B19&amp;C19&amp;E19&amp;G19</f>
        <v>정수기AIS 3.074M(4개월점검주기)</v>
      </c>
      <c r="B19" s="17" t="s">
        <v>2</v>
      </c>
      <c r="C19" s="18" t="s">
        <v>524</v>
      </c>
      <c r="D19" s="19" t="s">
        <v>103</v>
      </c>
      <c r="E19" s="19">
        <v>7</v>
      </c>
      <c r="F19" s="19" t="s">
        <v>0</v>
      </c>
      <c r="G19" s="20" t="s">
        <v>453</v>
      </c>
      <c r="H19" s="36">
        <v>46400</v>
      </c>
      <c r="I19" s="36">
        <v>42400</v>
      </c>
      <c r="J19" s="25">
        <v>359300</v>
      </c>
    </row>
    <row r="20" spans="1:10" ht="16" customHeight="1" x14ac:dyDescent="0.45">
      <c r="A20" s="153" t="str">
        <f>B20&amp;C20&amp;E20&amp;G20</f>
        <v>정수기AIS 3.032M(2개월점검주기)</v>
      </c>
      <c r="B20" s="21" t="s">
        <v>2</v>
      </c>
      <c r="C20" s="22" t="s">
        <v>524</v>
      </c>
      <c r="D20" s="23" t="s">
        <v>104</v>
      </c>
      <c r="E20" s="23">
        <v>3</v>
      </c>
      <c r="F20" s="23" t="s">
        <v>1</v>
      </c>
      <c r="G20" s="24" t="s">
        <v>452</v>
      </c>
      <c r="H20" s="36">
        <v>50900</v>
      </c>
      <c r="I20" s="36">
        <v>46900</v>
      </c>
      <c r="J20" s="25">
        <v>276200</v>
      </c>
    </row>
    <row r="21" spans="1:10" ht="16" x14ac:dyDescent="0.45">
      <c r="A21" s="153" t="str">
        <f>B21&amp;C21&amp;E21&amp;G21</f>
        <v>정수기AIS 3.052M(2개월점검주기)</v>
      </c>
      <c r="B21" s="17" t="s">
        <v>2</v>
      </c>
      <c r="C21" s="18" t="s">
        <v>524</v>
      </c>
      <c r="D21" s="19" t="s">
        <v>104</v>
      </c>
      <c r="E21" s="19">
        <v>5</v>
      </c>
      <c r="F21" s="19" t="s">
        <v>0</v>
      </c>
      <c r="G21" s="20" t="s">
        <v>452</v>
      </c>
      <c r="H21" s="36">
        <v>48400</v>
      </c>
      <c r="I21" s="36">
        <v>44400</v>
      </c>
      <c r="J21" s="25">
        <v>276200</v>
      </c>
    </row>
    <row r="22" spans="1:10" ht="16" x14ac:dyDescent="0.45">
      <c r="A22" s="153" t="str">
        <f>B22&amp;C22&amp;E22&amp;G22</f>
        <v>정수기AIS 3.062M(2개월점검주기)</v>
      </c>
      <c r="B22" s="17" t="s">
        <v>2</v>
      </c>
      <c r="C22" s="18" t="s">
        <v>524</v>
      </c>
      <c r="D22" s="19" t="s">
        <v>104</v>
      </c>
      <c r="E22" s="19">
        <v>6</v>
      </c>
      <c r="F22" s="19" t="s">
        <v>0</v>
      </c>
      <c r="G22" s="20" t="s">
        <v>452</v>
      </c>
      <c r="H22" s="36">
        <v>46900</v>
      </c>
      <c r="I22" s="36">
        <v>42900</v>
      </c>
      <c r="J22" s="25">
        <v>345300</v>
      </c>
    </row>
    <row r="23" spans="1:10" ht="16" x14ac:dyDescent="0.45">
      <c r="A23" s="153" t="str">
        <f>B23&amp;C23&amp;E23&amp;G23</f>
        <v>정수기AIS 3.072M(2개월점검주기)</v>
      </c>
      <c r="B23" s="17" t="s">
        <v>2</v>
      </c>
      <c r="C23" s="18" t="s">
        <v>524</v>
      </c>
      <c r="D23" s="19" t="s">
        <v>104</v>
      </c>
      <c r="E23" s="19">
        <v>7</v>
      </c>
      <c r="F23" s="19" t="s">
        <v>0</v>
      </c>
      <c r="G23" s="20" t="s">
        <v>452</v>
      </c>
      <c r="H23" s="36">
        <v>45400</v>
      </c>
      <c r="I23" s="36">
        <v>41400</v>
      </c>
      <c r="J23" s="25">
        <v>345300</v>
      </c>
    </row>
    <row r="24" spans="1:10" ht="16" x14ac:dyDescent="0.45">
      <c r="A24" s="153" t="str">
        <f>B24&amp;C24&amp;E24&amp;G24</f>
        <v>정수기AIS 3.034M(4개월점검주기)</v>
      </c>
      <c r="B24" s="17" t="s">
        <v>2</v>
      </c>
      <c r="C24" s="18" t="s">
        <v>524</v>
      </c>
      <c r="D24" s="19" t="s">
        <v>104</v>
      </c>
      <c r="E24" s="19">
        <v>3</v>
      </c>
      <c r="F24" s="19" t="s">
        <v>1</v>
      </c>
      <c r="G24" s="20" t="s">
        <v>453</v>
      </c>
      <c r="H24" s="36">
        <v>47900</v>
      </c>
      <c r="I24" s="36">
        <v>43900</v>
      </c>
      <c r="J24" s="25">
        <v>276200</v>
      </c>
    </row>
    <row r="25" spans="1:10" ht="16" x14ac:dyDescent="0.45">
      <c r="A25" s="153" t="str">
        <f>B25&amp;C25&amp;E25&amp;G25</f>
        <v>정수기AIS 3.054M(4개월점검주기)</v>
      </c>
      <c r="B25" s="17" t="s">
        <v>2</v>
      </c>
      <c r="C25" s="18" t="s">
        <v>524</v>
      </c>
      <c r="D25" s="19" t="s">
        <v>104</v>
      </c>
      <c r="E25" s="19">
        <v>5</v>
      </c>
      <c r="F25" s="19" t="s">
        <v>0</v>
      </c>
      <c r="G25" s="20" t="s">
        <v>453</v>
      </c>
      <c r="H25" s="36">
        <v>45400</v>
      </c>
      <c r="I25" s="36">
        <v>41400</v>
      </c>
      <c r="J25" s="25">
        <v>276200</v>
      </c>
    </row>
    <row r="26" spans="1:10" ht="16" x14ac:dyDescent="0.45">
      <c r="A26" s="153" t="str">
        <f>B26&amp;C26&amp;E26&amp;G26</f>
        <v>정수기AIS 3.064M(4개월점검주기)</v>
      </c>
      <c r="B26" s="17" t="s">
        <v>2</v>
      </c>
      <c r="C26" s="18" t="s">
        <v>524</v>
      </c>
      <c r="D26" s="19" t="s">
        <v>104</v>
      </c>
      <c r="E26" s="19">
        <v>6</v>
      </c>
      <c r="F26" s="19" t="s">
        <v>0</v>
      </c>
      <c r="G26" s="20" t="s">
        <v>453</v>
      </c>
      <c r="H26" s="36">
        <v>43900</v>
      </c>
      <c r="I26" s="36">
        <v>39900</v>
      </c>
      <c r="J26" s="25">
        <v>345300</v>
      </c>
    </row>
    <row r="27" spans="1:10" ht="16" x14ac:dyDescent="0.45">
      <c r="A27" s="153" t="str">
        <f>B27&amp;C27&amp;E27&amp;G27</f>
        <v>정수기AIS 3.074M(4개월점검주기)</v>
      </c>
      <c r="B27" s="17" t="s">
        <v>2</v>
      </c>
      <c r="C27" s="18" t="s">
        <v>524</v>
      </c>
      <c r="D27" s="19" t="s">
        <v>104</v>
      </c>
      <c r="E27" s="19">
        <v>7</v>
      </c>
      <c r="F27" s="19" t="s">
        <v>0</v>
      </c>
      <c r="G27" s="20" t="s">
        <v>453</v>
      </c>
      <c r="H27" s="36">
        <v>42400</v>
      </c>
      <c r="I27" s="36">
        <v>38400</v>
      </c>
      <c r="J27" s="25">
        <v>345300</v>
      </c>
    </row>
    <row r="28" spans="1:10" ht="16" x14ac:dyDescent="0.45">
      <c r="A28" s="153" t="str">
        <f>B28&amp;C28&amp;E28&amp;G28</f>
        <v>정수기AIS 3.0 스파클링32M(2개월점검주기)</v>
      </c>
      <c r="B28" s="17" t="s">
        <v>2</v>
      </c>
      <c r="C28" s="22" t="s">
        <v>525</v>
      </c>
      <c r="D28" s="23" t="s">
        <v>116</v>
      </c>
      <c r="E28" s="23">
        <v>3</v>
      </c>
      <c r="F28" s="23" t="s">
        <v>1</v>
      </c>
      <c r="G28" s="20" t="s">
        <v>452</v>
      </c>
      <c r="H28" s="36">
        <v>54900</v>
      </c>
      <c r="I28" s="36">
        <v>52900</v>
      </c>
      <c r="J28" s="25">
        <v>298700</v>
      </c>
    </row>
    <row r="29" spans="1:10" ht="16" x14ac:dyDescent="0.45">
      <c r="A29" s="153" t="str">
        <f>B29&amp;C29&amp;E29&amp;G29</f>
        <v>정수기AIS 3.0 스파클링52M(2개월점검주기)</v>
      </c>
      <c r="B29" s="17" t="s">
        <v>2</v>
      </c>
      <c r="C29" s="22" t="s">
        <v>525</v>
      </c>
      <c r="D29" s="23" t="s">
        <v>116</v>
      </c>
      <c r="E29" s="23">
        <v>5</v>
      </c>
      <c r="F29" s="23" t="s">
        <v>0</v>
      </c>
      <c r="G29" s="20" t="s">
        <v>452</v>
      </c>
      <c r="H29" s="36">
        <v>52400</v>
      </c>
      <c r="I29" s="36">
        <v>50400</v>
      </c>
      <c r="J29" s="25">
        <v>298700</v>
      </c>
    </row>
    <row r="30" spans="1:10" ht="16" x14ac:dyDescent="0.45">
      <c r="A30" s="153" t="str">
        <f>B30&amp;C30&amp;E30&amp;G30</f>
        <v>정수기AIS 3.0 스파클링62M(2개월점검주기)</v>
      </c>
      <c r="B30" s="17" t="s">
        <v>2</v>
      </c>
      <c r="C30" s="22" t="s">
        <v>525</v>
      </c>
      <c r="D30" s="23" t="s">
        <v>116</v>
      </c>
      <c r="E30" s="23">
        <v>6</v>
      </c>
      <c r="F30" s="23" t="s">
        <v>0</v>
      </c>
      <c r="G30" s="20" t="s">
        <v>452</v>
      </c>
      <c r="H30" s="36">
        <v>50900</v>
      </c>
      <c r="I30" s="36">
        <v>48900</v>
      </c>
      <c r="J30" s="25">
        <v>373400</v>
      </c>
    </row>
    <row r="31" spans="1:10" ht="16" x14ac:dyDescent="0.45">
      <c r="A31" s="153" t="str">
        <f>B31&amp;C31&amp;E31&amp;G31</f>
        <v>정수기RO직수 스탠드32M(2개월점검주기)</v>
      </c>
      <c r="B31" s="17" t="s">
        <v>2</v>
      </c>
      <c r="C31" s="22" t="s">
        <v>526</v>
      </c>
      <c r="D31" s="23" t="s">
        <v>48</v>
      </c>
      <c r="E31" s="23">
        <v>3</v>
      </c>
      <c r="F31" s="23" t="s">
        <v>1</v>
      </c>
      <c r="G31" s="20" t="s">
        <v>452</v>
      </c>
      <c r="H31" s="36">
        <v>55900</v>
      </c>
      <c r="I31" s="36">
        <v>55900</v>
      </c>
      <c r="J31" s="25">
        <v>298700</v>
      </c>
    </row>
    <row r="32" spans="1:10" ht="16" x14ac:dyDescent="0.45">
      <c r="A32" s="153" t="str">
        <f>B32&amp;C32&amp;E32&amp;G32</f>
        <v>정수기RO직수 스탠드52M(2개월점검주기)</v>
      </c>
      <c r="B32" s="17" t="s">
        <v>2</v>
      </c>
      <c r="C32" s="22" t="s">
        <v>526</v>
      </c>
      <c r="D32" s="23" t="s">
        <v>48</v>
      </c>
      <c r="E32" s="23">
        <v>5</v>
      </c>
      <c r="F32" s="23" t="s">
        <v>0</v>
      </c>
      <c r="G32" s="20" t="s">
        <v>452</v>
      </c>
      <c r="H32" s="36">
        <v>53400</v>
      </c>
      <c r="I32" s="36">
        <v>53400</v>
      </c>
      <c r="J32" s="25">
        <v>298700</v>
      </c>
    </row>
    <row r="33" spans="1:10" ht="16" x14ac:dyDescent="0.45">
      <c r="A33" s="153" t="str">
        <f>B33&amp;C33&amp;E33&amp;G33</f>
        <v>정수기RO직수 스탠드62M(2개월점검주기)</v>
      </c>
      <c r="B33" s="17" t="s">
        <v>2</v>
      </c>
      <c r="C33" s="22" t="s">
        <v>526</v>
      </c>
      <c r="D33" s="23" t="s">
        <v>48</v>
      </c>
      <c r="E33" s="23">
        <v>6</v>
      </c>
      <c r="F33" s="23" t="s">
        <v>0</v>
      </c>
      <c r="G33" s="20" t="s">
        <v>452</v>
      </c>
      <c r="H33" s="36">
        <v>51900</v>
      </c>
      <c r="I33" s="36">
        <v>51900</v>
      </c>
      <c r="J33" s="25">
        <v>373400</v>
      </c>
    </row>
    <row r="34" spans="1:10" ht="16" x14ac:dyDescent="0.45">
      <c r="A34" s="153" t="str">
        <f>B34&amp;C34&amp;E34&amp;G34</f>
        <v>정수기나노직수 미니36M(6개월점검주기)</v>
      </c>
      <c r="B34" s="17" t="s">
        <v>2</v>
      </c>
      <c r="C34" s="18" t="s">
        <v>527</v>
      </c>
      <c r="D34" s="23" t="s">
        <v>622</v>
      </c>
      <c r="E34" s="23">
        <v>3</v>
      </c>
      <c r="F34" s="23" t="s">
        <v>1</v>
      </c>
      <c r="G34" s="20" t="s">
        <v>454</v>
      </c>
      <c r="H34" s="36">
        <v>21900</v>
      </c>
      <c r="I34" s="36">
        <v>19900</v>
      </c>
      <c r="J34" s="25">
        <v>188900</v>
      </c>
    </row>
    <row r="35" spans="1:10" ht="16" x14ac:dyDescent="0.45">
      <c r="A35" s="153" t="str">
        <f>B35&amp;C35&amp;E35&amp;G35</f>
        <v>정수기나노직수 미니56M(6개월점검주기)</v>
      </c>
      <c r="B35" s="17" t="s">
        <v>2</v>
      </c>
      <c r="C35" s="18" t="s">
        <v>527</v>
      </c>
      <c r="D35" s="23" t="s">
        <v>622</v>
      </c>
      <c r="E35" s="23">
        <v>5</v>
      </c>
      <c r="F35" s="23" t="s">
        <v>0</v>
      </c>
      <c r="G35" s="20" t="s">
        <v>454</v>
      </c>
      <c r="H35" s="36">
        <v>20900</v>
      </c>
      <c r="I35" s="36">
        <v>18900</v>
      </c>
      <c r="J35" s="25">
        <v>188900</v>
      </c>
    </row>
    <row r="36" spans="1:10" ht="16" x14ac:dyDescent="0.45">
      <c r="A36" s="153" t="str">
        <f>B36&amp;C36&amp;E36&amp;G36</f>
        <v>정수기나노직수 미니66M(6개월점검주기)</v>
      </c>
      <c r="B36" s="17" t="s">
        <v>2</v>
      </c>
      <c r="C36" s="18" t="s">
        <v>527</v>
      </c>
      <c r="D36" s="23" t="s">
        <v>622</v>
      </c>
      <c r="E36" s="23">
        <v>6</v>
      </c>
      <c r="F36" s="23" t="s">
        <v>0</v>
      </c>
      <c r="G36" s="20" t="s">
        <v>454</v>
      </c>
      <c r="H36" s="36">
        <v>19900</v>
      </c>
      <c r="I36" s="36">
        <v>17900</v>
      </c>
      <c r="J36" s="25">
        <v>236100</v>
      </c>
    </row>
    <row r="37" spans="1:10" ht="16" x14ac:dyDescent="0.45">
      <c r="A37" s="153" t="str">
        <f>B37&amp;C37&amp;E37&amp;G37</f>
        <v>정수기나노직수 미니76M(6개월점검주기)</v>
      </c>
      <c r="B37" s="17" t="s">
        <v>2</v>
      </c>
      <c r="C37" s="18" t="s">
        <v>527</v>
      </c>
      <c r="D37" s="23" t="s">
        <v>622</v>
      </c>
      <c r="E37" s="23">
        <v>7</v>
      </c>
      <c r="F37" s="23" t="s">
        <v>0</v>
      </c>
      <c r="G37" s="20" t="s">
        <v>454</v>
      </c>
      <c r="H37" s="36">
        <v>18900</v>
      </c>
      <c r="I37" s="36">
        <v>16900</v>
      </c>
      <c r="J37" s="25">
        <v>236100</v>
      </c>
    </row>
    <row r="38" spans="1:10" ht="16" x14ac:dyDescent="0.45">
      <c r="A38" s="153" t="str">
        <f>B38&amp;C38&amp;E38&amp;G38</f>
        <v>정수기나노직수 미니3자가관리</v>
      </c>
      <c r="B38" s="17" t="s">
        <v>2</v>
      </c>
      <c r="C38" s="18" t="s">
        <v>527</v>
      </c>
      <c r="D38" s="23" t="s">
        <v>622</v>
      </c>
      <c r="E38" s="23">
        <v>3</v>
      </c>
      <c r="F38" s="23" t="s">
        <v>1</v>
      </c>
      <c r="G38" s="20" t="s">
        <v>3</v>
      </c>
      <c r="H38" s="36">
        <v>20900</v>
      </c>
      <c r="I38" s="36">
        <v>18900</v>
      </c>
      <c r="J38" s="25">
        <v>188900</v>
      </c>
    </row>
    <row r="39" spans="1:10" ht="16" x14ac:dyDescent="0.45">
      <c r="A39" s="153" t="str">
        <f>B39&amp;C39&amp;E39&amp;G39</f>
        <v>정수기나노직수 미니5자가관리</v>
      </c>
      <c r="B39" s="17" t="s">
        <v>2</v>
      </c>
      <c r="C39" s="18" t="s">
        <v>527</v>
      </c>
      <c r="D39" s="23" t="s">
        <v>622</v>
      </c>
      <c r="E39" s="23">
        <v>5</v>
      </c>
      <c r="F39" s="23" t="s">
        <v>0</v>
      </c>
      <c r="G39" s="20" t="s">
        <v>3</v>
      </c>
      <c r="H39" s="36">
        <v>19900</v>
      </c>
      <c r="I39" s="36">
        <v>17900</v>
      </c>
      <c r="J39" s="25">
        <v>188900</v>
      </c>
    </row>
    <row r="40" spans="1:10" ht="16" x14ac:dyDescent="0.45">
      <c r="A40" s="153" t="str">
        <f>B40&amp;C40&amp;E40&amp;G40</f>
        <v>정수기나노직수 미니6자가관리</v>
      </c>
      <c r="B40" s="17" t="s">
        <v>2</v>
      </c>
      <c r="C40" s="18" t="s">
        <v>527</v>
      </c>
      <c r="D40" s="23" t="s">
        <v>622</v>
      </c>
      <c r="E40" s="23">
        <v>6</v>
      </c>
      <c r="F40" s="23" t="s">
        <v>0</v>
      </c>
      <c r="G40" s="20" t="s">
        <v>3</v>
      </c>
      <c r="H40" s="36">
        <v>18900</v>
      </c>
      <c r="I40" s="36">
        <v>16900</v>
      </c>
      <c r="J40" s="25">
        <v>236100</v>
      </c>
    </row>
    <row r="41" spans="1:10" ht="16" x14ac:dyDescent="0.45">
      <c r="A41" s="153" t="str">
        <f>B41&amp;C41&amp;E41&amp;G41</f>
        <v>정수기나노직수 미니7자가관리</v>
      </c>
      <c r="B41" s="17" t="s">
        <v>2</v>
      </c>
      <c r="C41" s="18" t="s">
        <v>527</v>
      </c>
      <c r="D41" s="23" t="s">
        <v>622</v>
      </c>
      <c r="E41" s="23">
        <v>7</v>
      </c>
      <c r="F41" s="23" t="s">
        <v>0</v>
      </c>
      <c r="G41" s="20" t="s">
        <v>3</v>
      </c>
      <c r="H41" s="36">
        <v>17900</v>
      </c>
      <c r="I41" s="36">
        <v>15900</v>
      </c>
      <c r="J41" s="25">
        <v>236100</v>
      </c>
    </row>
    <row r="42" spans="1:10" ht="16" x14ac:dyDescent="0.45">
      <c r="A42" s="153" t="str">
        <f>B42&amp;C42&amp;E42&amp;G42</f>
        <v>정수기노블 빌트인36M(6개월점검주기)</v>
      </c>
      <c r="B42" s="17" t="s">
        <v>2</v>
      </c>
      <c r="C42" s="22" t="s">
        <v>528</v>
      </c>
      <c r="D42" s="23" t="s">
        <v>615</v>
      </c>
      <c r="E42" s="23">
        <v>3</v>
      </c>
      <c r="F42" s="23" t="s">
        <v>1</v>
      </c>
      <c r="G42" s="20" t="s">
        <v>454</v>
      </c>
      <c r="H42" s="36">
        <v>46900</v>
      </c>
      <c r="I42" s="36">
        <v>44900</v>
      </c>
      <c r="J42" s="25">
        <v>276200</v>
      </c>
    </row>
    <row r="43" spans="1:10" ht="16" x14ac:dyDescent="0.45">
      <c r="A43" s="153" t="str">
        <f>B43&amp;C43&amp;E43&amp;G43</f>
        <v>정수기노블 빌트인56M(6개월점검주기)</v>
      </c>
      <c r="B43" s="17" t="s">
        <v>2</v>
      </c>
      <c r="C43" s="22" t="s">
        <v>528</v>
      </c>
      <c r="D43" s="23" t="s">
        <v>615</v>
      </c>
      <c r="E43" s="23">
        <v>5</v>
      </c>
      <c r="F43" s="23" t="s">
        <v>0</v>
      </c>
      <c r="G43" s="20" t="s">
        <v>454</v>
      </c>
      <c r="H43" s="36">
        <v>44400</v>
      </c>
      <c r="I43" s="36">
        <v>42400</v>
      </c>
      <c r="J43" s="25">
        <v>276200</v>
      </c>
    </row>
    <row r="44" spans="1:10" ht="16" x14ac:dyDescent="0.45">
      <c r="A44" s="153" t="str">
        <f>B44&amp;C44&amp;E44&amp;G44</f>
        <v>정수기노블 빌트인66M(6개월점검주기)</v>
      </c>
      <c r="B44" s="17" t="s">
        <v>2</v>
      </c>
      <c r="C44" s="22" t="s">
        <v>528</v>
      </c>
      <c r="D44" s="23" t="s">
        <v>615</v>
      </c>
      <c r="E44" s="23">
        <v>6</v>
      </c>
      <c r="F44" s="23" t="s">
        <v>0</v>
      </c>
      <c r="G44" s="20" t="s">
        <v>454</v>
      </c>
      <c r="H44" s="36">
        <v>42900</v>
      </c>
      <c r="I44" s="36">
        <v>40900</v>
      </c>
      <c r="J44" s="25">
        <v>345300</v>
      </c>
    </row>
    <row r="45" spans="1:10" ht="16" x14ac:dyDescent="0.45">
      <c r="A45" s="153" t="str">
        <f>B45&amp;C45&amp;E45&amp;G45</f>
        <v>정수기노블 빌트인76M(6개월점검주기)</v>
      </c>
      <c r="B45" s="17" t="s">
        <v>2</v>
      </c>
      <c r="C45" s="22" t="s">
        <v>528</v>
      </c>
      <c r="D45" s="23" t="s">
        <v>615</v>
      </c>
      <c r="E45" s="23">
        <v>7</v>
      </c>
      <c r="F45" s="23" t="s">
        <v>0</v>
      </c>
      <c r="G45" s="20" t="s">
        <v>454</v>
      </c>
      <c r="H45" s="36">
        <v>41400</v>
      </c>
      <c r="I45" s="36">
        <v>39400</v>
      </c>
      <c r="J45" s="25">
        <v>345300</v>
      </c>
    </row>
    <row r="46" spans="1:10" ht="16" x14ac:dyDescent="0.45">
      <c r="A46" s="153" t="str">
        <f>B46&amp;C46&amp;E46&amp;G46</f>
        <v>정수기노블 빌트인3자가관리</v>
      </c>
      <c r="B46" s="17" t="s">
        <v>2</v>
      </c>
      <c r="C46" s="22" t="s">
        <v>528</v>
      </c>
      <c r="D46" s="23" t="s">
        <v>615</v>
      </c>
      <c r="E46" s="23">
        <v>3</v>
      </c>
      <c r="F46" s="23" t="s">
        <v>1</v>
      </c>
      <c r="G46" s="20" t="s">
        <v>3</v>
      </c>
      <c r="H46" s="36">
        <v>43900</v>
      </c>
      <c r="I46" s="36">
        <v>41900</v>
      </c>
      <c r="J46" s="25">
        <v>264900</v>
      </c>
    </row>
    <row r="47" spans="1:10" ht="16" x14ac:dyDescent="0.45">
      <c r="A47" s="153" t="str">
        <f>B47&amp;C47&amp;E47&amp;G47</f>
        <v>정수기노블 빌트인5자가관리</v>
      </c>
      <c r="B47" s="17" t="s">
        <v>2</v>
      </c>
      <c r="C47" s="22" t="s">
        <v>528</v>
      </c>
      <c r="D47" s="23" t="s">
        <v>615</v>
      </c>
      <c r="E47" s="23">
        <v>5</v>
      </c>
      <c r="F47" s="23" t="s">
        <v>0</v>
      </c>
      <c r="G47" s="20" t="s">
        <v>3</v>
      </c>
      <c r="H47" s="36">
        <v>41400</v>
      </c>
      <c r="I47" s="36">
        <v>39400</v>
      </c>
      <c r="J47" s="25">
        <v>264900</v>
      </c>
    </row>
    <row r="48" spans="1:10" ht="16" x14ac:dyDescent="0.45">
      <c r="A48" s="153" t="str">
        <f>B48&amp;C48&amp;E48&amp;G48</f>
        <v>정수기노블 빌트인6자가관리</v>
      </c>
      <c r="B48" s="17" t="s">
        <v>2</v>
      </c>
      <c r="C48" s="22" t="s">
        <v>528</v>
      </c>
      <c r="D48" s="23" t="s">
        <v>615</v>
      </c>
      <c r="E48" s="23">
        <v>6</v>
      </c>
      <c r="F48" s="23" t="s">
        <v>0</v>
      </c>
      <c r="G48" s="20" t="s">
        <v>3</v>
      </c>
      <c r="H48" s="36">
        <v>39900</v>
      </c>
      <c r="I48" s="36">
        <v>37900</v>
      </c>
      <c r="J48" s="25">
        <v>331100</v>
      </c>
    </row>
    <row r="49" spans="1:10" ht="16" x14ac:dyDescent="0.45">
      <c r="A49" s="153" t="str">
        <f>B49&amp;C49&amp;E49&amp;G49</f>
        <v>정수기노블 빌트인7자가관리</v>
      </c>
      <c r="B49" s="17" t="s">
        <v>2</v>
      </c>
      <c r="C49" s="22" t="s">
        <v>528</v>
      </c>
      <c r="D49" s="23" t="s">
        <v>615</v>
      </c>
      <c r="E49" s="23">
        <v>7</v>
      </c>
      <c r="F49" s="23" t="s">
        <v>0</v>
      </c>
      <c r="G49" s="20" t="s">
        <v>3</v>
      </c>
      <c r="H49" s="36">
        <v>38400</v>
      </c>
      <c r="I49" s="36">
        <v>36400</v>
      </c>
      <c r="J49" s="25">
        <v>331100</v>
      </c>
    </row>
    <row r="50" spans="1:10" ht="16" x14ac:dyDescent="0.45">
      <c r="A50" s="153" t="str">
        <f>B50&amp;C50&amp;E50&amp;G50</f>
        <v>정수기노블 빌트인36M(6개월점검주기)</v>
      </c>
      <c r="B50" s="17" t="s">
        <v>2</v>
      </c>
      <c r="C50" s="22" t="s">
        <v>528</v>
      </c>
      <c r="D50" s="23" t="s">
        <v>616</v>
      </c>
      <c r="E50" s="23">
        <v>3</v>
      </c>
      <c r="F50" s="23" t="s">
        <v>1</v>
      </c>
      <c r="G50" s="20" t="s">
        <v>454</v>
      </c>
      <c r="H50" s="36">
        <v>44900</v>
      </c>
      <c r="I50" s="36">
        <v>42900</v>
      </c>
      <c r="J50" s="25">
        <v>276200</v>
      </c>
    </row>
    <row r="51" spans="1:10" ht="16" x14ac:dyDescent="0.45">
      <c r="A51" s="153" t="str">
        <f>B51&amp;C51&amp;E51&amp;G51</f>
        <v>정수기노블 빌트인56M(6개월점검주기)</v>
      </c>
      <c r="B51" s="17" t="s">
        <v>2</v>
      </c>
      <c r="C51" s="22" t="s">
        <v>528</v>
      </c>
      <c r="D51" s="23" t="s">
        <v>616</v>
      </c>
      <c r="E51" s="23">
        <v>5</v>
      </c>
      <c r="F51" s="23" t="s">
        <v>0</v>
      </c>
      <c r="G51" s="20" t="s">
        <v>454</v>
      </c>
      <c r="H51" s="36">
        <v>42400</v>
      </c>
      <c r="I51" s="36">
        <v>40400</v>
      </c>
      <c r="J51" s="25">
        <v>276200</v>
      </c>
    </row>
    <row r="52" spans="1:10" ht="16" x14ac:dyDescent="0.45">
      <c r="A52" s="153" t="str">
        <f>B52&amp;C52&amp;E52&amp;G52</f>
        <v>정수기노블 빌트인66M(6개월점검주기)</v>
      </c>
      <c r="B52" s="17" t="s">
        <v>2</v>
      </c>
      <c r="C52" s="22" t="s">
        <v>528</v>
      </c>
      <c r="D52" s="23" t="s">
        <v>616</v>
      </c>
      <c r="E52" s="23">
        <v>6</v>
      </c>
      <c r="F52" s="23" t="s">
        <v>0</v>
      </c>
      <c r="G52" s="20" t="s">
        <v>454</v>
      </c>
      <c r="H52" s="36">
        <v>40900</v>
      </c>
      <c r="I52" s="36">
        <v>38900</v>
      </c>
      <c r="J52" s="25">
        <v>345300</v>
      </c>
    </row>
    <row r="53" spans="1:10" ht="16" x14ac:dyDescent="0.45">
      <c r="A53" s="153" t="str">
        <f>B53&amp;C53&amp;E53&amp;G53</f>
        <v>정수기노블 빌트인76M(6개월점검주기)</v>
      </c>
      <c r="B53" s="17" t="s">
        <v>2</v>
      </c>
      <c r="C53" s="22" t="s">
        <v>528</v>
      </c>
      <c r="D53" s="23" t="s">
        <v>616</v>
      </c>
      <c r="E53" s="23">
        <v>7</v>
      </c>
      <c r="F53" s="23" t="s">
        <v>0</v>
      </c>
      <c r="G53" s="20" t="s">
        <v>454</v>
      </c>
      <c r="H53" s="36">
        <v>39400</v>
      </c>
      <c r="I53" s="36">
        <v>37400</v>
      </c>
      <c r="J53" s="25">
        <v>345300</v>
      </c>
    </row>
    <row r="54" spans="1:10" ht="16" x14ac:dyDescent="0.45">
      <c r="A54" s="153" t="str">
        <f>B54&amp;C54&amp;E54&amp;G54</f>
        <v>정수기노블 빌트인3자가관리</v>
      </c>
      <c r="B54" s="17" t="s">
        <v>2</v>
      </c>
      <c r="C54" s="22" t="s">
        <v>528</v>
      </c>
      <c r="D54" s="23" t="s">
        <v>616</v>
      </c>
      <c r="E54" s="23">
        <v>3</v>
      </c>
      <c r="F54" s="23" t="s">
        <v>1</v>
      </c>
      <c r="G54" s="20" t="s">
        <v>3</v>
      </c>
      <c r="H54" s="36">
        <v>41900</v>
      </c>
      <c r="I54" s="36">
        <v>39900</v>
      </c>
      <c r="J54" s="25">
        <v>264900</v>
      </c>
    </row>
    <row r="55" spans="1:10" ht="16" x14ac:dyDescent="0.45">
      <c r="A55" s="153" t="str">
        <f>B55&amp;C55&amp;E55&amp;G55</f>
        <v>정수기노블 빌트인5자가관리</v>
      </c>
      <c r="B55" s="17" t="s">
        <v>2</v>
      </c>
      <c r="C55" s="22" t="s">
        <v>528</v>
      </c>
      <c r="D55" s="23" t="s">
        <v>616</v>
      </c>
      <c r="E55" s="23">
        <v>5</v>
      </c>
      <c r="F55" s="23" t="s">
        <v>0</v>
      </c>
      <c r="G55" s="20" t="s">
        <v>3</v>
      </c>
      <c r="H55" s="36">
        <v>39400</v>
      </c>
      <c r="I55" s="36">
        <v>37400</v>
      </c>
      <c r="J55" s="25">
        <v>264900</v>
      </c>
    </row>
    <row r="56" spans="1:10" ht="16" x14ac:dyDescent="0.45">
      <c r="A56" s="153" t="str">
        <f>B56&amp;C56&amp;E56&amp;G56</f>
        <v>정수기노블 빌트인6자가관리</v>
      </c>
      <c r="B56" s="17" t="s">
        <v>2</v>
      </c>
      <c r="C56" s="22" t="s">
        <v>528</v>
      </c>
      <c r="D56" s="23" t="s">
        <v>616</v>
      </c>
      <c r="E56" s="23">
        <v>6</v>
      </c>
      <c r="F56" s="23" t="s">
        <v>0</v>
      </c>
      <c r="G56" s="20" t="s">
        <v>3</v>
      </c>
      <c r="H56" s="36">
        <v>37900</v>
      </c>
      <c r="I56" s="36">
        <v>35900</v>
      </c>
      <c r="J56" s="25">
        <v>331100</v>
      </c>
    </row>
    <row r="57" spans="1:10" ht="16" x14ac:dyDescent="0.45">
      <c r="A57" s="153" t="str">
        <f>B57&amp;C57&amp;E57&amp;G57</f>
        <v>정수기노블 빌트인7자가관리</v>
      </c>
      <c r="B57" s="17" t="s">
        <v>2</v>
      </c>
      <c r="C57" s="22" t="s">
        <v>528</v>
      </c>
      <c r="D57" s="23" t="s">
        <v>616</v>
      </c>
      <c r="E57" s="23">
        <v>7</v>
      </c>
      <c r="F57" s="23" t="s">
        <v>0</v>
      </c>
      <c r="G57" s="20" t="s">
        <v>3</v>
      </c>
      <c r="H57" s="36">
        <v>36400</v>
      </c>
      <c r="I57" s="36">
        <v>34400</v>
      </c>
      <c r="J57" s="25">
        <v>331100</v>
      </c>
    </row>
    <row r="58" spans="1:10" ht="16" x14ac:dyDescent="0.45">
      <c r="A58" s="153" t="str">
        <f>B58&amp;C58&amp;E58&amp;G58</f>
        <v>정수기노블 정수기 RO36M(6개월점검주기)</v>
      </c>
      <c r="B58" s="17" t="s">
        <v>2</v>
      </c>
      <c r="C58" s="22" t="s">
        <v>529</v>
      </c>
      <c r="D58" s="23" t="s">
        <v>620</v>
      </c>
      <c r="E58" s="23">
        <v>3</v>
      </c>
      <c r="F58" s="23" t="s">
        <v>1</v>
      </c>
      <c r="G58" s="20" t="s">
        <v>454</v>
      </c>
      <c r="H58" s="36">
        <v>43900</v>
      </c>
      <c r="I58" s="36">
        <v>41900</v>
      </c>
      <c r="J58" s="25">
        <v>264900</v>
      </c>
    </row>
    <row r="59" spans="1:10" ht="16" x14ac:dyDescent="0.45">
      <c r="A59" s="153" t="str">
        <f>B59&amp;C59&amp;E59&amp;G59</f>
        <v>정수기노블 정수기 RO56M(6개월점검주기)</v>
      </c>
      <c r="B59" s="17" t="s">
        <v>2</v>
      </c>
      <c r="C59" s="22" t="s">
        <v>529</v>
      </c>
      <c r="D59" s="23" t="s">
        <v>620</v>
      </c>
      <c r="E59" s="23">
        <v>5</v>
      </c>
      <c r="F59" s="23" t="s">
        <v>0</v>
      </c>
      <c r="G59" s="20" t="s">
        <v>454</v>
      </c>
      <c r="H59" s="36">
        <v>41400</v>
      </c>
      <c r="I59" s="36">
        <v>39400</v>
      </c>
      <c r="J59" s="25">
        <v>264900</v>
      </c>
    </row>
    <row r="60" spans="1:10" ht="16" x14ac:dyDescent="0.45">
      <c r="A60" s="153" t="str">
        <f>B60&amp;C60&amp;E60&amp;G60</f>
        <v>정수기노블 정수기 RO66M(6개월점검주기)</v>
      </c>
      <c r="B60" s="17" t="s">
        <v>2</v>
      </c>
      <c r="C60" s="22" t="s">
        <v>529</v>
      </c>
      <c r="D60" s="23" t="s">
        <v>620</v>
      </c>
      <c r="E60" s="23">
        <v>6</v>
      </c>
      <c r="F60" s="23" t="s">
        <v>0</v>
      </c>
      <c r="G60" s="20" t="s">
        <v>454</v>
      </c>
      <c r="H60" s="36">
        <v>39900</v>
      </c>
      <c r="I60" s="36">
        <v>37900</v>
      </c>
      <c r="J60" s="25">
        <v>331100</v>
      </c>
    </row>
    <row r="61" spans="1:10" ht="16" x14ac:dyDescent="0.45">
      <c r="A61" s="153" t="str">
        <f>B61&amp;C61&amp;E61&amp;G61</f>
        <v>정수기노블 정수기 RO76M(6개월점검주기)</v>
      </c>
      <c r="B61" s="17" t="s">
        <v>2</v>
      </c>
      <c r="C61" s="22" t="s">
        <v>529</v>
      </c>
      <c r="D61" s="23" t="s">
        <v>620</v>
      </c>
      <c r="E61" s="23">
        <v>7</v>
      </c>
      <c r="F61" s="23" t="s">
        <v>0</v>
      </c>
      <c r="G61" s="20" t="s">
        <v>454</v>
      </c>
      <c r="H61" s="36">
        <v>38400</v>
      </c>
      <c r="I61" s="36">
        <v>36400</v>
      </c>
      <c r="J61" s="25">
        <v>331100</v>
      </c>
    </row>
    <row r="62" spans="1:10" ht="16" x14ac:dyDescent="0.45">
      <c r="A62" s="153" t="str">
        <f>B62&amp;C62&amp;E62&amp;G62</f>
        <v>정수기노블 정수기 RO3자가관리</v>
      </c>
      <c r="B62" s="17" t="s">
        <v>2</v>
      </c>
      <c r="C62" s="22" t="s">
        <v>529</v>
      </c>
      <c r="D62" s="23" t="s">
        <v>620</v>
      </c>
      <c r="E62" s="23">
        <v>3</v>
      </c>
      <c r="F62" s="23" t="s">
        <v>1</v>
      </c>
      <c r="G62" s="20" t="s">
        <v>3</v>
      </c>
      <c r="H62" s="36">
        <v>40900</v>
      </c>
      <c r="I62" s="36">
        <v>38900</v>
      </c>
      <c r="J62" s="25">
        <v>264900</v>
      </c>
    </row>
    <row r="63" spans="1:10" ht="16" x14ac:dyDescent="0.45">
      <c r="A63" s="153" t="str">
        <f>B63&amp;C63&amp;E63&amp;G63</f>
        <v>정수기노블 정수기 RO5자가관리</v>
      </c>
      <c r="B63" s="17" t="s">
        <v>2</v>
      </c>
      <c r="C63" s="22" t="s">
        <v>529</v>
      </c>
      <c r="D63" s="23" t="s">
        <v>620</v>
      </c>
      <c r="E63" s="23">
        <v>5</v>
      </c>
      <c r="F63" s="23" t="s">
        <v>0</v>
      </c>
      <c r="G63" s="20" t="s">
        <v>3</v>
      </c>
      <c r="H63" s="36">
        <v>38400</v>
      </c>
      <c r="I63" s="36">
        <v>36400</v>
      </c>
      <c r="J63" s="25">
        <v>264900</v>
      </c>
    </row>
    <row r="64" spans="1:10" ht="16" x14ac:dyDescent="0.45">
      <c r="A64" s="153" t="str">
        <f>B64&amp;C64&amp;E64&amp;G64</f>
        <v>정수기노블 정수기 RO6자가관리</v>
      </c>
      <c r="B64" s="17" t="s">
        <v>2</v>
      </c>
      <c r="C64" s="22" t="s">
        <v>529</v>
      </c>
      <c r="D64" s="23" t="s">
        <v>620</v>
      </c>
      <c r="E64" s="23">
        <v>6</v>
      </c>
      <c r="F64" s="23" t="s">
        <v>0</v>
      </c>
      <c r="G64" s="20" t="s">
        <v>3</v>
      </c>
      <c r="H64" s="36">
        <v>36900</v>
      </c>
      <c r="I64" s="36">
        <v>34900</v>
      </c>
      <c r="J64" s="25">
        <v>331100</v>
      </c>
    </row>
    <row r="65" spans="1:10" ht="16" x14ac:dyDescent="0.45">
      <c r="A65" s="153" t="str">
        <f>B65&amp;C65&amp;E65&amp;G65</f>
        <v>정수기노블 정수기 RO7자가관리</v>
      </c>
      <c r="B65" s="17" t="s">
        <v>2</v>
      </c>
      <c r="C65" s="22" t="s">
        <v>529</v>
      </c>
      <c r="D65" s="23" t="s">
        <v>620</v>
      </c>
      <c r="E65" s="23">
        <v>7</v>
      </c>
      <c r="F65" s="23" t="s">
        <v>0</v>
      </c>
      <c r="G65" s="20" t="s">
        <v>3</v>
      </c>
      <c r="H65" s="36">
        <v>35400</v>
      </c>
      <c r="I65" s="36">
        <v>33400</v>
      </c>
      <c r="J65" s="25">
        <v>331100</v>
      </c>
    </row>
    <row r="66" spans="1:10" ht="16" x14ac:dyDescent="0.45">
      <c r="A66" s="153" t="str">
        <f>B66&amp;C66&amp;E66&amp;G66</f>
        <v>정수기노블 정수기 RO36M(6개월점검주기)</v>
      </c>
      <c r="B66" s="17" t="s">
        <v>2</v>
      </c>
      <c r="C66" s="22" t="s">
        <v>529</v>
      </c>
      <c r="D66" s="23" t="s">
        <v>621</v>
      </c>
      <c r="E66" s="23">
        <v>3</v>
      </c>
      <c r="F66" s="23" t="s">
        <v>1</v>
      </c>
      <c r="G66" s="20" t="s">
        <v>454</v>
      </c>
      <c r="H66" s="36">
        <v>41900</v>
      </c>
      <c r="I66" s="36">
        <v>39900</v>
      </c>
      <c r="J66" s="25">
        <v>264900</v>
      </c>
    </row>
    <row r="67" spans="1:10" ht="16" x14ac:dyDescent="0.45">
      <c r="A67" s="153" t="str">
        <f>B67&amp;C67&amp;E67&amp;G67</f>
        <v>정수기노블 정수기 RO56M(6개월점검주기)</v>
      </c>
      <c r="B67" s="17" t="s">
        <v>2</v>
      </c>
      <c r="C67" s="22" t="s">
        <v>529</v>
      </c>
      <c r="D67" s="23" t="s">
        <v>621</v>
      </c>
      <c r="E67" s="23">
        <v>5</v>
      </c>
      <c r="F67" s="23" t="s">
        <v>0</v>
      </c>
      <c r="G67" s="20" t="s">
        <v>454</v>
      </c>
      <c r="H67" s="36">
        <v>39400</v>
      </c>
      <c r="I67" s="36">
        <v>37400</v>
      </c>
      <c r="J67" s="25">
        <v>264900</v>
      </c>
    </row>
    <row r="68" spans="1:10" ht="16" x14ac:dyDescent="0.45">
      <c r="A68" s="153" t="str">
        <f>B68&amp;C68&amp;E68&amp;G68</f>
        <v>정수기노블 정수기 RO66M(6개월점검주기)</v>
      </c>
      <c r="B68" s="17" t="s">
        <v>2</v>
      </c>
      <c r="C68" s="22" t="s">
        <v>529</v>
      </c>
      <c r="D68" s="23" t="s">
        <v>621</v>
      </c>
      <c r="E68" s="23">
        <v>6</v>
      </c>
      <c r="F68" s="23" t="s">
        <v>0</v>
      </c>
      <c r="G68" s="20" t="s">
        <v>454</v>
      </c>
      <c r="H68" s="36">
        <v>37900</v>
      </c>
      <c r="I68" s="36">
        <v>35900</v>
      </c>
      <c r="J68" s="25">
        <v>331100</v>
      </c>
    </row>
    <row r="69" spans="1:10" ht="16" x14ac:dyDescent="0.45">
      <c r="A69" s="153" t="str">
        <f>B69&amp;C69&amp;E69&amp;G69</f>
        <v>정수기노블 정수기 RO76M(6개월점검주기)</v>
      </c>
      <c r="B69" s="17" t="s">
        <v>2</v>
      </c>
      <c r="C69" s="22" t="s">
        <v>529</v>
      </c>
      <c r="D69" s="23" t="s">
        <v>621</v>
      </c>
      <c r="E69" s="23">
        <v>7</v>
      </c>
      <c r="F69" s="23" t="s">
        <v>0</v>
      </c>
      <c r="G69" s="20" t="s">
        <v>454</v>
      </c>
      <c r="H69" s="36">
        <v>36400</v>
      </c>
      <c r="I69" s="36">
        <v>34400</v>
      </c>
      <c r="J69" s="25">
        <v>331100</v>
      </c>
    </row>
    <row r="70" spans="1:10" ht="16" x14ac:dyDescent="0.45">
      <c r="A70" s="153" t="str">
        <f>B70&amp;C70&amp;E70&amp;G70</f>
        <v>정수기노블 정수기 RO3자가관리</v>
      </c>
      <c r="B70" s="17" t="s">
        <v>2</v>
      </c>
      <c r="C70" s="22" t="s">
        <v>529</v>
      </c>
      <c r="D70" s="23" t="s">
        <v>621</v>
      </c>
      <c r="E70" s="23">
        <v>3</v>
      </c>
      <c r="F70" s="23" t="s">
        <v>1</v>
      </c>
      <c r="G70" s="20" t="s">
        <v>3</v>
      </c>
      <c r="H70" s="36">
        <v>38900</v>
      </c>
      <c r="I70" s="36">
        <v>36900</v>
      </c>
      <c r="J70" s="25">
        <v>253700</v>
      </c>
    </row>
    <row r="71" spans="1:10" ht="16" x14ac:dyDescent="0.45">
      <c r="A71" s="153" t="str">
        <f>B71&amp;C71&amp;E71&amp;G71</f>
        <v>정수기노블 정수기 RO5자가관리</v>
      </c>
      <c r="B71" s="17" t="s">
        <v>2</v>
      </c>
      <c r="C71" s="22" t="s">
        <v>529</v>
      </c>
      <c r="D71" s="23" t="s">
        <v>621</v>
      </c>
      <c r="E71" s="23">
        <v>5</v>
      </c>
      <c r="F71" s="23" t="s">
        <v>0</v>
      </c>
      <c r="G71" s="20" t="s">
        <v>3</v>
      </c>
      <c r="H71" s="36">
        <v>36400</v>
      </c>
      <c r="I71" s="36">
        <v>34400</v>
      </c>
      <c r="J71" s="25">
        <v>253700</v>
      </c>
    </row>
    <row r="72" spans="1:10" ht="16" x14ac:dyDescent="0.45">
      <c r="A72" s="153" t="str">
        <f>B72&amp;C72&amp;E72&amp;G72</f>
        <v>정수기노블 정수기 RO6자가관리</v>
      </c>
      <c r="B72" s="17" t="s">
        <v>2</v>
      </c>
      <c r="C72" s="22" t="s">
        <v>529</v>
      </c>
      <c r="D72" s="23" t="s">
        <v>621</v>
      </c>
      <c r="E72" s="23">
        <v>6</v>
      </c>
      <c r="F72" s="23" t="s">
        <v>0</v>
      </c>
      <c r="G72" s="20" t="s">
        <v>3</v>
      </c>
      <c r="H72" s="36">
        <v>34900</v>
      </c>
      <c r="I72" s="36">
        <v>32900</v>
      </c>
      <c r="J72" s="25">
        <v>317100</v>
      </c>
    </row>
    <row r="73" spans="1:10" ht="16" x14ac:dyDescent="0.45">
      <c r="A73" s="153" t="str">
        <f>B73&amp;C73&amp;E73&amp;G73</f>
        <v>정수기노블 정수기 RO7자가관리</v>
      </c>
      <c r="B73" s="17" t="s">
        <v>2</v>
      </c>
      <c r="C73" s="22" t="s">
        <v>529</v>
      </c>
      <c r="D73" s="23" t="s">
        <v>621</v>
      </c>
      <c r="E73" s="23">
        <v>7</v>
      </c>
      <c r="F73" s="23" t="s">
        <v>0</v>
      </c>
      <c r="G73" s="20" t="s">
        <v>3</v>
      </c>
      <c r="H73" s="36">
        <v>33400</v>
      </c>
      <c r="I73" s="36">
        <v>31400</v>
      </c>
      <c r="J73" s="25">
        <v>317100</v>
      </c>
    </row>
    <row r="74" spans="1:10" ht="16" x14ac:dyDescent="0.45">
      <c r="A74" s="153" t="str">
        <f>B74&amp;C74&amp;E74&amp;G74</f>
        <v>정수기노블 정수기 가로36M(6개월점검주기)</v>
      </c>
      <c r="B74" s="17" t="s">
        <v>2</v>
      </c>
      <c r="C74" s="22" t="s">
        <v>530</v>
      </c>
      <c r="D74" s="23" t="s">
        <v>54</v>
      </c>
      <c r="E74" s="23">
        <v>3</v>
      </c>
      <c r="F74" s="23" t="s">
        <v>1</v>
      </c>
      <c r="G74" s="20" t="s">
        <v>454</v>
      </c>
      <c r="H74" s="36">
        <v>43900</v>
      </c>
      <c r="I74" s="36">
        <v>41900</v>
      </c>
      <c r="J74" s="25">
        <v>264900</v>
      </c>
    </row>
    <row r="75" spans="1:10" ht="16" x14ac:dyDescent="0.45">
      <c r="A75" s="153" t="str">
        <f>B75&amp;C75&amp;E75&amp;G75</f>
        <v>정수기노블 정수기 가로56M(6개월점검주기)</v>
      </c>
      <c r="B75" s="17" t="s">
        <v>2</v>
      </c>
      <c r="C75" s="22" t="s">
        <v>530</v>
      </c>
      <c r="D75" s="23" t="s">
        <v>54</v>
      </c>
      <c r="E75" s="23">
        <v>5</v>
      </c>
      <c r="F75" s="23" t="s">
        <v>0</v>
      </c>
      <c r="G75" s="20" t="s">
        <v>454</v>
      </c>
      <c r="H75" s="36">
        <v>41400</v>
      </c>
      <c r="I75" s="36">
        <v>39400</v>
      </c>
      <c r="J75" s="25">
        <v>264900</v>
      </c>
    </row>
    <row r="76" spans="1:10" ht="16" x14ac:dyDescent="0.45">
      <c r="A76" s="153" t="str">
        <f>B76&amp;C76&amp;E76&amp;G76</f>
        <v>정수기노블 정수기 가로66M(6개월점검주기)</v>
      </c>
      <c r="B76" s="17" t="s">
        <v>2</v>
      </c>
      <c r="C76" s="22" t="s">
        <v>530</v>
      </c>
      <c r="D76" s="23" t="s">
        <v>54</v>
      </c>
      <c r="E76" s="23">
        <v>6</v>
      </c>
      <c r="F76" s="23" t="s">
        <v>0</v>
      </c>
      <c r="G76" s="20" t="s">
        <v>454</v>
      </c>
      <c r="H76" s="36">
        <v>39900</v>
      </c>
      <c r="I76" s="36">
        <v>37900</v>
      </c>
      <c r="J76" s="25">
        <v>331100</v>
      </c>
    </row>
    <row r="77" spans="1:10" ht="16" x14ac:dyDescent="0.45">
      <c r="A77" s="153" t="str">
        <f>B77&amp;C77&amp;E77&amp;G77</f>
        <v>정수기노블 정수기 가로76M(6개월점검주기)</v>
      </c>
      <c r="B77" s="17" t="s">
        <v>2</v>
      </c>
      <c r="C77" s="22" t="s">
        <v>530</v>
      </c>
      <c r="D77" s="23" t="s">
        <v>54</v>
      </c>
      <c r="E77" s="23">
        <v>7</v>
      </c>
      <c r="F77" s="23" t="s">
        <v>0</v>
      </c>
      <c r="G77" s="20" t="s">
        <v>454</v>
      </c>
      <c r="H77" s="36">
        <v>38400</v>
      </c>
      <c r="I77" s="36">
        <v>36400</v>
      </c>
      <c r="J77" s="25">
        <v>331100</v>
      </c>
    </row>
    <row r="78" spans="1:10" ht="16" x14ac:dyDescent="0.45">
      <c r="A78" s="153" t="str">
        <f>B78&amp;C78&amp;E78&amp;G78</f>
        <v>정수기노블 정수기 가로3자가관리</v>
      </c>
      <c r="B78" s="17" t="s">
        <v>2</v>
      </c>
      <c r="C78" s="22" t="s">
        <v>530</v>
      </c>
      <c r="D78" s="23" t="s">
        <v>54</v>
      </c>
      <c r="E78" s="23">
        <v>3</v>
      </c>
      <c r="F78" s="23" t="s">
        <v>1</v>
      </c>
      <c r="G78" s="20" t="s">
        <v>3</v>
      </c>
      <c r="H78" s="36">
        <v>40900</v>
      </c>
      <c r="I78" s="36">
        <v>38900</v>
      </c>
      <c r="J78" s="25">
        <v>264900</v>
      </c>
    </row>
    <row r="79" spans="1:10" ht="16" x14ac:dyDescent="0.45">
      <c r="A79" s="153" t="str">
        <f>B79&amp;C79&amp;E79&amp;G79</f>
        <v>정수기노블 정수기 가로5자가관리</v>
      </c>
      <c r="B79" s="17" t="s">
        <v>2</v>
      </c>
      <c r="C79" s="22" t="s">
        <v>530</v>
      </c>
      <c r="D79" s="23" t="s">
        <v>54</v>
      </c>
      <c r="E79" s="23">
        <v>5</v>
      </c>
      <c r="F79" s="23" t="s">
        <v>0</v>
      </c>
      <c r="G79" s="20" t="s">
        <v>3</v>
      </c>
      <c r="H79" s="36">
        <v>38400</v>
      </c>
      <c r="I79" s="36">
        <v>36400</v>
      </c>
      <c r="J79" s="25">
        <v>264900</v>
      </c>
    </row>
    <row r="80" spans="1:10" ht="16" x14ac:dyDescent="0.45">
      <c r="A80" s="153" t="str">
        <f>B80&amp;C80&amp;E80&amp;G80</f>
        <v>정수기노블 정수기 가로6자가관리</v>
      </c>
      <c r="B80" s="17" t="s">
        <v>2</v>
      </c>
      <c r="C80" s="22" t="s">
        <v>530</v>
      </c>
      <c r="D80" s="23" t="s">
        <v>54</v>
      </c>
      <c r="E80" s="23">
        <v>6</v>
      </c>
      <c r="F80" s="23" t="s">
        <v>0</v>
      </c>
      <c r="G80" s="20" t="s">
        <v>3</v>
      </c>
      <c r="H80" s="36">
        <v>36900</v>
      </c>
      <c r="I80" s="36">
        <v>34900</v>
      </c>
      <c r="J80" s="25">
        <v>331100</v>
      </c>
    </row>
    <row r="81" spans="1:10" ht="16" x14ac:dyDescent="0.45">
      <c r="A81" s="153" t="str">
        <f>B81&amp;C81&amp;E81&amp;G81</f>
        <v>정수기노블 정수기 가로7자가관리</v>
      </c>
      <c r="B81" s="17" t="s">
        <v>2</v>
      </c>
      <c r="C81" s="22" t="s">
        <v>530</v>
      </c>
      <c r="D81" s="23" t="s">
        <v>54</v>
      </c>
      <c r="E81" s="23">
        <v>7</v>
      </c>
      <c r="F81" s="23" t="s">
        <v>0</v>
      </c>
      <c r="G81" s="20" t="s">
        <v>3</v>
      </c>
      <c r="H81" s="36">
        <v>35400</v>
      </c>
      <c r="I81" s="36">
        <v>33400</v>
      </c>
      <c r="J81" s="25">
        <v>331100</v>
      </c>
    </row>
    <row r="82" spans="1:10" ht="16" x14ac:dyDescent="0.45">
      <c r="A82" s="153" t="str">
        <f>B82&amp;C82&amp;E82&amp;G82</f>
        <v>정수기노블 정수기 가로36M(6개월점검주기)</v>
      </c>
      <c r="B82" s="17" t="s">
        <v>2</v>
      </c>
      <c r="C82" s="22" t="s">
        <v>530</v>
      </c>
      <c r="D82" s="23" t="s">
        <v>18</v>
      </c>
      <c r="E82" s="23">
        <v>3</v>
      </c>
      <c r="F82" s="23" t="s">
        <v>1</v>
      </c>
      <c r="G82" s="20" t="s">
        <v>454</v>
      </c>
      <c r="H82" s="36">
        <v>41900</v>
      </c>
      <c r="I82" s="36">
        <v>39900</v>
      </c>
      <c r="J82" s="25">
        <v>264900</v>
      </c>
    </row>
    <row r="83" spans="1:10" ht="16" x14ac:dyDescent="0.45">
      <c r="A83" s="153" t="str">
        <f>B83&amp;C83&amp;E83&amp;G83</f>
        <v>정수기노블 정수기 가로56M(6개월점검주기)</v>
      </c>
      <c r="B83" s="17" t="s">
        <v>2</v>
      </c>
      <c r="C83" s="22" t="s">
        <v>530</v>
      </c>
      <c r="D83" s="23" t="s">
        <v>18</v>
      </c>
      <c r="E83" s="23">
        <v>5</v>
      </c>
      <c r="F83" s="23" t="s">
        <v>0</v>
      </c>
      <c r="G83" s="20" t="s">
        <v>454</v>
      </c>
      <c r="H83" s="36">
        <v>39400</v>
      </c>
      <c r="I83" s="36">
        <v>37400</v>
      </c>
      <c r="J83" s="25">
        <v>264900</v>
      </c>
    </row>
    <row r="84" spans="1:10" ht="16" x14ac:dyDescent="0.45">
      <c r="A84" s="153" t="str">
        <f>B84&amp;C84&amp;E84&amp;G84</f>
        <v>정수기노블 정수기 가로66M(6개월점검주기)</v>
      </c>
      <c r="B84" s="17" t="s">
        <v>2</v>
      </c>
      <c r="C84" s="22" t="s">
        <v>530</v>
      </c>
      <c r="D84" s="23" t="s">
        <v>18</v>
      </c>
      <c r="E84" s="23">
        <v>6</v>
      </c>
      <c r="F84" s="23" t="s">
        <v>0</v>
      </c>
      <c r="G84" s="20" t="s">
        <v>454</v>
      </c>
      <c r="H84" s="36">
        <v>37900</v>
      </c>
      <c r="I84" s="36">
        <v>35900</v>
      </c>
      <c r="J84" s="25">
        <v>331100</v>
      </c>
    </row>
    <row r="85" spans="1:10" ht="16" x14ac:dyDescent="0.45">
      <c r="A85" s="153" t="str">
        <f>B85&amp;C85&amp;E85&amp;G85</f>
        <v>정수기노블 정수기 가로76M(6개월점검주기)</v>
      </c>
      <c r="B85" s="17" t="s">
        <v>2</v>
      </c>
      <c r="C85" s="22" t="s">
        <v>530</v>
      </c>
      <c r="D85" s="23" t="s">
        <v>18</v>
      </c>
      <c r="E85" s="23">
        <v>7</v>
      </c>
      <c r="F85" s="23" t="s">
        <v>0</v>
      </c>
      <c r="G85" s="20" t="s">
        <v>454</v>
      </c>
      <c r="H85" s="36">
        <v>36400</v>
      </c>
      <c r="I85" s="36">
        <v>34400</v>
      </c>
      <c r="J85" s="25">
        <v>331100</v>
      </c>
    </row>
    <row r="86" spans="1:10" ht="16" x14ac:dyDescent="0.45">
      <c r="A86" s="153" t="str">
        <f>B86&amp;C86&amp;E86&amp;G86</f>
        <v>정수기노블 정수기 가로3자가관리</v>
      </c>
      <c r="B86" s="17" t="s">
        <v>2</v>
      </c>
      <c r="C86" s="22" t="s">
        <v>530</v>
      </c>
      <c r="D86" s="23" t="s">
        <v>18</v>
      </c>
      <c r="E86" s="23">
        <v>3</v>
      </c>
      <c r="F86" s="23" t="s">
        <v>1</v>
      </c>
      <c r="G86" s="20" t="s">
        <v>3</v>
      </c>
      <c r="H86" s="36">
        <v>38900</v>
      </c>
      <c r="I86" s="36">
        <v>36900</v>
      </c>
      <c r="J86" s="25">
        <v>253700</v>
      </c>
    </row>
    <row r="87" spans="1:10" ht="16" x14ac:dyDescent="0.45">
      <c r="A87" s="153" t="str">
        <f>B87&amp;C87&amp;E87&amp;G87</f>
        <v>정수기노블 정수기 가로5자가관리</v>
      </c>
      <c r="B87" s="17" t="s">
        <v>2</v>
      </c>
      <c r="C87" s="22" t="s">
        <v>530</v>
      </c>
      <c r="D87" s="23" t="s">
        <v>18</v>
      </c>
      <c r="E87" s="23">
        <v>5</v>
      </c>
      <c r="F87" s="23" t="s">
        <v>0</v>
      </c>
      <c r="G87" s="20" t="s">
        <v>3</v>
      </c>
      <c r="H87" s="36">
        <v>36400</v>
      </c>
      <c r="I87" s="36">
        <v>34400</v>
      </c>
      <c r="J87" s="25">
        <v>253700</v>
      </c>
    </row>
    <row r="88" spans="1:10" ht="16" x14ac:dyDescent="0.45">
      <c r="A88" s="153" t="str">
        <f>B88&amp;C88&amp;E88&amp;G88</f>
        <v>정수기노블 정수기 가로6자가관리</v>
      </c>
      <c r="B88" s="17" t="s">
        <v>2</v>
      </c>
      <c r="C88" s="22" t="s">
        <v>530</v>
      </c>
      <c r="D88" s="23" t="s">
        <v>18</v>
      </c>
      <c r="E88" s="23">
        <v>6</v>
      </c>
      <c r="F88" s="23" t="s">
        <v>0</v>
      </c>
      <c r="G88" s="20" t="s">
        <v>3</v>
      </c>
      <c r="H88" s="36">
        <v>34900</v>
      </c>
      <c r="I88" s="36">
        <v>32900</v>
      </c>
      <c r="J88" s="25">
        <v>317100</v>
      </c>
    </row>
    <row r="89" spans="1:10" ht="16" x14ac:dyDescent="0.45">
      <c r="A89" s="153" t="str">
        <f>B89&amp;C89&amp;E89&amp;G89</f>
        <v>정수기노블 정수기 가로7자가관리</v>
      </c>
      <c r="B89" s="17" t="s">
        <v>2</v>
      </c>
      <c r="C89" s="22" t="s">
        <v>530</v>
      </c>
      <c r="D89" s="23" t="s">
        <v>18</v>
      </c>
      <c r="E89" s="23">
        <v>7</v>
      </c>
      <c r="F89" s="23" t="s">
        <v>0</v>
      </c>
      <c r="G89" s="20" t="s">
        <v>3</v>
      </c>
      <c r="H89" s="36">
        <v>33400</v>
      </c>
      <c r="I89" s="36">
        <v>31400</v>
      </c>
      <c r="J89" s="25">
        <v>317100</v>
      </c>
    </row>
    <row r="90" spans="1:10" ht="16" x14ac:dyDescent="0.45">
      <c r="A90" s="153" t="str">
        <f>B90&amp;C90&amp;E90&amp;G90</f>
        <v>정수기노블 정수기 세로36M(6개월점검주기)</v>
      </c>
      <c r="B90" s="17" t="s">
        <v>2</v>
      </c>
      <c r="C90" s="22" t="s">
        <v>531</v>
      </c>
      <c r="D90" s="23" t="s">
        <v>617</v>
      </c>
      <c r="E90" s="23">
        <v>3</v>
      </c>
      <c r="F90" s="23" t="s">
        <v>1</v>
      </c>
      <c r="G90" s="20" t="s">
        <v>454</v>
      </c>
      <c r="H90" s="36">
        <v>43900</v>
      </c>
      <c r="I90" s="36">
        <v>41900</v>
      </c>
      <c r="J90" s="25">
        <v>264900</v>
      </c>
    </row>
    <row r="91" spans="1:10" ht="16" x14ac:dyDescent="0.45">
      <c r="A91" s="153" t="str">
        <f>B91&amp;C91&amp;E91&amp;G91</f>
        <v>정수기노블 정수기 세로56M(6개월점검주기)</v>
      </c>
      <c r="B91" s="17" t="s">
        <v>2</v>
      </c>
      <c r="C91" s="22" t="s">
        <v>531</v>
      </c>
      <c r="D91" s="23" t="s">
        <v>617</v>
      </c>
      <c r="E91" s="23">
        <v>5</v>
      </c>
      <c r="F91" s="23" t="s">
        <v>0</v>
      </c>
      <c r="G91" s="20" t="s">
        <v>454</v>
      </c>
      <c r="H91" s="36">
        <v>41400</v>
      </c>
      <c r="I91" s="36">
        <v>39400</v>
      </c>
      <c r="J91" s="25">
        <v>264900</v>
      </c>
    </row>
    <row r="92" spans="1:10" ht="16" x14ac:dyDescent="0.45">
      <c r="A92" s="153" t="str">
        <f>B92&amp;C92&amp;E92&amp;G92</f>
        <v>정수기노블 정수기 세로66M(6개월점검주기)</v>
      </c>
      <c r="B92" s="17" t="s">
        <v>2</v>
      </c>
      <c r="C92" s="22" t="s">
        <v>531</v>
      </c>
      <c r="D92" s="23" t="s">
        <v>617</v>
      </c>
      <c r="E92" s="23">
        <v>6</v>
      </c>
      <c r="F92" s="23" t="s">
        <v>0</v>
      </c>
      <c r="G92" s="20" t="s">
        <v>454</v>
      </c>
      <c r="H92" s="36">
        <v>39900</v>
      </c>
      <c r="I92" s="36">
        <v>37900</v>
      </c>
      <c r="J92" s="25">
        <v>331100</v>
      </c>
    </row>
    <row r="93" spans="1:10" ht="16" x14ac:dyDescent="0.45">
      <c r="A93" s="153" t="str">
        <f>B93&amp;C93&amp;E93&amp;G93</f>
        <v>정수기노블 정수기 세로76M(6개월점검주기)</v>
      </c>
      <c r="B93" s="17" t="s">
        <v>2</v>
      </c>
      <c r="C93" s="22" t="s">
        <v>531</v>
      </c>
      <c r="D93" s="23" t="s">
        <v>617</v>
      </c>
      <c r="E93" s="23">
        <v>7</v>
      </c>
      <c r="F93" s="23" t="s">
        <v>0</v>
      </c>
      <c r="G93" s="20" t="s">
        <v>454</v>
      </c>
      <c r="H93" s="36">
        <v>38400</v>
      </c>
      <c r="I93" s="36">
        <v>36400</v>
      </c>
      <c r="J93" s="25">
        <v>331100</v>
      </c>
    </row>
    <row r="94" spans="1:10" ht="16" x14ac:dyDescent="0.45">
      <c r="A94" s="153" t="str">
        <f>B94&amp;C94&amp;E94&amp;G94</f>
        <v>정수기노블 정수기 세로3자가관리</v>
      </c>
      <c r="B94" s="17" t="s">
        <v>2</v>
      </c>
      <c r="C94" s="22" t="s">
        <v>531</v>
      </c>
      <c r="D94" s="23" t="s">
        <v>617</v>
      </c>
      <c r="E94" s="23">
        <v>3</v>
      </c>
      <c r="F94" s="23" t="s">
        <v>1</v>
      </c>
      <c r="G94" s="20" t="s">
        <v>3</v>
      </c>
      <c r="H94" s="36">
        <v>40900</v>
      </c>
      <c r="I94" s="36">
        <v>38900</v>
      </c>
      <c r="J94" s="25">
        <v>264900</v>
      </c>
    </row>
    <row r="95" spans="1:10" ht="16" x14ac:dyDescent="0.45">
      <c r="A95" s="153" t="str">
        <f>B95&amp;C95&amp;E95&amp;G95</f>
        <v>정수기노블 정수기 세로5자가관리</v>
      </c>
      <c r="B95" s="17" t="s">
        <v>2</v>
      </c>
      <c r="C95" s="22" t="s">
        <v>531</v>
      </c>
      <c r="D95" s="23" t="s">
        <v>617</v>
      </c>
      <c r="E95" s="23">
        <v>5</v>
      </c>
      <c r="F95" s="23" t="s">
        <v>0</v>
      </c>
      <c r="G95" s="20" t="s">
        <v>3</v>
      </c>
      <c r="H95" s="36">
        <v>38400</v>
      </c>
      <c r="I95" s="36">
        <v>36400</v>
      </c>
      <c r="J95" s="25">
        <v>264900</v>
      </c>
    </row>
    <row r="96" spans="1:10" ht="16" x14ac:dyDescent="0.45">
      <c r="A96" s="153" t="str">
        <f>B96&amp;C96&amp;E96&amp;G96</f>
        <v>정수기노블 정수기 세로6자가관리</v>
      </c>
      <c r="B96" s="17" t="s">
        <v>2</v>
      </c>
      <c r="C96" s="22" t="s">
        <v>531</v>
      </c>
      <c r="D96" s="23" t="s">
        <v>617</v>
      </c>
      <c r="E96" s="23">
        <v>6</v>
      </c>
      <c r="F96" s="23" t="s">
        <v>0</v>
      </c>
      <c r="G96" s="20" t="s">
        <v>3</v>
      </c>
      <c r="H96" s="36">
        <v>36900</v>
      </c>
      <c r="I96" s="36">
        <v>34900</v>
      </c>
      <c r="J96" s="25">
        <v>331100</v>
      </c>
    </row>
    <row r="97" spans="1:10" ht="16" x14ac:dyDescent="0.45">
      <c r="A97" s="153" t="str">
        <f>B97&amp;C97&amp;E97&amp;G97</f>
        <v>정수기노블 정수기 세로7자가관리</v>
      </c>
      <c r="B97" s="17" t="s">
        <v>2</v>
      </c>
      <c r="C97" s="22" t="s">
        <v>531</v>
      </c>
      <c r="D97" s="23" t="s">
        <v>617</v>
      </c>
      <c r="E97" s="23">
        <v>7</v>
      </c>
      <c r="F97" s="23" t="s">
        <v>0</v>
      </c>
      <c r="G97" s="20" t="s">
        <v>3</v>
      </c>
      <c r="H97" s="36">
        <v>35400</v>
      </c>
      <c r="I97" s="36">
        <v>33400</v>
      </c>
      <c r="J97" s="25">
        <v>331100</v>
      </c>
    </row>
    <row r="98" spans="1:10" ht="16" x14ac:dyDescent="0.45">
      <c r="A98" s="153" t="str">
        <f>B98&amp;C98&amp;E98&amp;G98</f>
        <v>정수기노블 정수기 세로36M(6개월점검주기)</v>
      </c>
      <c r="B98" s="17" t="s">
        <v>2</v>
      </c>
      <c r="C98" s="22" t="s">
        <v>531</v>
      </c>
      <c r="D98" s="23" t="s">
        <v>618</v>
      </c>
      <c r="E98" s="23">
        <v>3</v>
      </c>
      <c r="F98" s="23" t="s">
        <v>1</v>
      </c>
      <c r="G98" s="20" t="s">
        <v>454</v>
      </c>
      <c r="H98" s="36">
        <v>41900</v>
      </c>
      <c r="I98" s="36">
        <v>39900</v>
      </c>
      <c r="J98" s="25">
        <v>264900</v>
      </c>
    </row>
    <row r="99" spans="1:10" ht="16" x14ac:dyDescent="0.45">
      <c r="A99" s="153" t="str">
        <f>B99&amp;C99&amp;E99&amp;G99</f>
        <v>정수기노블 정수기 세로56M(6개월점검주기)</v>
      </c>
      <c r="B99" s="17" t="s">
        <v>2</v>
      </c>
      <c r="C99" s="22" t="s">
        <v>531</v>
      </c>
      <c r="D99" s="23" t="s">
        <v>618</v>
      </c>
      <c r="E99" s="23">
        <v>5</v>
      </c>
      <c r="F99" s="23" t="s">
        <v>0</v>
      </c>
      <c r="G99" s="20" t="s">
        <v>454</v>
      </c>
      <c r="H99" s="36">
        <v>39400</v>
      </c>
      <c r="I99" s="36">
        <v>37400</v>
      </c>
      <c r="J99" s="25">
        <v>264900</v>
      </c>
    </row>
    <row r="100" spans="1:10" ht="16" x14ac:dyDescent="0.45">
      <c r="A100" s="153" t="str">
        <f>B100&amp;C100&amp;E100&amp;G100</f>
        <v>정수기노블 정수기 세로66M(6개월점검주기)</v>
      </c>
      <c r="B100" s="17" t="s">
        <v>2</v>
      </c>
      <c r="C100" s="22" t="s">
        <v>531</v>
      </c>
      <c r="D100" s="23" t="s">
        <v>618</v>
      </c>
      <c r="E100" s="23">
        <v>6</v>
      </c>
      <c r="F100" s="23" t="s">
        <v>0</v>
      </c>
      <c r="G100" s="20" t="s">
        <v>454</v>
      </c>
      <c r="H100" s="36">
        <v>37900</v>
      </c>
      <c r="I100" s="36">
        <v>35900</v>
      </c>
      <c r="J100" s="25">
        <v>331100</v>
      </c>
    </row>
    <row r="101" spans="1:10" ht="16" x14ac:dyDescent="0.45">
      <c r="A101" s="153" t="str">
        <f>B101&amp;C101&amp;E101&amp;G101</f>
        <v>정수기노블 정수기 세로76M(6개월점검주기)</v>
      </c>
      <c r="B101" s="17" t="s">
        <v>2</v>
      </c>
      <c r="C101" s="22" t="s">
        <v>531</v>
      </c>
      <c r="D101" s="23" t="s">
        <v>618</v>
      </c>
      <c r="E101" s="23">
        <v>7</v>
      </c>
      <c r="F101" s="23" t="s">
        <v>0</v>
      </c>
      <c r="G101" s="20" t="s">
        <v>454</v>
      </c>
      <c r="H101" s="36">
        <v>36400</v>
      </c>
      <c r="I101" s="36">
        <v>34400</v>
      </c>
      <c r="J101" s="25">
        <v>331100</v>
      </c>
    </row>
    <row r="102" spans="1:10" ht="16" x14ac:dyDescent="0.45">
      <c r="A102" s="153" t="str">
        <f>B102&amp;C102&amp;E102&amp;G102</f>
        <v>정수기노블 정수기 세로3자가관리</v>
      </c>
      <c r="B102" s="17" t="s">
        <v>2</v>
      </c>
      <c r="C102" s="22" t="s">
        <v>531</v>
      </c>
      <c r="D102" s="23" t="s">
        <v>618</v>
      </c>
      <c r="E102" s="23">
        <v>3</v>
      </c>
      <c r="F102" s="23" t="s">
        <v>1</v>
      </c>
      <c r="G102" s="20" t="s">
        <v>3</v>
      </c>
      <c r="H102" s="36">
        <v>38900</v>
      </c>
      <c r="I102" s="36">
        <v>36900</v>
      </c>
      <c r="J102" s="25">
        <v>253700</v>
      </c>
    </row>
    <row r="103" spans="1:10" ht="16" x14ac:dyDescent="0.45">
      <c r="A103" s="153" t="str">
        <f>B103&amp;C103&amp;E103&amp;G103</f>
        <v>정수기노블 정수기 세로5자가관리</v>
      </c>
      <c r="B103" s="17" t="s">
        <v>2</v>
      </c>
      <c r="C103" s="22" t="s">
        <v>531</v>
      </c>
      <c r="D103" s="23" t="s">
        <v>618</v>
      </c>
      <c r="E103" s="23">
        <v>5</v>
      </c>
      <c r="F103" s="23" t="s">
        <v>0</v>
      </c>
      <c r="G103" s="20" t="s">
        <v>3</v>
      </c>
      <c r="H103" s="36">
        <v>36400</v>
      </c>
      <c r="I103" s="36">
        <v>34400</v>
      </c>
      <c r="J103" s="25">
        <v>253700</v>
      </c>
    </row>
    <row r="104" spans="1:10" ht="16" x14ac:dyDescent="0.45">
      <c r="A104" s="153" t="str">
        <f>B104&amp;C104&amp;E104&amp;G104</f>
        <v>정수기노블 정수기 세로6자가관리</v>
      </c>
      <c r="B104" s="17" t="s">
        <v>2</v>
      </c>
      <c r="C104" s="22" t="s">
        <v>531</v>
      </c>
      <c r="D104" s="23" t="s">
        <v>618</v>
      </c>
      <c r="E104" s="23">
        <v>6</v>
      </c>
      <c r="F104" s="23" t="s">
        <v>0</v>
      </c>
      <c r="G104" s="20" t="s">
        <v>3</v>
      </c>
      <c r="H104" s="36">
        <v>34900</v>
      </c>
      <c r="I104" s="36">
        <v>32900</v>
      </c>
      <c r="J104" s="25">
        <v>317100</v>
      </c>
    </row>
    <row r="105" spans="1:10" ht="16" x14ac:dyDescent="0.45">
      <c r="A105" s="153" t="str">
        <f>B105&amp;C105&amp;E105&amp;G105</f>
        <v>정수기노블 정수기 세로7자가관리</v>
      </c>
      <c r="B105" s="17" t="s">
        <v>2</v>
      </c>
      <c r="C105" s="22" t="s">
        <v>531</v>
      </c>
      <c r="D105" s="23" t="s">
        <v>618</v>
      </c>
      <c r="E105" s="23">
        <v>7</v>
      </c>
      <c r="F105" s="23" t="s">
        <v>0</v>
      </c>
      <c r="G105" s="20" t="s">
        <v>3</v>
      </c>
      <c r="H105" s="36">
        <v>33400</v>
      </c>
      <c r="I105" s="36">
        <v>31400</v>
      </c>
      <c r="J105" s="25">
        <v>317100</v>
      </c>
    </row>
    <row r="106" spans="1:10" ht="16" x14ac:dyDescent="0.45">
      <c r="A106" s="153" t="str">
        <f>B106&amp;C106&amp;E106&amp;G106</f>
        <v>정수기빌트인 정수기36M(6개월점검주기)</v>
      </c>
      <c r="B106" s="17" t="s">
        <v>2</v>
      </c>
      <c r="C106" s="22" t="s">
        <v>532</v>
      </c>
      <c r="D106" s="23" t="s">
        <v>4</v>
      </c>
      <c r="E106" s="23">
        <v>3</v>
      </c>
      <c r="F106" s="23" t="s">
        <v>1</v>
      </c>
      <c r="G106" s="20" t="s">
        <v>454</v>
      </c>
      <c r="H106" s="36">
        <v>23800</v>
      </c>
      <c r="I106" s="36">
        <v>23800</v>
      </c>
      <c r="J106" s="25">
        <v>200100</v>
      </c>
    </row>
    <row r="107" spans="1:10" ht="16" x14ac:dyDescent="0.45">
      <c r="A107" s="153" t="str">
        <f>B107&amp;C107&amp;E107&amp;G107</f>
        <v>정수기빌트인 정수기56M(6개월점검주기)</v>
      </c>
      <c r="B107" s="17" t="s">
        <v>2</v>
      </c>
      <c r="C107" s="22" t="s">
        <v>532</v>
      </c>
      <c r="D107" s="23" t="s">
        <v>4</v>
      </c>
      <c r="E107" s="23">
        <v>5</v>
      </c>
      <c r="F107" s="23" t="s">
        <v>0</v>
      </c>
      <c r="G107" s="20" t="s">
        <v>454</v>
      </c>
      <c r="H107" s="36">
        <v>21300</v>
      </c>
      <c r="I107" s="36">
        <v>21300</v>
      </c>
      <c r="J107" s="25">
        <v>200100</v>
      </c>
    </row>
    <row r="108" spans="1:10" ht="16" x14ac:dyDescent="0.45">
      <c r="A108" s="153" t="str">
        <f>B108&amp;C108&amp;E108&amp;G108</f>
        <v>정수기빌트인 정수기66M(6개월점검주기)</v>
      </c>
      <c r="B108" s="17" t="s">
        <v>2</v>
      </c>
      <c r="C108" s="22" t="s">
        <v>532</v>
      </c>
      <c r="D108" s="23" t="s">
        <v>4</v>
      </c>
      <c r="E108" s="23">
        <v>6</v>
      </c>
      <c r="F108" s="23" t="s">
        <v>0</v>
      </c>
      <c r="G108" s="20" t="s">
        <v>454</v>
      </c>
      <c r="H108" s="36">
        <v>19800</v>
      </c>
      <c r="I108" s="36">
        <v>19800</v>
      </c>
      <c r="J108" s="25">
        <v>250100</v>
      </c>
    </row>
    <row r="109" spans="1:10" ht="16" x14ac:dyDescent="0.45">
      <c r="A109" s="153" t="str">
        <f>B109&amp;C109&amp;E109&amp;G109</f>
        <v>정수기스위치36M(6개월점검주기)</v>
      </c>
      <c r="B109" s="17" t="s">
        <v>2</v>
      </c>
      <c r="C109" s="22" t="s">
        <v>533</v>
      </c>
      <c r="D109" s="23" t="s">
        <v>693</v>
      </c>
      <c r="E109" s="23">
        <v>3</v>
      </c>
      <c r="F109" s="23" t="s">
        <v>1</v>
      </c>
      <c r="G109" s="20" t="s">
        <v>454</v>
      </c>
      <c r="H109" s="36">
        <v>23900</v>
      </c>
      <c r="I109" s="36">
        <v>21900</v>
      </c>
      <c r="J109" s="25">
        <v>188900</v>
      </c>
    </row>
    <row r="110" spans="1:10" ht="16" x14ac:dyDescent="0.45">
      <c r="A110" s="153" t="str">
        <f>B110&amp;C110&amp;E110&amp;G110</f>
        <v>정수기스위치56M(6개월점검주기)</v>
      </c>
      <c r="B110" s="17" t="s">
        <v>2</v>
      </c>
      <c r="C110" s="22" t="s">
        <v>533</v>
      </c>
      <c r="D110" s="23" t="s">
        <v>693</v>
      </c>
      <c r="E110" s="23">
        <v>5</v>
      </c>
      <c r="F110" s="23" t="s">
        <v>0</v>
      </c>
      <c r="G110" s="20" t="s">
        <v>454</v>
      </c>
      <c r="H110" s="36">
        <v>21900</v>
      </c>
      <c r="I110" s="36">
        <v>19900</v>
      </c>
      <c r="J110" s="25">
        <v>188900</v>
      </c>
    </row>
    <row r="111" spans="1:10" ht="16" x14ac:dyDescent="0.45">
      <c r="A111" s="153" t="str">
        <f>B111&amp;C111&amp;E111&amp;G111</f>
        <v>정수기스위치66M(6개월점검주기)</v>
      </c>
      <c r="B111" s="17" t="s">
        <v>2</v>
      </c>
      <c r="C111" s="22" t="s">
        <v>533</v>
      </c>
      <c r="D111" s="23" t="s">
        <v>693</v>
      </c>
      <c r="E111" s="23">
        <v>6</v>
      </c>
      <c r="F111" s="23" t="s">
        <v>0</v>
      </c>
      <c r="G111" s="20" t="s">
        <v>454</v>
      </c>
      <c r="H111" s="36">
        <v>20900</v>
      </c>
      <c r="I111" s="36">
        <v>18900</v>
      </c>
      <c r="J111" s="25">
        <v>236100</v>
      </c>
    </row>
    <row r="112" spans="1:10" ht="16" x14ac:dyDescent="0.45">
      <c r="A112" s="153" t="str">
        <f>B112&amp;C112&amp;E112&amp;G112</f>
        <v>정수기스위치76M(6개월점검주기)</v>
      </c>
      <c r="B112" s="17" t="s">
        <v>2</v>
      </c>
      <c r="C112" s="22" t="s">
        <v>533</v>
      </c>
      <c r="D112" s="23" t="s">
        <v>693</v>
      </c>
      <c r="E112" s="23">
        <v>7</v>
      </c>
      <c r="F112" s="23" t="s">
        <v>0</v>
      </c>
      <c r="G112" s="20" t="s">
        <v>454</v>
      </c>
      <c r="H112" s="36">
        <v>19900</v>
      </c>
      <c r="I112" s="36">
        <v>17900</v>
      </c>
      <c r="J112" s="25">
        <v>236100</v>
      </c>
    </row>
    <row r="113" spans="1:10" ht="16" x14ac:dyDescent="0.45">
      <c r="A113" s="153" t="str">
        <f>B113&amp;C113&amp;E113&amp;G113</f>
        <v>정수기스위치3자가관리</v>
      </c>
      <c r="B113" s="17" t="s">
        <v>2</v>
      </c>
      <c r="C113" s="22" t="s">
        <v>533</v>
      </c>
      <c r="D113" s="23" t="s">
        <v>693</v>
      </c>
      <c r="E113" s="23">
        <v>3</v>
      </c>
      <c r="F113" s="23" t="s">
        <v>1</v>
      </c>
      <c r="G113" s="20" t="s">
        <v>3</v>
      </c>
      <c r="H113" s="36">
        <v>21900</v>
      </c>
      <c r="I113" s="36">
        <v>19900</v>
      </c>
      <c r="J113" s="25">
        <v>188900</v>
      </c>
    </row>
    <row r="114" spans="1:10" ht="16" x14ac:dyDescent="0.45">
      <c r="A114" s="153" t="str">
        <f>B114&amp;C114&amp;E114&amp;G114</f>
        <v>정수기스위치5자가관리</v>
      </c>
      <c r="B114" s="17" t="s">
        <v>2</v>
      </c>
      <c r="C114" s="22" t="s">
        <v>533</v>
      </c>
      <c r="D114" s="23" t="s">
        <v>693</v>
      </c>
      <c r="E114" s="23">
        <v>5</v>
      </c>
      <c r="F114" s="23" t="s">
        <v>0</v>
      </c>
      <c r="G114" s="20" t="s">
        <v>3</v>
      </c>
      <c r="H114" s="36">
        <v>19900</v>
      </c>
      <c r="I114" s="36">
        <v>17900</v>
      </c>
      <c r="J114" s="25">
        <v>188900</v>
      </c>
    </row>
    <row r="115" spans="1:10" ht="16" x14ac:dyDescent="0.45">
      <c r="A115" s="153" t="str">
        <f>B115&amp;C115&amp;E115&amp;G115</f>
        <v>정수기스위치6자가관리</v>
      </c>
      <c r="B115" s="17" t="s">
        <v>2</v>
      </c>
      <c r="C115" s="22" t="s">
        <v>533</v>
      </c>
      <c r="D115" s="23" t="s">
        <v>693</v>
      </c>
      <c r="E115" s="23">
        <v>6</v>
      </c>
      <c r="F115" s="23" t="s">
        <v>0</v>
      </c>
      <c r="G115" s="20" t="s">
        <v>3</v>
      </c>
      <c r="H115" s="36">
        <v>18900</v>
      </c>
      <c r="I115" s="36">
        <v>16900</v>
      </c>
      <c r="J115" s="25">
        <v>236100</v>
      </c>
    </row>
    <row r="116" spans="1:10" ht="16" x14ac:dyDescent="0.45">
      <c r="A116" s="153" t="str">
        <f>B116&amp;C116&amp;E116&amp;G116</f>
        <v>정수기스위치7자가관리</v>
      </c>
      <c r="B116" s="17" t="s">
        <v>2</v>
      </c>
      <c r="C116" s="22" t="s">
        <v>533</v>
      </c>
      <c r="D116" s="23" t="s">
        <v>693</v>
      </c>
      <c r="E116" s="23">
        <v>7</v>
      </c>
      <c r="F116" s="23" t="s">
        <v>0</v>
      </c>
      <c r="G116" s="20" t="s">
        <v>3</v>
      </c>
      <c r="H116" s="36">
        <v>17900</v>
      </c>
      <c r="I116" s="36">
        <v>15900</v>
      </c>
      <c r="J116" s="25">
        <v>236100</v>
      </c>
    </row>
    <row r="117" spans="1:10" ht="16" x14ac:dyDescent="0.45">
      <c r="A117" s="153" t="str">
        <f>B117&amp;C117&amp;E117&amp;G117</f>
        <v>정수기스위치빌트인36M(6개월점검주기)</v>
      </c>
      <c r="B117" s="17" t="s">
        <v>2</v>
      </c>
      <c r="C117" s="22" t="s">
        <v>943</v>
      </c>
      <c r="D117" s="23" t="s">
        <v>944</v>
      </c>
      <c r="E117" s="23">
        <v>3</v>
      </c>
      <c r="F117" s="23" t="s">
        <v>1</v>
      </c>
      <c r="G117" s="20" t="s">
        <v>454</v>
      </c>
      <c r="H117" s="36">
        <v>24900</v>
      </c>
      <c r="I117" s="36">
        <v>22900</v>
      </c>
      <c r="J117" s="25">
        <v>200100</v>
      </c>
    </row>
    <row r="118" spans="1:10" ht="16" x14ac:dyDescent="0.45">
      <c r="A118" s="153" t="str">
        <f>B118&amp;C118&amp;E118&amp;G118</f>
        <v>정수기스위치빌트인56M(6개월점검주기)</v>
      </c>
      <c r="B118" s="17" t="s">
        <v>2</v>
      </c>
      <c r="C118" s="22" t="s">
        <v>943</v>
      </c>
      <c r="D118" s="23" t="s">
        <v>944</v>
      </c>
      <c r="E118" s="23">
        <v>5</v>
      </c>
      <c r="F118" s="23" t="s">
        <v>0</v>
      </c>
      <c r="G118" s="20" t="s">
        <v>454</v>
      </c>
      <c r="H118" s="36">
        <v>22900</v>
      </c>
      <c r="I118" s="36">
        <v>20900</v>
      </c>
      <c r="J118" s="25">
        <v>200100</v>
      </c>
    </row>
    <row r="119" spans="1:10" ht="16" x14ac:dyDescent="0.45">
      <c r="A119" s="153" t="str">
        <f>B119&amp;C119&amp;E119&amp;G119</f>
        <v>정수기스위치빌트인66M(6개월점검주기)</v>
      </c>
      <c r="B119" s="17" t="s">
        <v>2</v>
      </c>
      <c r="C119" s="22" t="s">
        <v>943</v>
      </c>
      <c r="D119" s="23" t="s">
        <v>944</v>
      </c>
      <c r="E119" s="23">
        <v>6</v>
      </c>
      <c r="F119" s="23" t="s">
        <v>0</v>
      </c>
      <c r="G119" s="20" t="s">
        <v>454</v>
      </c>
      <c r="H119" s="36">
        <v>21900</v>
      </c>
      <c r="I119" s="36">
        <v>19900</v>
      </c>
      <c r="J119" s="25">
        <v>250100</v>
      </c>
    </row>
    <row r="120" spans="1:10" ht="16" x14ac:dyDescent="0.45">
      <c r="A120" s="153" t="str">
        <f>B120&amp;C120&amp;E120&amp;G120</f>
        <v>정수기스위치빌트인76M(6개월점검주기)</v>
      </c>
      <c r="B120" s="17" t="s">
        <v>2</v>
      </c>
      <c r="C120" s="22" t="s">
        <v>943</v>
      </c>
      <c r="D120" s="23" t="s">
        <v>944</v>
      </c>
      <c r="E120" s="23">
        <v>7</v>
      </c>
      <c r="F120" s="23" t="s">
        <v>0</v>
      </c>
      <c r="G120" s="20" t="s">
        <v>454</v>
      </c>
      <c r="H120" s="36">
        <v>20900</v>
      </c>
      <c r="I120" s="36">
        <v>18900</v>
      </c>
      <c r="J120" s="25">
        <v>250100</v>
      </c>
    </row>
    <row r="121" spans="1:10" ht="16" x14ac:dyDescent="0.45">
      <c r="A121" s="153" t="str">
        <f>B121&amp;C121&amp;E121&amp;G121</f>
        <v>정수기스위치빌트인3자가관리</v>
      </c>
      <c r="B121" s="17" t="s">
        <v>2</v>
      </c>
      <c r="C121" s="22" t="s">
        <v>943</v>
      </c>
      <c r="D121" s="23" t="s">
        <v>944</v>
      </c>
      <c r="E121" s="23">
        <v>3</v>
      </c>
      <c r="F121" s="23" t="s">
        <v>1</v>
      </c>
      <c r="G121" s="20" t="s">
        <v>3</v>
      </c>
      <c r="H121" s="36">
        <v>22900</v>
      </c>
      <c r="I121" s="36">
        <v>20900</v>
      </c>
      <c r="J121" s="25">
        <v>188900</v>
      </c>
    </row>
    <row r="122" spans="1:10" ht="16" x14ac:dyDescent="0.45">
      <c r="A122" s="153" t="str">
        <f>B122&amp;C122&amp;E122&amp;G122</f>
        <v>정수기스위치빌트인5자가관리</v>
      </c>
      <c r="B122" s="17" t="s">
        <v>2</v>
      </c>
      <c r="C122" s="22" t="s">
        <v>943</v>
      </c>
      <c r="D122" s="23" t="s">
        <v>944</v>
      </c>
      <c r="E122" s="23">
        <v>5</v>
      </c>
      <c r="F122" s="23" t="s">
        <v>0</v>
      </c>
      <c r="G122" s="20" t="s">
        <v>3</v>
      </c>
      <c r="H122" s="36">
        <v>20900</v>
      </c>
      <c r="I122" s="36">
        <v>18900</v>
      </c>
      <c r="J122" s="25">
        <v>188900</v>
      </c>
    </row>
    <row r="123" spans="1:10" ht="16" x14ac:dyDescent="0.45">
      <c r="A123" s="153" t="str">
        <f>B123&amp;C123&amp;E123&amp;G123</f>
        <v>정수기스위치빌트인6자가관리</v>
      </c>
      <c r="B123" s="17" t="s">
        <v>2</v>
      </c>
      <c r="C123" s="22" t="s">
        <v>943</v>
      </c>
      <c r="D123" s="23" t="s">
        <v>944</v>
      </c>
      <c r="E123" s="23">
        <v>6</v>
      </c>
      <c r="F123" s="23" t="s">
        <v>0</v>
      </c>
      <c r="G123" s="20" t="s">
        <v>3</v>
      </c>
      <c r="H123" s="36">
        <v>19900</v>
      </c>
      <c r="I123" s="36">
        <v>17900</v>
      </c>
      <c r="J123" s="25">
        <v>236100</v>
      </c>
    </row>
    <row r="124" spans="1:10" ht="16" x14ac:dyDescent="0.45">
      <c r="A124" s="153" t="str">
        <f>B124&amp;C124&amp;E124&amp;G124</f>
        <v>정수기스위치빌트인7자가관리</v>
      </c>
      <c r="B124" s="17" t="s">
        <v>2</v>
      </c>
      <c r="C124" s="22" t="s">
        <v>943</v>
      </c>
      <c r="D124" s="23" t="s">
        <v>944</v>
      </c>
      <c r="E124" s="23">
        <v>7</v>
      </c>
      <c r="F124" s="23" t="s">
        <v>0</v>
      </c>
      <c r="G124" s="20" t="s">
        <v>3</v>
      </c>
      <c r="H124" s="36">
        <v>18900</v>
      </c>
      <c r="I124" s="36">
        <v>16900</v>
      </c>
      <c r="J124" s="25">
        <v>236100</v>
      </c>
    </row>
    <row r="125" spans="1:10" ht="16" x14ac:dyDescent="0.45">
      <c r="A125" s="153" t="str">
        <f>B125&amp;C125&amp;E125&amp;G125</f>
        <v>정수기스탠드 정수기32M(2개월점검주기)</v>
      </c>
      <c r="B125" s="17" t="s">
        <v>2</v>
      </c>
      <c r="C125" s="22" t="s">
        <v>534</v>
      </c>
      <c r="D125" s="23" t="s">
        <v>46</v>
      </c>
      <c r="E125" s="23">
        <v>3</v>
      </c>
      <c r="F125" s="23" t="s">
        <v>1</v>
      </c>
      <c r="G125" s="20" t="s">
        <v>452</v>
      </c>
      <c r="H125" s="36">
        <v>64100</v>
      </c>
      <c r="I125" s="36">
        <v>64100</v>
      </c>
      <c r="J125" s="25">
        <v>321100</v>
      </c>
    </row>
    <row r="126" spans="1:10" ht="16" x14ac:dyDescent="0.45">
      <c r="A126" s="153" t="str">
        <f>B126&amp;C126&amp;E126&amp;G126</f>
        <v>정수기스탠드 정수기52M(2개월점검주기)</v>
      </c>
      <c r="B126" s="17" t="s">
        <v>2</v>
      </c>
      <c r="C126" s="22" t="s">
        <v>534</v>
      </c>
      <c r="D126" s="23" t="s">
        <v>46</v>
      </c>
      <c r="E126" s="23">
        <v>5</v>
      </c>
      <c r="F126" s="23" t="s">
        <v>0</v>
      </c>
      <c r="G126" s="20" t="s">
        <v>452</v>
      </c>
      <c r="H126" s="36">
        <v>61600</v>
      </c>
      <c r="I126" s="36">
        <v>61600</v>
      </c>
      <c r="J126" s="25">
        <v>321100</v>
      </c>
    </row>
    <row r="127" spans="1:10" ht="16" x14ac:dyDescent="0.45">
      <c r="A127" s="153" t="str">
        <f>B127&amp;C127&amp;E127&amp;G127</f>
        <v>정수기스탠드 정수기62M(2개월점검주기)</v>
      </c>
      <c r="B127" s="17" t="s">
        <v>2</v>
      </c>
      <c r="C127" s="22" t="s">
        <v>534</v>
      </c>
      <c r="D127" s="23" t="s">
        <v>46</v>
      </c>
      <c r="E127" s="23">
        <v>6</v>
      </c>
      <c r="F127" s="23" t="s">
        <v>0</v>
      </c>
      <c r="G127" s="20" t="s">
        <v>452</v>
      </c>
      <c r="H127" s="36">
        <v>60100</v>
      </c>
      <c r="I127" s="36">
        <v>60100</v>
      </c>
      <c r="J127" s="25">
        <v>401400</v>
      </c>
    </row>
    <row r="128" spans="1:10" ht="16" x14ac:dyDescent="0.45">
      <c r="A128" s="153" t="str">
        <f>B128&amp;C128&amp;E128&amp;G128</f>
        <v>정수기아이스 스탠드32M(2개월점검주기)</v>
      </c>
      <c r="B128" s="17" t="s">
        <v>2</v>
      </c>
      <c r="C128" s="22" t="s">
        <v>535</v>
      </c>
      <c r="D128" s="23" t="s">
        <v>614</v>
      </c>
      <c r="E128" s="23">
        <v>3</v>
      </c>
      <c r="F128" s="23" t="s">
        <v>1</v>
      </c>
      <c r="G128" s="20" t="s">
        <v>452</v>
      </c>
      <c r="H128" s="36">
        <v>62900</v>
      </c>
      <c r="I128" s="36">
        <v>59900</v>
      </c>
      <c r="J128" s="25">
        <v>309900</v>
      </c>
    </row>
    <row r="129" spans="1:10" ht="16" x14ac:dyDescent="0.45">
      <c r="A129" s="153" t="str">
        <f>B129&amp;C129&amp;E129&amp;G129</f>
        <v>정수기아이스 스탠드52M(2개월점검주기)</v>
      </c>
      <c r="B129" s="17" t="s">
        <v>2</v>
      </c>
      <c r="C129" s="22" t="s">
        <v>535</v>
      </c>
      <c r="D129" s="23" t="s">
        <v>614</v>
      </c>
      <c r="E129" s="23">
        <v>5</v>
      </c>
      <c r="F129" s="23" t="s">
        <v>0</v>
      </c>
      <c r="G129" s="20" t="s">
        <v>452</v>
      </c>
      <c r="H129" s="36">
        <v>60400</v>
      </c>
      <c r="I129" s="36">
        <v>57400</v>
      </c>
      <c r="J129" s="25">
        <v>309900</v>
      </c>
    </row>
    <row r="130" spans="1:10" ht="16" x14ac:dyDescent="0.45">
      <c r="A130" s="153" t="str">
        <f>B130&amp;C130&amp;E130&amp;G130</f>
        <v>정수기아이스 스탠드62M(2개월점검주기)</v>
      </c>
      <c r="B130" s="17" t="s">
        <v>2</v>
      </c>
      <c r="C130" s="22" t="s">
        <v>535</v>
      </c>
      <c r="D130" s="23" t="s">
        <v>614</v>
      </c>
      <c r="E130" s="23">
        <v>6</v>
      </c>
      <c r="F130" s="23" t="s">
        <v>0</v>
      </c>
      <c r="G130" s="20" t="s">
        <v>452</v>
      </c>
      <c r="H130" s="36">
        <v>58900</v>
      </c>
      <c r="I130" s="36">
        <v>55900</v>
      </c>
      <c r="J130" s="25">
        <v>387400</v>
      </c>
    </row>
    <row r="131" spans="1:10" ht="16" x14ac:dyDescent="0.45">
      <c r="A131" s="153" t="str">
        <f>B131&amp;C131&amp;E131&amp;G131</f>
        <v>정수기아이스 스탠드 슬림32M(2개월점검주기)</v>
      </c>
      <c r="B131" s="17" t="s">
        <v>2</v>
      </c>
      <c r="C131" s="22" t="s">
        <v>536</v>
      </c>
      <c r="D131" s="23" t="s">
        <v>613</v>
      </c>
      <c r="E131" s="23">
        <v>3</v>
      </c>
      <c r="F131" s="23" t="s">
        <v>1</v>
      </c>
      <c r="G131" s="20" t="s">
        <v>452</v>
      </c>
      <c r="H131" s="36">
        <v>55900</v>
      </c>
      <c r="I131" s="36">
        <v>52900</v>
      </c>
      <c r="J131" s="25">
        <v>298700</v>
      </c>
    </row>
    <row r="132" spans="1:10" ht="16" x14ac:dyDescent="0.45">
      <c r="A132" s="153" t="str">
        <f>B132&amp;C132&amp;E132&amp;G132</f>
        <v>정수기아이스 스탠드 슬림52M(2개월점검주기)</v>
      </c>
      <c r="B132" s="17" t="s">
        <v>2</v>
      </c>
      <c r="C132" s="22" t="s">
        <v>536</v>
      </c>
      <c r="D132" s="23" t="s">
        <v>613</v>
      </c>
      <c r="E132" s="23">
        <v>5</v>
      </c>
      <c r="F132" s="23" t="s">
        <v>0</v>
      </c>
      <c r="G132" s="20" t="s">
        <v>452</v>
      </c>
      <c r="H132" s="36">
        <v>53400</v>
      </c>
      <c r="I132" s="36">
        <v>50400</v>
      </c>
      <c r="J132" s="25">
        <v>298700</v>
      </c>
    </row>
    <row r="133" spans="1:10" ht="16" x14ac:dyDescent="0.45">
      <c r="A133" s="153" t="str">
        <f>B133&amp;C133&amp;E133&amp;G133</f>
        <v>정수기아이스 스탠드 슬림62M(2개월점검주기)</v>
      </c>
      <c r="B133" s="17" t="s">
        <v>2</v>
      </c>
      <c r="C133" s="22" t="s">
        <v>536</v>
      </c>
      <c r="D133" s="23" t="s">
        <v>613</v>
      </c>
      <c r="E133" s="23">
        <v>6</v>
      </c>
      <c r="F133" s="23" t="s">
        <v>0</v>
      </c>
      <c r="G133" s="20" t="s">
        <v>452</v>
      </c>
      <c r="H133" s="36">
        <v>51900</v>
      </c>
      <c r="I133" s="36">
        <v>48900</v>
      </c>
      <c r="J133" s="25">
        <v>373400</v>
      </c>
    </row>
    <row r="134" spans="1:10" ht="16" x14ac:dyDescent="0.45">
      <c r="A134" s="153" t="str">
        <f>B134&amp;C134&amp;E134&amp;G134</f>
        <v>정수기아이스스탠드 자이언트32M(2개월점검주기)</v>
      </c>
      <c r="B134" s="17" t="s">
        <v>2</v>
      </c>
      <c r="C134" s="22" t="s">
        <v>1023</v>
      </c>
      <c r="D134" s="23" t="s">
        <v>1028</v>
      </c>
      <c r="E134" s="23">
        <v>3</v>
      </c>
      <c r="F134" s="23" t="s">
        <v>1</v>
      </c>
      <c r="G134" s="20" t="s">
        <v>452</v>
      </c>
      <c r="H134" s="36">
        <v>72900</v>
      </c>
      <c r="I134" s="36">
        <v>66900</v>
      </c>
      <c r="J134" s="25">
        <v>321100</v>
      </c>
    </row>
    <row r="135" spans="1:10" ht="16" x14ac:dyDescent="0.45">
      <c r="A135" s="153" t="str">
        <f>B135&amp;C135&amp;E135&amp;G135</f>
        <v>정수기아이스스탠드 자이언트52M(2개월점검주기)</v>
      </c>
      <c r="B135" s="17" t="s">
        <v>2</v>
      </c>
      <c r="C135" s="22" t="s">
        <v>1023</v>
      </c>
      <c r="D135" s="23" t="s">
        <v>1028</v>
      </c>
      <c r="E135" s="23">
        <v>5</v>
      </c>
      <c r="F135" s="23" t="s">
        <v>0</v>
      </c>
      <c r="G135" s="20" t="s">
        <v>452</v>
      </c>
      <c r="H135" s="36">
        <v>69900</v>
      </c>
      <c r="I135" s="36">
        <v>63900</v>
      </c>
      <c r="J135" s="25">
        <v>321100</v>
      </c>
    </row>
    <row r="136" spans="1:10" ht="16" x14ac:dyDescent="0.45">
      <c r="A136" s="153" t="str">
        <f>B136&amp;C136&amp;E136&amp;G136</f>
        <v>정수기아이스스탠드 자이언트62M(2개월점검주기)</v>
      </c>
      <c r="B136" s="17" t="s">
        <v>2</v>
      </c>
      <c r="C136" s="22" t="s">
        <v>1023</v>
      </c>
      <c r="D136" s="23" t="s">
        <v>1028</v>
      </c>
      <c r="E136" s="23">
        <v>6</v>
      </c>
      <c r="F136" s="23" t="s">
        <v>0</v>
      </c>
      <c r="G136" s="20" t="s">
        <v>452</v>
      </c>
      <c r="H136" s="36">
        <v>67900</v>
      </c>
      <c r="I136" s="36">
        <v>61900</v>
      </c>
      <c r="J136" s="25">
        <v>401400</v>
      </c>
    </row>
    <row r="137" spans="1:10" ht="16" x14ac:dyDescent="0.45">
      <c r="A137" s="153" t="str">
        <f>B137&amp;C137&amp;E137&amp;G137</f>
        <v>정수기아이스스탠드 자이언트34M(4개월점검주기)</v>
      </c>
      <c r="B137" s="17" t="s">
        <v>2</v>
      </c>
      <c r="C137" s="22" t="s">
        <v>1023</v>
      </c>
      <c r="D137" s="23" t="s">
        <v>1028</v>
      </c>
      <c r="E137" s="23">
        <v>3</v>
      </c>
      <c r="F137" s="23" t="s">
        <v>1</v>
      </c>
      <c r="G137" s="20" t="s">
        <v>453</v>
      </c>
      <c r="H137" s="36">
        <v>69900</v>
      </c>
      <c r="I137" s="36">
        <v>63900</v>
      </c>
      <c r="J137" s="25">
        <v>321100</v>
      </c>
    </row>
    <row r="138" spans="1:10" ht="16" x14ac:dyDescent="0.45">
      <c r="A138" s="153" t="str">
        <f>B138&amp;C138&amp;E138&amp;G138</f>
        <v>정수기아이스스탠드 자이언트54M(4개월점검주기)</v>
      </c>
      <c r="B138" s="17" t="s">
        <v>2</v>
      </c>
      <c r="C138" s="22" t="s">
        <v>1023</v>
      </c>
      <c r="D138" s="23" t="s">
        <v>1028</v>
      </c>
      <c r="E138" s="23">
        <v>5</v>
      </c>
      <c r="F138" s="23" t="s">
        <v>0</v>
      </c>
      <c r="G138" s="20" t="s">
        <v>453</v>
      </c>
      <c r="H138" s="36">
        <v>66900</v>
      </c>
      <c r="I138" s="36">
        <v>60900</v>
      </c>
      <c r="J138" s="25">
        <v>321100</v>
      </c>
    </row>
    <row r="139" spans="1:10" ht="16" x14ac:dyDescent="0.45">
      <c r="A139" s="153" t="str">
        <f>B139&amp;C139&amp;E139&amp;G139</f>
        <v>정수기아이스스탠드 자이언트64M(4개월점검주기)</v>
      </c>
      <c r="B139" s="17" t="s">
        <v>2</v>
      </c>
      <c r="C139" s="22" t="s">
        <v>1023</v>
      </c>
      <c r="D139" s="23" t="s">
        <v>1028</v>
      </c>
      <c r="E139" s="23">
        <v>6</v>
      </c>
      <c r="F139" s="23" t="s">
        <v>0</v>
      </c>
      <c r="G139" s="20" t="s">
        <v>453</v>
      </c>
      <c r="H139" s="36">
        <v>64900</v>
      </c>
      <c r="I139" s="36">
        <v>58900</v>
      </c>
      <c r="J139" s="25">
        <v>401400</v>
      </c>
    </row>
    <row r="140" spans="1:10" ht="16" x14ac:dyDescent="0.45">
      <c r="A140" s="153" t="str">
        <f>B140&amp;C140&amp;E140&amp;G140</f>
        <v>정수기아이스스탠드3.032M(2개월점검주기)</v>
      </c>
      <c r="B140" s="17" t="s">
        <v>2</v>
      </c>
      <c r="C140" s="22" t="s">
        <v>1066</v>
      </c>
      <c r="D140" s="23" t="s">
        <v>1064</v>
      </c>
      <c r="E140" s="23">
        <v>3</v>
      </c>
      <c r="F140" s="23" t="s">
        <v>1</v>
      </c>
      <c r="G140" s="20" t="s">
        <v>452</v>
      </c>
      <c r="H140" s="36">
        <v>64400</v>
      </c>
      <c r="I140" s="36">
        <v>61400</v>
      </c>
      <c r="J140" s="25">
        <v>309900</v>
      </c>
    </row>
    <row r="141" spans="1:10" ht="16" x14ac:dyDescent="0.45">
      <c r="A141" s="153" t="str">
        <f>B141&amp;C141&amp;E141&amp;G141</f>
        <v>정수기아이스스탠드3.052M(2개월점검주기)</v>
      </c>
      <c r="B141" s="17" t="s">
        <v>2</v>
      </c>
      <c r="C141" s="22" t="s">
        <v>1066</v>
      </c>
      <c r="D141" s="23" t="s">
        <v>1064</v>
      </c>
      <c r="E141" s="23">
        <v>5</v>
      </c>
      <c r="F141" s="23" t="s">
        <v>0</v>
      </c>
      <c r="G141" s="20" t="s">
        <v>452</v>
      </c>
      <c r="H141" s="36">
        <v>61400</v>
      </c>
      <c r="I141" s="36">
        <v>58400</v>
      </c>
      <c r="J141" s="25">
        <v>309900</v>
      </c>
    </row>
    <row r="142" spans="1:10" ht="16" x14ac:dyDescent="0.45">
      <c r="A142" s="153" t="str">
        <f>B142&amp;C142&amp;E142&amp;G142</f>
        <v>정수기아이스스탠드3.062M(2개월점검주기)</v>
      </c>
      <c r="B142" s="17" t="s">
        <v>2</v>
      </c>
      <c r="C142" s="22" t="s">
        <v>1066</v>
      </c>
      <c r="D142" s="23" t="s">
        <v>1064</v>
      </c>
      <c r="E142" s="23">
        <v>6</v>
      </c>
      <c r="F142" s="23" t="s">
        <v>0</v>
      </c>
      <c r="G142" s="20" t="s">
        <v>452</v>
      </c>
      <c r="H142" s="36">
        <v>59400</v>
      </c>
      <c r="I142" s="36">
        <v>56400</v>
      </c>
      <c r="J142" s="25">
        <v>387400</v>
      </c>
    </row>
    <row r="143" spans="1:10" ht="16" x14ac:dyDescent="0.45">
      <c r="A143" s="153" t="str">
        <f>B143&amp;C143&amp;E143&amp;G143</f>
        <v>정수기아이스스탠드3.034M(4개월점검주기)</v>
      </c>
      <c r="B143" s="17" t="s">
        <v>2</v>
      </c>
      <c r="C143" s="22" t="s">
        <v>1066</v>
      </c>
      <c r="D143" s="23" t="s">
        <v>1064</v>
      </c>
      <c r="E143" s="23">
        <v>3</v>
      </c>
      <c r="F143" s="23" t="s">
        <v>1</v>
      </c>
      <c r="G143" s="20" t="s">
        <v>453</v>
      </c>
      <c r="H143" s="36">
        <v>61400</v>
      </c>
      <c r="I143" s="36">
        <v>58400</v>
      </c>
      <c r="J143" s="25">
        <v>309900</v>
      </c>
    </row>
    <row r="144" spans="1:10" ht="16" x14ac:dyDescent="0.45">
      <c r="A144" s="153" t="str">
        <f>B144&amp;C144&amp;E144&amp;G144</f>
        <v>정수기아이스스탠드3.054M(4개월점검주기)</v>
      </c>
      <c r="B144" s="17" t="s">
        <v>2</v>
      </c>
      <c r="C144" s="22" t="s">
        <v>1066</v>
      </c>
      <c r="D144" s="23" t="s">
        <v>1064</v>
      </c>
      <c r="E144" s="23">
        <v>5</v>
      </c>
      <c r="F144" s="23" t="s">
        <v>0</v>
      </c>
      <c r="G144" s="20" t="s">
        <v>453</v>
      </c>
      <c r="H144" s="36">
        <v>58400</v>
      </c>
      <c r="I144" s="36">
        <v>55400</v>
      </c>
      <c r="J144" s="25">
        <v>309900</v>
      </c>
    </row>
    <row r="145" spans="1:10" ht="16" x14ac:dyDescent="0.45">
      <c r="A145" s="153" t="str">
        <f>B145&amp;C145&amp;E145&amp;G145</f>
        <v>정수기아이스스탠드3.064M(4개월점검주기)</v>
      </c>
      <c r="B145" s="17" t="s">
        <v>2</v>
      </c>
      <c r="C145" s="22" t="s">
        <v>1066</v>
      </c>
      <c r="D145" s="23" t="s">
        <v>1064</v>
      </c>
      <c r="E145" s="23">
        <v>6</v>
      </c>
      <c r="F145" s="23" t="s">
        <v>0</v>
      </c>
      <c r="G145" s="20" t="s">
        <v>453</v>
      </c>
      <c r="H145" s="36">
        <v>56400</v>
      </c>
      <c r="I145" s="36">
        <v>53400</v>
      </c>
      <c r="J145" s="25">
        <v>387400</v>
      </c>
    </row>
    <row r="146" spans="1:10" ht="16" x14ac:dyDescent="0.45">
      <c r="A146" s="153" t="str">
        <f>B146&amp;C146&amp;E146&amp;G146</f>
        <v>정수기아이콘 스탠드36M(6개월점검주기)</v>
      </c>
      <c r="B146" s="17" t="s">
        <v>2</v>
      </c>
      <c r="C146" s="22" t="s">
        <v>537</v>
      </c>
      <c r="D146" s="23" t="s">
        <v>619</v>
      </c>
      <c r="E146" s="23">
        <v>3</v>
      </c>
      <c r="F146" s="23" t="s">
        <v>1</v>
      </c>
      <c r="G146" s="20" t="s">
        <v>454</v>
      </c>
      <c r="H146" s="36">
        <v>39900</v>
      </c>
      <c r="I146" s="36">
        <v>32900</v>
      </c>
      <c r="J146" s="25">
        <v>242500</v>
      </c>
    </row>
    <row r="147" spans="1:10" ht="16" x14ac:dyDescent="0.45">
      <c r="A147" s="153" t="str">
        <f>B147&amp;C147&amp;E147&amp;G147</f>
        <v>정수기아이콘 스탠드56M(6개월점검주기)</v>
      </c>
      <c r="B147" s="17" t="s">
        <v>2</v>
      </c>
      <c r="C147" s="22" t="s">
        <v>537</v>
      </c>
      <c r="D147" s="23" t="s">
        <v>619</v>
      </c>
      <c r="E147" s="23">
        <v>5</v>
      </c>
      <c r="F147" s="23" t="s">
        <v>0</v>
      </c>
      <c r="G147" s="20" t="s">
        <v>454</v>
      </c>
      <c r="H147" s="36">
        <v>37400</v>
      </c>
      <c r="I147" s="36">
        <v>30400</v>
      </c>
      <c r="J147" s="25">
        <v>242500</v>
      </c>
    </row>
    <row r="148" spans="1:10" ht="16" x14ac:dyDescent="0.45">
      <c r="A148" s="153" t="str">
        <f>B148&amp;C148&amp;E148&amp;G148</f>
        <v>정수기아이콘 스탠드66M(6개월점검주기)</v>
      </c>
      <c r="B148" s="17" t="s">
        <v>2</v>
      </c>
      <c r="C148" s="22" t="s">
        <v>537</v>
      </c>
      <c r="D148" s="23" t="s">
        <v>619</v>
      </c>
      <c r="E148" s="23">
        <v>6</v>
      </c>
      <c r="F148" s="23" t="s">
        <v>0</v>
      </c>
      <c r="G148" s="20" t="s">
        <v>454</v>
      </c>
      <c r="H148" s="36">
        <v>34900</v>
      </c>
      <c r="I148" s="36">
        <v>27900</v>
      </c>
      <c r="J148" s="25">
        <v>303100</v>
      </c>
    </row>
    <row r="149" spans="1:10" ht="16" x14ac:dyDescent="0.45">
      <c r="A149" s="153" t="str">
        <f>B149&amp;C149&amp;E149&amp;G149</f>
        <v>정수기아이콘 스탠드3자가관리</v>
      </c>
      <c r="B149" s="17" t="s">
        <v>2</v>
      </c>
      <c r="C149" s="22" t="s">
        <v>537</v>
      </c>
      <c r="D149" s="23" t="s">
        <v>619</v>
      </c>
      <c r="E149" s="23">
        <v>3</v>
      </c>
      <c r="F149" s="23" t="s">
        <v>1</v>
      </c>
      <c r="G149" s="20" t="s">
        <v>3</v>
      </c>
      <c r="H149" s="36">
        <v>37900</v>
      </c>
      <c r="I149" s="36">
        <v>30900</v>
      </c>
      <c r="J149" s="25">
        <v>231200</v>
      </c>
    </row>
    <row r="150" spans="1:10" ht="16" x14ac:dyDescent="0.45">
      <c r="A150" s="153" t="str">
        <f>B150&amp;C150&amp;E150&amp;G150</f>
        <v>정수기아이콘 스탠드5자가관리</v>
      </c>
      <c r="B150" s="17" t="s">
        <v>2</v>
      </c>
      <c r="C150" s="22" t="s">
        <v>537</v>
      </c>
      <c r="D150" s="23" t="s">
        <v>619</v>
      </c>
      <c r="E150" s="23">
        <v>5</v>
      </c>
      <c r="F150" s="23" t="s">
        <v>0</v>
      </c>
      <c r="G150" s="20" t="s">
        <v>3</v>
      </c>
      <c r="H150" s="36">
        <v>35400</v>
      </c>
      <c r="I150" s="36">
        <v>28400</v>
      </c>
      <c r="J150" s="25">
        <v>231200</v>
      </c>
    </row>
    <row r="151" spans="1:10" ht="16" x14ac:dyDescent="0.45">
      <c r="A151" s="153" t="str">
        <f>B151&amp;C151&amp;E151&amp;G151</f>
        <v>정수기아이콘 스탠드6자가관리</v>
      </c>
      <c r="B151" s="17" t="s">
        <v>2</v>
      </c>
      <c r="C151" s="22" t="s">
        <v>537</v>
      </c>
      <c r="D151" s="23" t="s">
        <v>619</v>
      </c>
      <c r="E151" s="23">
        <v>6</v>
      </c>
      <c r="F151" s="23" t="s">
        <v>0</v>
      </c>
      <c r="G151" s="20" t="s">
        <v>3</v>
      </c>
      <c r="H151" s="36">
        <v>32900</v>
      </c>
      <c r="I151" s="36">
        <v>25900</v>
      </c>
      <c r="J151" s="25">
        <v>289000</v>
      </c>
    </row>
    <row r="152" spans="1:10" ht="16" x14ac:dyDescent="0.45">
      <c r="A152" s="153" t="str">
        <f>B152&amp;C152&amp;E152&amp;G152</f>
        <v>정수기아이콘 프로34M(4개월점검주기)</v>
      </c>
      <c r="B152" s="21" t="s">
        <v>2</v>
      </c>
      <c r="C152" s="22" t="s">
        <v>538</v>
      </c>
      <c r="D152" s="23" t="s">
        <v>688</v>
      </c>
      <c r="E152" s="23">
        <v>3</v>
      </c>
      <c r="F152" s="23" t="s">
        <v>1</v>
      </c>
      <c r="G152" s="20" t="s">
        <v>453</v>
      </c>
      <c r="H152" s="36">
        <v>45900</v>
      </c>
      <c r="I152" s="36">
        <v>39900</v>
      </c>
      <c r="J152" s="25">
        <v>264900</v>
      </c>
    </row>
    <row r="153" spans="1:10" ht="16" x14ac:dyDescent="0.45">
      <c r="A153" s="153" t="str">
        <f>B153&amp;C153&amp;E153&amp;G153</f>
        <v>정수기아이콘 프로54M(4개월점검주기)</v>
      </c>
      <c r="B153" s="17" t="s">
        <v>2</v>
      </c>
      <c r="C153" s="18" t="s">
        <v>538</v>
      </c>
      <c r="D153" s="19" t="s">
        <v>688</v>
      </c>
      <c r="E153" s="19">
        <v>5</v>
      </c>
      <c r="F153" s="19" t="s">
        <v>0</v>
      </c>
      <c r="G153" s="20" t="s">
        <v>453</v>
      </c>
      <c r="H153" s="36">
        <v>42900</v>
      </c>
      <c r="I153" s="36">
        <v>36900</v>
      </c>
      <c r="J153" s="25">
        <v>264900</v>
      </c>
    </row>
    <row r="154" spans="1:10" ht="16" x14ac:dyDescent="0.45">
      <c r="A154" s="153" t="str">
        <f>B154&amp;C154&amp;E154&amp;G154</f>
        <v>정수기아이콘 프로64M(4개월점검주기)</v>
      </c>
      <c r="B154" s="17" t="s">
        <v>2</v>
      </c>
      <c r="C154" s="18" t="s">
        <v>538</v>
      </c>
      <c r="D154" s="19" t="s">
        <v>688</v>
      </c>
      <c r="E154" s="19">
        <v>6</v>
      </c>
      <c r="F154" s="19" t="s">
        <v>0</v>
      </c>
      <c r="G154" s="20" t="s">
        <v>453</v>
      </c>
      <c r="H154" s="36">
        <v>40900</v>
      </c>
      <c r="I154" s="36">
        <v>34900</v>
      </c>
      <c r="J154" s="25">
        <v>331100</v>
      </c>
    </row>
    <row r="155" spans="1:10" ht="16" x14ac:dyDescent="0.45">
      <c r="A155" s="153" t="str">
        <f>B155&amp;C155&amp;E155&amp;G155</f>
        <v>정수기아이콘 프로74M(4개월점검주기)</v>
      </c>
      <c r="B155" s="17" t="s">
        <v>2</v>
      </c>
      <c r="C155" s="18" t="s">
        <v>538</v>
      </c>
      <c r="D155" s="19" t="s">
        <v>688</v>
      </c>
      <c r="E155" s="19">
        <v>7</v>
      </c>
      <c r="F155" s="19" t="s">
        <v>0</v>
      </c>
      <c r="G155" s="20" t="s">
        <v>453</v>
      </c>
      <c r="H155" s="36">
        <v>38900</v>
      </c>
      <c r="I155" s="36">
        <v>32900</v>
      </c>
      <c r="J155" s="25">
        <v>331100</v>
      </c>
    </row>
    <row r="156" spans="1:10" ht="16" x14ac:dyDescent="0.45">
      <c r="A156" s="153" t="str">
        <f>B156&amp;C156&amp;E156&amp;G156</f>
        <v>정수기아이콘 프로3자가관리</v>
      </c>
      <c r="B156" s="17" t="s">
        <v>2</v>
      </c>
      <c r="C156" s="18" t="s">
        <v>538</v>
      </c>
      <c r="D156" s="19" t="s">
        <v>688</v>
      </c>
      <c r="E156" s="19">
        <v>3</v>
      </c>
      <c r="F156" s="19" t="s">
        <v>1</v>
      </c>
      <c r="G156" s="20" t="s">
        <v>3</v>
      </c>
      <c r="H156" s="36">
        <v>41900</v>
      </c>
      <c r="I156" s="36">
        <v>36900</v>
      </c>
      <c r="J156" s="25">
        <v>253700</v>
      </c>
    </row>
    <row r="157" spans="1:10" ht="16" x14ac:dyDescent="0.45">
      <c r="A157" s="153" t="str">
        <f>B157&amp;C157&amp;E157&amp;G157</f>
        <v>정수기아이콘 프로5자가관리</v>
      </c>
      <c r="B157" s="17" t="s">
        <v>2</v>
      </c>
      <c r="C157" s="18" t="s">
        <v>538</v>
      </c>
      <c r="D157" s="19" t="s">
        <v>688</v>
      </c>
      <c r="E157" s="19">
        <v>5</v>
      </c>
      <c r="F157" s="19" t="s">
        <v>0</v>
      </c>
      <c r="G157" s="20" t="s">
        <v>3</v>
      </c>
      <c r="H157" s="36">
        <v>38900</v>
      </c>
      <c r="I157" s="36">
        <v>33900</v>
      </c>
      <c r="J157" s="25">
        <v>253700</v>
      </c>
    </row>
    <row r="158" spans="1:10" ht="16" x14ac:dyDescent="0.45">
      <c r="A158" s="153" t="str">
        <f>B158&amp;C158&amp;E158&amp;G158</f>
        <v>정수기아이콘 프로6자가관리</v>
      </c>
      <c r="B158" s="17" t="s">
        <v>2</v>
      </c>
      <c r="C158" s="18" t="s">
        <v>538</v>
      </c>
      <c r="D158" s="19" t="s">
        <v>688</v>
      </c>
      <c r="E158" s="19">
        <v>6</v>
      </c>
      <c r="F158" s="19" t="s">
        <v>0</v>
      </c>
      <c r="G158" s="20" t="s">
        <v>3</v>
      </c>
      <c r="H158" s="36">
        <v>36900</v>
      </c>
      <c r="I158" s="36">
        <v>31900</v>
      </c>
      <c r="J158" s="25">
        <v>317100</v>
      </c>
    </row>
    <row r="159" spans="1:10" ht="16" x14ac:dyDescent="0.45">
      <c r="A159" s="153" t="str">
        <f>B159&amp;C159&amp;E159&amp;G159</f>
        <v>정수기아이콘 프로7자가관리</v>
      </c>
      <c r="B159" s="17" t="s">
        <v>2</v>
      </c>
      <c r="C159" s="18" t="s">
        <v>538</v>
      </c>
      <c r="D159" s="19" t="s">
        <v>688</v>
      </c>
      <c r="E159" s="19">
        <v>7</v>
      </c>
      <c r="F159" s="19" t="s">
        <v>0</v>
      </c>
      <c r="G159" s="20" t="s">
        <v>3</v>
      </c>
      <c r="H159" s="36">
        <v>34900</v>
      </c>
      <c r="I159" s="36">
        <v>29900</v>
      </c>
      <c r="J159" s="25">
        <v>317100</v>
      </c>
    </row>
    <row r="160" spans="1:10" ht="16" x14ac:dyDescent="0.45">
      <c r="A160" s="153" t="str">
        <f>B160&amp;C160&amp;E160&amp;G160</f>
        <v>정수기아이콘2.034M(4개월점검주기)</v>
      </c>
      <c r="B160" s="17" t="s">
        <v>2</v>
      </c>
      <c r="C160" s="18" t="s">
        <v>483</v>
      </c>
      <c r="D160" s="19" t="s">
        <v>625</v>
      </c>
      <c r="E160" s="19">
        <v>3</v>
      </c>
      <c r="F160" s="19" t="s">
        <v>1</v>
      </c>
      <c r="G160" s="20" t="s">
        <v>453</v>
      </c>
      <c r="H160" s="36">
        <v>41900</v>
      </c>
      <c r="I160" s="36">
        <v>37900</v>
      </c>
      <c r="J160" s="25">
        <v>264900</v>
      </c>
    </row>
    <row r="161" spans="1:10" ht="16" x14ac:dyDescent="0.45">
      <c r="A161" s="153" t="str">
        <f>B161&amp;C161&amp;E161&amp;G161</f>
        <v>정수기아이콘2.054M(4개월점검주기)</v>
      </c>
      <c r="B161" s="17" t="s">
        <v>2</v>
      </c>
      <c r="C161" s="18" t="s">
        <v>483</v>
      </c>
      <c r="D161" s="19" t="s">
        <v>625</v>
      </c>
      <c r="E161" s="19">
        <v>5</v>
      </c>
      <c r="F161" s="19" t="s">
        <v>0</v>
      </c>
      <c r="G161" s="20" t="s">
        <v>453</v>
      </c>
      <c r="H161" s="36">
        <v>39400</v>
      </c>
      <c r="I161" s="36">
        <v>35400</v>
      </c>
      <c r="J161" s="25">
        <v>264900</v>
      </c>
    </row>
    <row r="162" spans="1:10" ht="16" x14ac:dyDescent="0.45">
      <c r="A162" s="153" t="str">
        <f>B162&amp;C162&amp;E162&amp;G162</f>
        <v>정수기아이콘2.064M(4개월점검주기)</v>
      </c>
      <c r="B162" s="17" t="s">
        <v>2</v>
      </c>
      <c r="C162" s="18" t="s">
        <v>483</v>
      </c>
      <c r="D162" s="19" t="s">
        <v>625</v>
      </c>
      <c r="E162" s="19">
        <v>6</v>
      </c>
      <c r="F162" s="19" t="s">
        <v>0</v>
      </c>
      <c r="G162" s="20" t="s">
        <v>453</v>
      </c>
      <c r="H162" s="36">
        <v>37900</v>
      </c>
      <c r="I162" s="36">
        <v>33900</v>
      </c>
      <c r="J162" s="25">
        <v>331100</v>
      </c>
    </row>
    <row r="163" spans="1:10" ht="16" x14ac:dyDescent="0.45">
      <c r="A163" s="153" t="str">
        <f>B163&amp;C163&amp;E163&amp;G163</f>
        <v>정수기아이콘2.074M(4개월점검주기)</v>
      </c>
      <c r="B163" s="17" t="s">
        <v>2</v>
      </c>
      <c r="C163" s="18" t="s">
        <v>483</v>
      </c>
      <c r="D163" s="19" t="s">
        <v>625</v>
      </c>
      <c r="E163" s="19">
        <v>7</v>
      </c>
      <c r="F163" s="19" t="s">
        <v>0</v>
      </c>
      <c r="G163" s="20" t="s">
        <v>453</v>
      </c>
      <c r="H163" s="36">
        <v>36400</v>
      </c>
      <c r="I163" s="36">
        <v>32400</v>
      </c>
      <c r="J163" s="25">
        <v>331100</v>
      </c>
    </row>
    <row r="164" spans="1:10" ht="16" x14ac:dyDescent="0.45">
      <c r="A164" s="153" t="str">
        <f>B164&amp;C164&amp;E164&amp;G164</f>
        <v>정수기아이콘2.03자가관리</v>
      </c>
      <c r="B164" s="17" t="s">
        <v>2</v>
      </c>
      <c r="C164" s="18" t="s">
        <v>483</v>
      </c>
      <c r="D164" s="19" t="s">
        <v>625</v>
      </c>
      <c r="E164" s="19">
        <v>3</v>
      </c>
      <c r="F164" s="19" t="s">
        <v>1</v>
      </c>
      <c r="G164" s="20" t="s">
        <v>3</v>
      </c>
      <c r="H164" s="36">
        <v>37900</v>
      </c>
      <c r="I164" s="36">
        <v>33900</v>
      </c>
      <c r="J164" s="25">
        <v>242500</v>
      </c>
    </row>
    <row r="165" spans="1:10" ht="16" x14ac:dyDescent="0.45">
      <c r="A165" s="153" t="str">
        <f>B165&amp;C165&amp;E165&amp;G165</f>
        <v>정수기아이콘2.05자가관리</v>
      </c>
      <c r="B165" s="17" t="s">
        <v>2</v>
      </c>
      <c r="C165" s="18" t="s">
        <v>483</v>
      </c>
      <c r="D165" s="19" t="s">
        <v>625</v>
      </c>
      <c r="E165" s="19">
        <v>5</v>
      </c>
      <c r="F165" s="19" t="s">
        <v>0</v>
      </c>
      <c r="G165" s="20" t="s">
        <v>3</v>
      </c>
      <c r="H165" s="36">
        <v>35400</v>
      </c>
      <c r="I165" s="36">
        <v>31400</v>
      </c>
      <c r="J165" s="25">
        <v>242500</v>
      </c>
    </row>
    <row r="166" spans="1:10" ht="16" x14ac:dyDescent="0.45">
      <c r="A166" s="153" t="str">
        <f>B166&amp;C166&amp;E166&amp;G166</f>
        <v>정수기아이콘2.06자가관리</v>
      </c>
      <c r="B166" s="17" t="s">
        <v>2</v>
      </c>
      <c r="C166" s="18" t="s">
        <v>483</v>
      </c>
      <c r="D166" s="19" t="s">
        <v>625</v>
      </c>
      <c r="E166" s="19">
        <v>6</v>
      </c>
      <c r="F166" s="19" t="s">
        <v>0</v>
      </c>
      <c r="G166" s="20" t="s">
        <v>3</v>
      </c>
      <c r="H166" s="36">
        <v>33900</v>
      </c>
      <c r="I166" s="36">
        <v>29900</v>
      </c>
      <c r="J166" s="25">
        <v>303100</v>
      </c>
    </row>
    <row r="167" spans="1:10" ht="16" x14ac:dyDescent="0.45">
      <c r="A167" s="153" t="str">
        <f>B167&amp;C167&amp;E167&amp;G167</f>
        <v>정수기아이콘2.07자가관리</v>
      </c>
      <c r="B167" s="17" t="s">
        <v>2</v>
      </c>
      <c r="C167" s="18" t="s">
        <v>483</v>
      </c>
      <c r="D167" s="19" t="s">
        <v>625</v>
      </c>
      <c r="E167" s="19">
        <v>7</v>
      </c>
      <c r="F167" s="19" t="s">
        <v>0</v>
      </c>
      <c r="G167" s="20" t="s">
        <v>3</v>
      </c>
      <c r="H167" s="36">
        <v>32400</v>
      </c>
      <c r="I167" s="36">
        <v>28400</v>
      </c>
      <c r="J167" s="25">
        <v>303100</v>
      </c>
    </row>
    <row r="168" spans="1:10" ht="16" x14ac:dyDescent="0.45">
      <c r="A168" s="153" t="str">
        <f>B168&amp;C168&amp;E168&amp;G168</f>
        <v>정수기아이콘2.034M(4개월점검주기)</v>
      </c>
      <c r="B168" s="17" t="s">
        <v>2</v>
      </c>
      <c r="C168" s="18" t="s">
        <v>483</v>
      </c>
      <c r="D168" s="19" t="s">
        <v>626</v>
      </c>
      <c r="E168" s="19">
        <v>3</v>
      </c>
      <c r="F168" s="19" t="s">
        <v>1</v>
      </c>
      <c r="G168" s="20" t="s">
        <v>453</v>
      </c>
      <c r="H168" s="36">
        <v>39900</v>
      </c>
      <c r="I168" s="36">
        <v>35900</v>
      </c>
      <c r="J168" s="25">
        <v>253700</v>
      </c>
    </row>
    <row r="169" spans="1:10" ht="16" x14ac:dyDescent="0.45">
      <c r="A169" s="153" t="str">
        <f>B169&amp;C169&amp;E169&amp;G169</f>
        <v>정수기아이콘2.054M(4개월점검주기)</v>
      </c>
      <c r="B169" s="17" t="s">
        <v>2</v>
      </c>
      <c r="C169" s="18" t="s">
        <v>483</v>
      </c>
      <c r="D169" s="19" t="s">
        <v>626</v>
      </c>
      <c r="E169" s="19">
        <v>5</v>
      </c>
      <c r="F169" s="19" t="s">
        <v>0</v>
      </c>
      <c r="G169" s="20" t="s">
        <v>453</v>
      </c>
      <c r="H169" s="36">
        <v>37400</v>
      </c>
      <c r="I169" s="36">
        <v>33400</v>
      </c>
      <c r="J169" s="25">
        <v>253700</v>
      </c>
    </row>
    <row r="170" spans="1:10" ht="16" x14ac:dyDescent="0.45">
      <c r="A170" s="153" t="str">
        <f>B170&amp;C170&amp;E170&amp;G170</f>
        <v>정수기아이콘2.064M(4개월점검주기)</v>
      </c>
      <c r="B170" s="17" t="s">
        <v>2</v>
      </c>
      <c r="C170" s="18" t="s">
        <v>483</v>
      </c>
      <c r="D170" s="19" t="s">
        <v>626</v>
      </c>
      <c r="E170" s="19">
        <v>6</v>
      </c>
      <c r="F170" s="19" t="s">
        <v>0</v>
      </c>
      <c r="G170" s="20" t="s">
        <v>453</v>
      </c>
      <c r="H170" s="36">
        <v>35900</v>
      </c>
      <c r="I170" s="36">
        <v>31900</v>
      </c>
      <c r="J170" s="25">
        <v>317100</v>
      </c>
    </row>
    <row r="171" spans="1:10" ht="16" x14ac:dyDescent="0.45">
      <c r="A171" s="153" t="str">
        <f>B171&amp;C171&amp;E171&amp;G171</f>
        <v>정수기아이콘2.074M(4개월점검주기)</v>
      </c>
      <c r="B171" s="17" t="s">
        <v>2</v>
      </c>
      <c r="C171" s="18" t="s">
        <v>483</v>
      </c>
      <c r="D171" s="19" t="s">
        <v>626</v>
      </c>
      <c r="E171" s="19">
        <v>7</v>
      </c>
      <c r="F171" s="19" t="s">
        <v>0</v>
      </c>
      <c r="G171" s="20" t="s">
        <v>453</v>
      </c>
      <c r="H171" s="36">
        <v>34400</v>
      </c>
      <c r="I171" s="36">
        <v>30400</v>
      </c>
      <c r="J171" s="25">
        <v>317100</v>
      </c>
    </row>
    <row r="172" spans="1:10" ht="16" x14ac:dyDescent="0.45">
      <c r="A172" s="153" t="str">
        <f>B172&amp;C172&amp;E172&amp;G172</f>
        <v>정수기아이콘2.03자가관리</v>
      </c>
      <c r="B172" s="17" t="s">
        <v>2</v>
      </c>
      <c r="C172" s="18" t="s">
        <v>483</v>
      </c>
      <c r="D172" s="19" t="s">
        <v>626</v>
      </c>
      <c r="E172" s="19">
        <v>3</v>
      </c>
      <c r="F172" s="19" t="s">
        <v>1</v>
      </c>
      <c r="G172" s="20" t="s">
        <v>3</v>
      </c>
      <c r="H172" s="36">
        <v>35900</v>
      </c>
      <c r="I172" s="36">
        <v>31900</v>
      </c>
      <c r="J172" s="25">
        <v>231200</v>
      </c>
    </row>
    <row r="173" spans="1:10" ht="16" x14ac:dyDescent="0.45">
      <c r="A173" s="153" t="str">
        <f>B173&amp;C173&amp;E173&amp;G173</f>
        <v>정수기아이콘2.05자가관리</v>
      </c>
      <c r="B173" s="17" t="s">
        <v>2</v>
      </c>
      <c r="C173" s="18" t="s">
        <v>483</v>
      </c>
      <c r="D173" s="19" t="s">
        <v>626</v>
      </c>
      <c r="E173" s="19">
        <v>5</v>
      </c>
      <c r="F173" s="19" t="s">
        <v>0</v>
      </c>
      <c r="G173" s="20" t="s">
        <v>3</v>
      </c>
      <c r="H173" s="36">
        <v>33400</v>
      </c>
      <c r="I173" s="36">
        <v>29400</v>
      </c>
      <c r="J173" s="25">
        <v>231200</v>
      </c>
    </row>
    <row r="174" spans="1:10" ht="16" x14ac:dyDescent="0.45">
      <c r="A174" s="153" t="str">
        <f>B174&amp;C174&amp;E174&amp;G174</f>
        <v>정수기아이콘2.06자가관리</v>
      </c>
      <c r="B174" s="17" t="s">
        <v>2</v>
      </c>
      <c r="C174" s="18" t="s">
        <v>483</v>
      </c>
      <c r="D174" s="19" t="s">
        <v>626</v>
      </c>
      <c r="E174" s="19">
        <v>6</v>
      </c>
      <c r="F174" s="19" t="s">
        <v>0</v>
      </c>
      <c r="G174" s="20" t="s">
        <v>3</v>
      </c>
      <c r="H174" s="36">
        <v>31900</v>
      </c>
      <c r="I174" s="36">
        <v>27900</v>
      </c>
      <c r="J174" s="25">
        <v>289000</v>
      </c>
    </row>
    <row r="175" spans="1:10" ht="16" x14ac:dyDescent="0.45">
      <c r="A175" s="153" t="str">
        <f>B175&amp;C175&amp;E175&amp;G175</f>
        <v>정수기아이콘2.07자가관리</v>
      </c>
      <c r="B175" s="17" t="s">
        <v>2</v>
      </c>
      <c r="C175" s="18" t="s">
        <v>483</v>
      </c>
      <c r="D175" s="19" t="s">
        <v>626</v>
      </c>
      <c r="E175" s="19">
        <v>7</v>
      </c>
      <c r="F175" s="19" t="s">
        <v>0</v>
      </c>
      <c r="G175" s="20" t="s">
        <v>3</v>
      </c>
      <c r="H175" s="36">
        <v>30400</v>
      </c>
      <c r="I175" s="36">
        <v>26400</v>
      </c>
      <c r="J175" s="25">
        <v>289000</v>
      </c>
    </row>
    <row r="176" spans="1:10" ht="16" x14ac:dyDescent="0.45">
      <c r="A176" s="153" t="str">
        <f>B176&amp;C176&amp;E176&amp;G176</f>
        <v>정수기아이콘2_V234M(4개월점검주기)</v>
      </c>
      <c r="B176" s="17" t="s">
        <v>2</v>
      </c>
      <c r="C176" s="18" t="s">
        <v>1206</v>
      </c>
      <c r="D176" s="19" t="s">
        <v>1207</v>
      </c>
      <c r="E176" s="19">
        <v>3</v>
      </c>
      <c r="F176" s="19" t="s">
        <v>1</v>
      </c>
      <c r="G176" s="20" t="s">
        <v>453</v>
      </c>
      <c r="H176" s="36">
        <v>41900</v>
      </c>
      <c r="I176" s="36">
        <v>37900</v>
      </c>
      <c r="J176" s="25">
        <v>253700</v>
      </c>
    </row>
    <row r="177" spans="1:10" ht="16" x14ac:dyDescent="0.45">
      <c r="A177" s="153" t="str">
        <f>B177&amp;C177&amp;E177&amp;G177</f>
        <v>정수기아이콘2_V254M(4개월점검주기)</v>
      </c>
      <c r="B177" s="17" t="s">
        <v>2</v>
      </c>
      <c r="C177" s="18" t="s">
        <v>1206</v>
      </c>
      <c r="D177" s="19" t="s">
        <v>1207</v>
      </c>
      <c r="E177" s="19">
        <v>5</v>
      </c>
      <c r="F177" s="19" t="s">
        <v>0</v>
      </c>
      <c r="G177" s="20" t="s">
        <v>453</v>
      </c>
      <c r="H177" s="36">
        <v>38900</v>
      </c>
      <c r="I177" s="36">
        <v>34900</v>
      </c>
      <c r="J177" s="25">
        <v>253700</v>
      </c>
    </row>
    <row r="178" spans="1:10" ht="16" x14ac:dyDescent="0.45">
      <c r="A178" s="153" t="str">
        <f>B178&amp;C178&amp;E178&amp;G178</f>
        <v>정수기아이콘2_V264M(4개월점검주기)</v>
      </c>
      <c r="B178" s="17" t="s">
        <v>2</v>
      </c>
      <c r="C178" s="18" t="s">
        <v>1206</v>
      </c>
      <c r="D178" s="19" t="s">
        <v>1207</v>
      </c>
      <c r="E178" s="19">
        <v>6</v>
      </c>
      <c r="F178" s="19" t="s">
        <v>0</v>
      </c>
      <c r="G178" s="20" t="s">
        <v>453</v>
      </c>
      <c r="H178" s="36">
        <v>36900</v>
      </c>
      <c r="I178" s="36">
        <v>32900</v>
      </c>
      <c r="J178" s="25">
        <v>317100</v>
      </c>
    </row>
    <row r="179" spans="1:10" ht="16" x14ac:dyDescent="0.45">
      <c r="A179" s="153" t="str">
        <f>B179&amp;C179&amp;E179&amp;G179</f>
        <v>정수기아이콘2_V274M(4개월점검주기)</v>
      </c>
      <c r="B179" s="17" t="s">
        <v>2</v>
      </c>
      <c r="C179" s="18" t="s">
        <v>1206</v>
      </c>
      <c r="D179" s="19" t="s">
        <v>1207</v>
      </c>
      <c r="E179" s="19">
        <v>7</v>
      </c>
      <c r="F179" s="19" t="s">
        <v>0</v>
      </c>
      <c r="G179" s="20" t="s">
        <v>453</v>
      </c>
      <c r="H179" s="36">
        <v>34900</v>
      </c>
      <c r="I179" s="36">
        <v>30900</v>
      </c>
      <c r="J179" s="25">
        <v>317100</v>
      </c>
    </row>
    <row r="180" spans="1:10" ht="16" x14ac:dyDescent="0.45">
      <c r="A180" s="153" t="str">
        <f>B180&amp;C180&amp;E180&amp;G180</f>
        <v>정수기아이콘2_V23자가관리</v>
      </c>
      <c r="B180" s="17" t="s">
        <v>2</v>
      </c>
      <c r="C180" s="18" t="s">
        <v>1206</v>
      </c>
      <c r="D180" s="19" t="s">
        <v>1207</v>
      </c>
      <c r="E180" s="19">
        <v>3</v>
      </c>
      <c r="F180" s="19" t="s">
        <v>1</v>
      </c>
      <c r="G180" s="20" t="s">
        <v>3</v>
      </c>
      <c r="H180" s="36">
        <v>38900</v>
      </c>
      <c r="I180" s="36">
        <v>34900</v>
      </c>
      <c r="J180" s="25">
        <v>242500</v>
      </c>
    </row>
    <row r="181" spans="1:10" ht="16" x14ac:dyDescent="0.45">
      <c r="A181" s="153" t="str">
        <f>B181&amp;C181&amp;E181&amp;G181</f>
        <v>정수기아이콘2_V25자가관리</v>
      </c>
      <c r="B181" s="17" t="s">
        <v>2</v>
      </c>
      <c r="C181" s="18" t="s">
        <v>1206</v>
      </c>
      <c r="D181" s="19" t="s">
        <v>1207</v>
      </c>
      <c r="E181" s="19">
        <v>5</v>
      </c>
      <c r="F181" s="19" t="s">
        <v>0</v>
      </c>
      <c r="G181" s="20" t="s">
        <v>3</v>
      </c>
      <c r="H181" s="36">
        <v>35900</v>
      </c>
      <c r="I181" s="36">
        <v>31900</v>
      </c>
      <c r="J181" s="25">
        <v>242500</v>
      </c>
    </row>
    <row r="182" spans="1:10" ht="16" x14ac:dyDescent="0.45">
      <c r="A182" s="153" t="str">
        <f>B182&amp;C182&amp;E182&amp;G182</f>
        <v>정수기아이콘2_V26자가관리</v>
      </c>
      <c r="B182" s="17" t="s">
        <v>2</v>
      </c>
      <c r="C182" s="18" t="s">
        <v>1206</v>
      </c>
      <c r="D182" s="19" t="s">
        <v>1207</v>
      </c>
      <c r="E182" s="19">
        <v>6</v>
      </c>
      <c r="F182" s="19" t="s">
        <v>0</v>
      </c>
      <c r="G182" s="20" t="s">
        <v>3</v>
      </c>
      <c r="H182" s="36">
        <v>33900</v>
      </c>
      <c r="I182" s="36">
        <v>29900</v>
      </c>
      <c r="J182" s="25">
        <v>303100</v>
      </c>
    </row>
    <row r="183" spans="1:10" ht="16" x14ac:dyDescent="0.45">
      <c r="A183" s="153" t="str">
        <f>B183&amp;C183&amp;E183&amp;G183</f>
        <v>정수기아이콘2_V27자가관리</v>
      </c>
      <c r="B183" s="17" t="s">
        <v>2</v>
      </c>
      <c r="C183" s="18" t="s">
        <v>1206</v>
      </c>
      <c r="D183" s="19" t="s">
        <v>1207</v>
      </c>
      <c r="E183" s="19">
        <v>7</v>
      </c>
      <c r="F183" s="19" t="s">
        <v>0</v>
      </c>
      <c r="G183" s="20" t="s">
        <v>3</v>
      </c>
      <c r="H183" s="36">
        <v>31900</v>
      </c>
      <c r="I183" s="36">
        <v>27900</v>
      </c>
      <c r="J183" s="25">
        <v>303100</v>
      </c>
    </row>
    <row r="184" spans="1:10" ht="16" x14ac:dyDescent="0.45">
      <c r="A184" s="153" t="str">
        <f>B184&amp;C184&amp;E184&amp;G184</f>
        <v>정수기아이콘2_V234M(4개월점검주기)</v>
      </c>
      <c r="B184" s="17" t="s">
        <v>2</v>
      </c>
      <c r="C184" s="295" t="s">
        <v>1206</v>
      </c>
      <c r="D184" s="19" t="s">
        <v>1336</v>
      </c>
      <c r="E184" s="19">
        <v>3</v>
      </c>
      <c r="F184" s="19" t="s">
        <v>1</v>
      </c>
      <c r="G184" s="20" t="s">
        <v>453</v>
      </c>
      <c r="H184" s="36">
        <v>39900</v>
      </c>
      <c r="I184" s="36">
        <v>35900</v>
      </c>
      <c r="J184" s="25">
        <v>242500</v>
      </c>
    </row>
    <row r="185" spans="1:10" ht="16" x14ac:dyDescent="0.45">
      <c r="A185" s="153" t="str">
        <f>B185&amp;C185&amp;E185&amp;G185</f>
        <v>정수기아이콘2_V254M(4개월점검주기)</v>
      </c>
      <c r="B185" s="17" t="s">
        <v>2</v>
      </c>
      <c r="C185" s="295" t="s">
        <v>1206</v>
      </c>
      <c r="D185" s="19" t="s">
        <v>1336</v>
      </c>
      <c r="E185" s="19">
        <v>5</v>
      </c>
      <c r="F185" s="19" t="s">
        <v>0</v>
      </c>
      <c r="G185" s="20" t="s">
        <v>453</v>
      </c>
      <c r="H185" s="36">
        <v>36900</v>
      </c>
      <c r="I185" s="36">
        <v>32900</v>
      </c>
      <c r="J185" s="25">
        <v>242500</v>
      </c>
    </row>
    <row r="186" spans="1:10" ht="16" x14ac:dyDescent="0.45">
      <c r="A186" s="153" t="str">
        <f>B186&amp;C186&amp;E186&amp;G186</f>
        <v>정수기아이콘2_V264M(4개월점검주기)</v>
      </c>
      <c r="B186" s="17" t="s">
        <v>2</v>
      </c>
      <c r="C186" s="295" t="s">
        <v>1206</v>
      </c>
      <c r="D186" s="19" t="s">
        <v>1336</v>
      </c>
      <c r="E186" s="19">
        <v>6</v>
      </c>
      <c r="F186" s="19" t="s">
        <v>0</v>
      </c>
      <c r="G186" s="20" t="s">
        <v>453</v>
      </c>
      <c r="H186" s="36">
        <v>34900</v>
      </c>
      <c r="I186" s="36">
        <v>30900</v>
      </c>
      <c r="J186" s="25">
        <v>303100</v>
      </c>
    </row>
    <row r="187" spans="1:10" ht="16" x14ac:dyDescent="0.45">
      <c r="A187" s="153" t="str">
        <f>B187&amp;C187&amp;E187&amp;G187</f>
        <v>정수기아이콘2_V274M(4개월점검주기)</v>
      </c>
      <c r="B187" s="17" t="s">
        <v>2</v>
      </c>
      <c r="C187" s="295" t="s">
        <v>1206</v>
      </c>
      <c r="D187" s="19" t="s">
        <v>1336</v>
      </c>
      <c r="E187" s="19">
        <v>7</v>
      </c>
      <c r="F187" s="19" t="s">
        <v>0</v>
      </c>
      <c r="G187" s="20" t="s">
        <v>453</v>
      </c>
      <c r="H187" s="36">
        <v>32900</v>
      </c>
      <c r="I187" s="36">
        <v>28900</v>
      </c>
      <c r="J187" s="25">
        <v>303100</v>
      </c>
    </row>
    <row r="188" spans="1:10" ht="16" x14ac:dyDescent="0.45">
      <c r="A188" s="153" t="str">
        <f>B188&amp;C188&amp;E188&amp;G188</f>
        <v>정수기아이콘2_V23자가관리</v>
      </c>
      <c r="B188" s="17" t="s">
        <v>2</v>
      </c>
      <c r="C188" s="295" t="s">
        <v>1206</v>
      </c>
      <c r="D188" s="19" t="s">
        <v>1336</v>
      </c>
      <c r="E188" s="19">
        <v>3</v>
      </c>
      <c r="F188" s="19" t="s">
        <v>1</v>
      </c>
      <c r="G188" s="20" t="s">
        <v>3</v>
      </c>
      <c r="H188" s="36">
        <v>36900</v>
      </c>
      <c r="I188" s="36">
        <v>32900</v>
      </c>
      <c r="J188" s="25">
        <v>231200</v>
      </c>
    </row>
    <row r="189" spans="1:10" ht="16" x14ac:dyDescent="0.45">
      <c r="A189" s="153" t="str">
        <f>B189&amp;C189&amp;E189&amp;G189</f>
        <v>정수기아이콘2_V25자가관리</v>
      </c>
      <c r="B189" s="17" t="s">
        <v>2</v>
      </c>
      <c r="C189" s="295" t="s">
        <v>1206</v>
      </c>
      <c r="D189" s="19" t="s">
        <v>1336</v>
      </c>
      <c r="E189" s="19">
        <v>5</v>
      </c>
      <c r="F189" s="19" t="s">
        <v>0</v>
      </c>
      <c r="G189" s="20" t="s">
        <v>3</v>
      </c>
      <c r="H189" s="36">
        <v>33900</v>
      </c>
      <c r="I189" s="36">
        <v>29900</v>
      </c>
      <c r="J189" s="25">
        <v>231200</v>
      </c>
    </row>
    <row r="190" spans="1:10" ht="16" x14ac:dyDescent="0.45">
      <c r="A190" s="153" t="str">
        <f>B190&amp;C190&amp;E190&amp;G190</f>
        <v>정수기아이콘2_V26자가관리</v>
      </c>
      <c r="B190" s="17" t="s">
        <v>2</v>
      </c>
      <c r="C190" s="295" t="s">
        <v>1206</v>
      </c>
      <c r="D190" s="19" t="s">
        <v>1336</v>
      </c>
      <c r="E190" s="19">
        <v>6</v>
      </c>
      <c r="F190" s="19" t="s">
        <v>0</v>
      </c>
      <c r="G190" s="20" t="s">
        <v>3</v>
      </c>
      <c r="H190" s="36">
        <v>31900</v>
      </c>
      <c r="I190" s="36">
        <v>27900</v>
      </c>
      <c r="J190" s="25">
        <v>289000</v>
      </c>
    </row>
    <row r="191" spans="1:10" ht="16" x14ac:dyDescent="0.45">
      <c r="A191" s="153" t="str">
        <f>B191&amp;C191&amp;E191&amp;G191</f>
        <v>정수기아이콘2_V27자가관리</v>
      </c>
      <c r="B191" s="17" t="s">
        <v>2</v>
      </c>
      <c r="C191" s="295" t="s">
        <v>1206</v>
      </c>
      <c r="D191" s="19" t="s">
        <v>1336</v>
      </c>
      <c r="E191" s="19">
        <v>7</v>
      </c>
      <c r="F191" s="19" t="s">
        <v>0</v>
      </c>
      <c r="G191" s="20" t="s">
        <v>3</v>
      </c>
      <c r="H191" s="36">
        <v>29900</v>
      </c>
      <c r="I191" s="36">
        <v>25900</v>
      </c>
      <c r="J191" s="25">
        <v>289000</v>
      </c>
    </row>
    <row r="192" spans="1:10" ht="16" x14ac:dyDescent="0.45">
      <c r="A192" s="153" t="str">
        <f>B192&amp;C192&amp;E192&amp;G192</f>
        <v>정수기아이콘3.034M(4개월점검주기)</v>
      </c>
      <c r="B192" s="17" t="s">
        <v>2</v>
      </c>
      <c r="C192" s="18" t="s">
        <v>1045</v>
      </c>
      <c r="D192" s="19" t="s">
        <v>1047</v>
      </c>
      <c r="E192" s="19">
        <v>3</v>
      </c>
      <c r="F192" s="19" t="s">
        <v>1</v>
      </c>
      <c r="G192" s="20" t="s">
        <v>453</v>
      </c>
      <c r="H192" s="36">
        <v>42900</v>
      </c>
      <c r="I192" s="36">
        <v>38900</v>
      </c>
      <c r="J192" s="25">
        <v>264900</v>
      </c>
    </row>
    <row r="193" spans="1:10" ht="16" x14ac:dyDescent="0.45">
      <c r="A193" s="153" t="str">
        <f>B193&amp;C193&amp;E193&amp;G193</f>
        <v>정수기아이콘3.054M(4개월점검주기)</v>
      </c>
      <c r="B193" s="17" t="s">
        <v>2</v>
      </c>
      <c r="C193" s="18" t="s">
        <v>1045</v>
      </c>
      <c r="D193" s="19" t="s">
        <v>1047</v>
      </c>
      <c r="E193" s="19">
        <v>5</v>
      </c>
      <c r="F193" s="19" t="s">
        <v>0</v>
      </c>
      <c r="G193" s="20" t="s">
        <v>453</v>
      </c>
      <c r="H193" s="36">
        <v>39900</v>
      </c>
      <c r="I193" s="36">
        <v>35900</v>
      </c>
      <c r="J193" s="25">
        <v>264900</v>
      </c>
    </row>
    <row r="194" spans="1:10" ht="16" x14ac:dyDescent="0.45">
      <c r="A194" s="153" t="str">
        <f>B194&amp;C194&amp;E194&amp;G194</f>
        <v>정수기아이콘3.064M(4개월점검주기)</v>
      </c>
      <c r="B194" s="17" t="s">
        <v>2</v>
      </c>
      <c r="C194" s="18" t="s">
        <v>1045</v>
      </c>
      <c r="D194" s="19" t="s">
        <v>1047</v>
      </c>
      <c r="E194" s="19">
        <v>6</v>
      </c>
      <c r="F194" s="19" t="s">
        <v>0</v>
      </c>
      <c r="G194" s="20" t="s">
        <v>453</v>
      </c>
      <c r="H194" s="36">
        <v>37900</v>
      </c>
      <c r="I194" s="36">
        <v>33900</v>
      </c>
      <c r="J194" s="25">
        <v>331100</v>
      </c>
    </row>
    <row r="195" spans="1:10" ht="16" x14ac:dyDescent="0.45">
      <c r="A195" s="153" t="str">
        <f>B195&amp;C195&amp;E195&amp;G195</f>
        <v>정수기아이콘3.074M(4개월점검주기)</v>
      </c>
      <c r="B195" s="17" t="s">
        <v>2</v>
      </c>
      <c r="C195" s="18" t="s">
        <v>1045</v>
      </c>
      <c r="D195" s="19" t="s">
        <v>1047</v>
      </c>
      <c r="E195" s="19">
        <v>7</v>
      </c>
      <c r="F195" s="19" t="s">
        <v>0</v>
      </c>
      <c r="G195" s="20" t="s">
        <v>453</v>
      </c>
      <c r="H195" s="36">
        <v>35900</v>
      </c>
      <c r="I195" s="36">
        <v>31900</v>
      </c>
      <c r="J195" s="25">
        <v>331100</v>
      </c>
    </row>
    <row r="196" spans="1:10" ht="16" x14ac:dyDescent="0.45">
      <c r="A196" s="153" t="str">
        <f>B196&amp;C196&amp;E196&amp;G196</f>
        <v>정수기아이콘3.03자가관리</v>
      </c>
      <c r="B196" s="17" t="s">
        <v>2</v>
      </c>
      <c r="C196" s="18" t="s">
        <v>1045</v>
      </c>
      <c r="D196" s="19" t="s">
        <v>1047</v>
      </c>
      <c r="E196" s="19">
        <v>3</v>
      </c>
      <c r="F196" s="19" t="s">
        <v>1</v>
      </c>
      <c r="G196" s="20" t="s">
        <v>3</v>
      </c>
      <c r="H196" s="36">
        <v>39900</v>
      </c>
      <c r="I196" s="36">
        <v>35900</v>
      </c>
      <c r="J196" s="25">
        <v>242500</v>
      </c>
    </row>
    <row r="197" spans="1:10" ht="16" x14ac:dyDescent="0.45">
      <c r="A197" s="153" t="str">
        <f>B197&amp;C197&amp;E197&amp;G197</f>
        <v>정수기아이콘3.05자가관리</v>
      </c>
      <c r="B197" s="17" t="s">
        <v>2</v>
      </c>
      <c r="C197" s="18" t="s">
        <v>1045</v>
      </c>
      <c r="D197" s="19" t="s">
        <v>1047</v>
      </c>
      <c r="E197" s="19">
        <v>5</v>
      </c>
      <c r="F197" s="19" t="s">
        <v>0</v>
      </c>
      <c r="G197" s="20" t="s">
        <v>3</v>
      </c>
      <c r="H197" s="36">
        <v>36900</v>
      </c>
      <c r="I197" s="36">
        <v>32900</v>
      </c>
      <c r="J197" s="25">
        <v>242500</v>
      </c>
    </row>
    <row r="198" spans="1:10" ht="16" x14ac:dyDescent="0.45">
      <c r="A198" s="153" t="str">
        <f>B198&amp;C198&amp;E198&amp;G198</f>
        <v>정수기아이콘3.06자가관리</v>
      </c>
      <c r="B198" s="17" t="s">
        <v>2</v>
      </c>
      <c r="C198" s="18" t="s">
        <v>1045</v>
      </c>
      <c r="D198" s="19" t="s">
        <v>1047</v>
      </c>
      <c r="E198" s="19">
        <v>6</v>
      </c>
      <c r="F198" s="19" t="s">
        <v>0</v>
      </c>
      <c r="G198" s="20" t="s">
        <v>3</v>
      </c>
      <c r="H198" s="36">
        <v>34900</v>
      </c>
      <c r="I198" s="36">
        <v>30900</v>
      </c>
      <c r="J198" s="25">
        <v>303100</v>
      </c>
    </row>
    <row r="199" spans="1:10" ht="16" x14ac:dyDescent="0.45">
      <c r="A199" s="153" t="str">
        <f>B199&amp;C199&amp;E199&amp;G199</f>
        <v>정수기아이콘3.07자가관리</v>
      </c>
      <c r="B199" s="17" t="s">
        <v>2</v>
      </c>
      <c r="C199" s="18" t="s">
        <v>1045</v>
      </c>
      <c r="D199" s="19" t="s">
        <v>1047</v>
      </c>
      <c r="E199" s="19">
        <v>7</v>
      </c>
      <c r="F199" s="19" t="s">
        <v>0</v>
      </c>
      <c r="G199" s="20" t="s">
        <v>3</v>
      </c>
      <c r="H199" s="36">
        <v>32900</v>
      </c>
      <c r="I199" s="36">
        <v>28900</v>
      </c>
      <c r="J199" s="25">
        <v>303100</v>
      </c>
    </row>
    <row r="200" spans="1:10" ht="16" x14ac:dyDescent="0.45">
      <c r="A200" s="153" t="str">
        <f>B200&amp;C200&amp;E200&amp;G200</f>
        <v>정수기아이콘3.034M(4개월점검주기)</v>
      </c>
      <c r="B200" s="17" t="s">
        <v>2</v>
      </c>
      <c r="C200" s="18" t="s">
        <v>1045</v>
      </c>
      <c r="D200" s="19" t="s">
        <v>1046</v>
      </c>
      <c r="E200" s="19">
        <v>3</v>
      </c>
      <c r="F200" s="19" t="s">
        <v>1</v>
      </c>
      <c r="G200" s="20" t="s">
        <v>453</v>
      </c>
      <c r="H200" s="36">
        <v>40900</v>
      </c>
      <c r="I200" s="36">
        <v>36900</v>
      </c>
      <c r="J200" s="25">
        <v>253700</v>
      </c>
    </row>
    <row r="201" spans="1:10" ht="16" x14ac:dyDescent="0.45">
      <c r="A201" s="153" t="str">
        <f>B201&amp;C201&amp;E201&amp;G201</f>
        <v>정수기아이콘3.054M(4개월점검주기)</v>
      </c>
      <c r="B201" s="17" t="s">
        <v>2</v>
      </c>
      <c r="C201" s="18" t="s">
        <v>1045</v>
      </c>
      <c r="D201" s="19" t="s">
        <v>1046</v>
      </c>
      <c r="E201" s="19">
        <v>5</v>
      </c>
      <c r="F201" s="19" t="s">
        <v>0</v>
      </c>
      <c r="G201" s="20" t="s">
        <v>453</v>
      </c>
      <c r="H201" s="36">
        <v>37900</v>
      </c>
      <c r="I201" s="36">
        <v>33900</v>
      </c>
      <c r="J201" s="25">
        <v>253700</v>
      </c>
    </row>
    <row r="202" spans="1:10" ht="16" x14ac:dyDescent="0.45">
      <c r="A202" s="153" t="str">
        <f>B202&amp;C202&amp;E202&amp;G202</f>
        <v>정수기아이콘3.064M(4개월점검주기)</v>
      </c>
      <c r="B202" s="17" t="s">
        <v>2</v>
      </c>
      <c r="C202" s="18" t="s">
        <v>1045</v>
      </c>
      <c r="D202" s="19" t="s">
        <v>1046</v>
      </c>
      <c r="E202" s="19">
        <v>6</v>
      </c>
      <c r="F202" s="19" t="s">
        <v>0</v>
      </c>
      <c r="G202" s="20" t="s">
        <v>453</v>
      </c>
      <c r="H202" s="36">
        <v>35900</v>
      </c>
      <c r="I202" s="36">
        <v>31900</v>
      </c>
      <c r="J202" s="25">
        <v>317100</v>
      </c>
    </row>
    <row r="203" spans="1:10" ht="16" x14ac:dyDescent="0.45">
      <c r="A203" s="153" t="str">
        <f>B203&amp;C203&amp;E203&amp;G203</f>
        <v>정수기아이콘3.074M(4개월점검주기)</v>
      </c>
      <c r="B203" s="17" t="s">
        <v>2</v>
      </c>
      <c r="C203" s="18" t="s">
        <v>1045</v>
      </c>
      <c r="D203" s="19" t="s">
        <v>1046</v>
      </c>
      <c r="E203" s="19">
        <v>7</v>
      </c>
      <c r="F203" s="19" t="s">
        <v>0</v>
      </c>
      <c r="G203" s="20" t="s">
        <v>453</v>
      </c>
      <c r="H203" s="36">
        <v>33900</v>
      </c>
      <c r="I203" s="36">
        <v>29900</v>
      </c>
      <c r="J203" s="25">
        <v>317100</v>
      </c>
    </row>
    <row r="204" spans="1:10" ht="16" x14ac:dyDescent="0.45">
      <c r="A204" s="153" t="str">
        <f>B204&amp;C204&amp;E204&amp;G204</f>
        <v>정수기아이콘3.03자가관리</v>
      </c>
      <c r="B204" s="17" t="s">
        <v>2</v>
      </c>
      <c r="C204" s="18" t="s">
        <v>1045</v>
      </c>
      <c r="D204" s="19" t="s">
        <v>1046</v>
      </c>
      <c r="E204" s="19">
        <v>3</v>
      </c>
      <c r="F204" s="19" t="s">
        <v>1</v>
      </c>
      <c r="G204" s="20" t="s">
        <v>3</v>
      </c>
      <c r="H204" s="36">
        <v>37900</v>
      </c>
      <c r="I204" s="36">
        <v>33900</v>
      </c>
      <c r="J204" s="25">
        <v>242500</v>
      </c>
    </row>
    <row r="205" spans="1:10" ht="16" x14ac:dyDescent="0.45">
      <c r="A205" s="153" t="str">
        <f>B205&amp;C205&amp;E205&amp;G205</f>
        <v>정수기아이콘3.05자가관리</v>
      </c>
      <c r="B205" s="17" t="s">
        <v>2</v>
      </c>
      <c r="C205" s="18" t="s">
        <v>1045</v>
      </c>
      <c r="D205" s="19" t="s">
        <v>1046</v>
      </c>
      <c r="E205" s="19">
        <v>5</v>
      </c>
      <c r="F205" s="19" t="s">
        <v>0</v>
      </c>
      <c r="G205" s="20" t="s">
        <v>3</v>
      </c>
      <c r="H205" s="36">
        <v>34900</v>
      </c>
      <c r="I205" s="36">
        <v>30900</v>
      </c>
      <c r="J205" s="25">
        <v>242500</v>
      </c>
    </row>
    <row r="206" spans="1:10" ht="16" x14ac:dyDescent="0.45">
      <c r="A206" s="153" t="str">
        <f>B206&amp;C206&amp;E206&amp;G206</f>
        <v>정수기아이콘3.06자가관리</v>
      </c>
      <c r="B206" s="17" t="s">
        <v>2</v>
      </c>
      <c r="C206" s="18" t="s">
        <v>1045</v>
      </c>
      <c r="D206" s="19" t="s">
        <v>1046</v>
      </c>
      <c r="E206" s="19">
        <v>6</v>
      </c>
      <c r="F206" s="19" t="s">
        <v>0</v>
      </c>
      <c r="G206" s="20" t="s">
        <v>3</v>
      </c>
      <c r="H206" s="36">
        <v>32900</v>
      </c>
      <c r="I206" s="36">
        <v>28900</v>
      </c>
      <c r="J206" s="25">
        <v>303100</v>
      </c>
    </row>
    <row r="207" spans="1:10" ht="16" x14ac:dyDescent="0.45">
      <c r="A207" s="153" t="str">
        <f>B207&amp;C207&amp;E207&amp;G207</f>
        <v>정수기아이콘3.07자가관리</v>
      </c>
      <c r="B207" s="17" t="s">
        <v>2</v>
      </c>
      <c r="C207" s="18" t="s">
        <v>1045</v>
      </c>
      <c r="D207" s="19" t="s">
        <v>1046</v>
      </c>
      <c r="E207" s="19">
        <v>7</v>
      </c>
      <c r="F207" s="19" t="s">
        <v>0</v>
      </c>
      <c r="G207" s="20" t="s">
        <v>3</v>
      </c>
      <c r="H207" s="36">
        <v>30900</v>
      </c>
      <c r="I207" s="36">
        <v>26900</v>
      </c>
      <c r="J207" s="25">
        <v>303100</v>
      </c>
    </row>
    <row r="208" spans="1:10" ht="16" x14ac:dyDescent="0.45">
      <c r="A208" s="153" t="str">
        <f>B208&amp;C208&amp;E208&amp;G208</f>
        <v>정수기아이콘얼음 맥스32M(2개월점검주기)</v>
      </c>
      <c r="B208" s="17" t="s">
        <v>2</v>
      </c>
      <c r="C208" s="18" t="s">
        <v>925</v>
      </c>
      <c r="D208" s="19" t="s">
        <v>926</v>
      </c>
      <c r="E208" s="19">
        <v>3</v>
      </c>
      <c r="F208" s="19" t="s">
        <v>1</v>
      </c>
      <c r="G208" s="20" t="s">
        <v>452</v>
      </c>
      <c r="H208" s="36">
        <v>65900</v>
      </c>
      <c r="I208" s="36">
        <v>60900</v>
      </c>
      <c r="J208" s="25">
        <v>309900</v>
      </c>
    </row>
    <row r="209" spans="1:10" ht="16" x14ac:dyDescent="0.45">
      <c r="A209" s="153" t="str">
        <f>B209&amp;C209&amp;E209&amp;G209</f>
        <v>정수기아이콘얼음 맥스52M(2개월점검주기)</v>
      </c>
      <c r="B209" s="17" t="s">
        <v>2</v>
      </c>
      <c r="C209" s="18" t="s">
        <v>925</v>
      </c>
      <c r="D209" s="19" t="s">
        <v>926</v>
      </c>
      <c r="E209" s="19">
        <v>5</v>
      </c>
      <c r="F209" s="19" t="s">
        <v>0</v>
      </c>
      <c r="G209" s="20" t="s">
        <v>452</v>
      </c>
      <c r="H209" s="36">
        <v>61900</v>
      </c>
      <c r="I209" s="36">
        <v>56900</v>
      </c>
      <c r="J209" s="25">
        <v>309900</v>
      </c>
    </row>
    <row r="210" spans="1:10" ht="16" x14ac:dyDescent="0.45">
      <c r="A210" s="153" t="str">
        <f>B210&amp;C210&amp;E210&amp;G210</f>
        <v>정수기아이콘얼음 맥스62M(2개월점검주기)</v>
      </c>
      <c r="B210" s="17" t="s">
        <v>2</v>
      </c>
      <c r="C210" s="18" t="s">
        <v>925</v>
      </c>
      <c r="D210" s="19" t="s">
        <v>926</v>
      </c>
      <c r="E210" s="19">
        <v>6</v>
      </c>
      <c r="F210" s="19" t="s">
        <v>0</v>
      </c>
      <c r="G210" s="20" t="s">
        <v>452</v>
      </c>
      <c r="H210" s="36">
        <v>58900</v>
      </c>
      <c r="I210" s="36">
        <v>53900</v>
      </c>
      <c r="J210" s="25">
        <v>387400</v>
      </c>
    </row>
    <row r="211" spans="1:10" ht="16" x14ac:dyDescent="0.45">
      <c r="A211" s="153" t="str">
        <f>B211&amp;C211&amp;E211&amp;G211</f>
        <v>정수기아이콘얼음 맥스72M(2개월점검주기)</v>
      </c>
      <c r="B211" s="17" t="s">
        <v>2</v>
      </c>
      <c r="C211" s="18" t="s">
        <v>925</v>
      </c>
      <c r="D211" s="19" t="s">
        <v>926</v>
      </c>
      <c r="E211" s="19">
        <v>7</v>
      </c>
      <c r="F211" s="19" t="s">
        <v>0</v>
      </c>
      <c r="G211" s="20" t="s">
        <v>452</v>
      </c>
      <c r="H211" s="36">
        <v>56900</v>
      </c>
      <c r="I211" s="36">
        <v>51900</v>
      </c>
      <c r="J211" s="25">
        <v>387400</v>
      </c>
    </row>
    <row r="212" spans="1:10" ht="16" x14ac:dyDescent="0.45">
      <c r="A212" s="153" t="str">
        <f>B212&amp;C212&amp;E212&amp;G212</f>
        <v>정수기아이콘얼음 맥스34M(4개월점검주기)</v>
      </c>
      <c r="B212" s="17" t="s">
        <v>2</v>
      </c>
      <c r="C212" s="18" t="s">
        <v>925</v>
      </c>
      <c r="D212" s="19" t="s">
        <v>926</v>
      </c>
      <c r="E212" s="19">
        <v>3</v>
      </c>
      <c r="F212" s="19" t="s">
        <v>1</v>
      </c>
      <c r="G212" s="20" t="s">
        <v>453</v>
      </c>
      <c r="H212" s="36">
        <v>62900</v>
      </c>
      <c r="I212" s="36">
        <v>57900</v>
      </c>
      <c r="J212" s="25">
        <v>298700</v>
      </c>
    </row>
    <row r="213" spans="1:10" ht="16" x14ac:dyDescent="0.45">
      <c r="A213" s="153" t="str">
        <f>B213&amp;C213&amp;E213&amp;G213</f>
        <v>정수기아이콘얼음 맥스54M(4개월점검주기)</v>
      </c>
      <c r="B213" s="17" t="s">
        <v>2</v>
      </c>
      <c r="C213" s="18" t="s">
        <v>925</v>
      </c>
      <c r="D213" s="19" t="s">
        <v>926</v>
      </c>
      <c r="E213" s="19">
        <v>5</v>
      </c>
      <c r="F213" s="19" t="s">
        <v>0</v>
      </c>
      <c r="G213" s="20" t="s">
        <v>453</v>
      </c>
      <c r="H213" s="36">
        <v>58900</v>
      </c>
      <c r="I213" s="36">
        <v>53900</v>
      </c>
      <c r="J213" s="25">
        <v>298700</v>
      </c>
    </row>
    <row r="214" spans="1:10" ht="16" x14ac:dyDescent="0.45">
      <c r="A214" s="153" t="str">
        <f>B214&amp;C214&amp;E214&amp;G214</f>
        <v>정수기아이콘얼음 맥스64M(4개월점검주기)</v>
      </c>
      <c r="B214" s="17" t="s">
        <v>2</v>
      </c>
      <c r="C214" s="18" t="s">
        <v>925</v>
      </c>
      <c r="D214" s="19" t="s">
        <v>926</v>
      </c>
      <c r="E214" s="19">
        <v>6</v>
      </c>
      <c r="F214" s="19" t="s">
        <v>0</v>
      </c>
      <c r="G214" s="20" t="s">
        <v>453</v>
      </c>
      <c r="H214" s="36">
        <v>55900</v>
      </c>
      <c r="I214" s="36">
        <v>50900</v>
      </c>
      <c r="J214" s="25">
        <v>373400</v>
      </c>
    </row>
    <row r="215" spans="1:10" ht="16" x14ac:dyDescent="0.45">
      <c r="A215" s="153" t="str">
        <f>B215&amp;C215&amp;E215&amp;G215</f>
        <v>정수기아이콘얼음 맥스74M(4개월점검주기)</v>
      </c>
      <c r="B215" s="17" t="s">
        <v>2</v>
      </c>
      <c r="C215" s="18" t="s">
        <v>925</v>
      </c>
      <c r="D215" s="19" t="s">
        <v>926</v>
      </c>
      <c r="E215" s="19">
        <v>7</v>
      </c>
      <c r="F215" s="19" t="s">
        <v>0</v>
      </c>
      <c r="G215" s="20" t="s">
        <v>453</v>
      </c>
      <c r="H215" s="36">
        <v>53900</v>
      </c>
      <c r="I215" s="36">
        <v>48900</v>
      </c>
      <c r="J215" s="25">
        <v>373400</v>
      </c>
    </row>
    <row r="216" spans="1:10" ht="16" x14ac:dyDescent="0.45">
      <c r="A216" s="153" t="str">
        <f>B216&amp;C216&amp;E216&amp;G216</f>
        <v>정수기아이콘얼음 미니32M(2개월점검주기)</v>
      </c>
      <c r="B216" s="17" t="s">
        <v>862</v>
      </c>
      <c r="C216" s="18" t="s">
        <v>863</v>
      </c>
      <c r="D216" s="19" t="s">
        <v>864</v>
      </c>
      <c r="E216" s="19">
        <v>3</v>
      </c>
      <c r="F216" s="19" t="s">
        <v>1</v>
      </c>
      <c r="G216" s="20" t="s">
        <v>452</v>
      </c>
      <c r="H216" s="36">
        <v>57900</v>
      </c>
      <c r="I216" s="36">
        <v>52900</v>
      </c>
      <c r="J216" s="25">
        <v>287400</v>
      </c>
    </row>
    <row r="217" spans="1:10" ht="16" x14ac:dyDescent="0.45">
      <c r="A217" s="153" t="str">
        <f>B217&amp;C217&amp;E217&amp;G217</f>
        <v>정수기아이콘얼음 미니52M(2개월점검주기)</v>
      </c>
      <c r="B217" s="17" t="s">
        <v>862</v>
      </c>
      <c r="C217" s="18" t="s">
        <v>863</v>
      </c>
      <c r="D217" s="19" t="s">
        <v>864</v>
      </c>
      <c r="E217" s="19">
        <v>5</v>
      </c>
      <c r="F217" s="19" t="s">
        <v>0</v>
      </c>
      <c r="G217" s="20" t="s">
        <v>452</v>
      </c>
      <c r="H217" s="36">
        <v>54900</v>
      </c>
      <c r="I217" s="36">
        <v>49900</v>
      </c>
      <c r="J217" s="25">
        <v>287400</v>
      </c>
    </row>
    <row r="218" spans="1:10" ht="16" x14ac:dyDescent="0.45">
      <c r="A218" s="153" t="str">
        <f>B218&amp;C218&amp;E218&amp;G218</f>
        <v>정수기아이콘얼음 미니62M(2개월점검주기)</v>
      </c>
      <c r="B218" s="17" t="s">
        <v>862</v>
      </c>
      <c r="C218" s="18" t="s">
        <v>863</v>
      </c>
      <c r="D218" s="19" t="s">
        <v>864</v>
      </c>
      <c r="E218" s="19">
        <v>6</v>
      </c>
      <c r="F218" s="19" t="s">
        <v>0</v>
      </c>
      <c r="G218" s="20" t="s">
        <v>452</v>
      </c>
      <c r="H218" s="36">
        <v>52900</v>
      </c>
      <c r="I218" s="36">
        <v>47900</v>
      </c>
      <c r="J218" s="25">
        <v>359300</v>
      </c>
    </row>
    <row r="219" spans="1:10" ht="16" x14ac:dyDescent="0.45">
      <c r="A219" s="153" t="str">
        <f>B219&amp;C219&amp;E219&amp;G219</f>
        <v>정수기아이콘얼음 미니72M(2개월점검주기)</v>
      </c>
      <c r="B219" s="17" t="s">
        <v>862</v>
      </c>
      <c r="C219" s="18" t="s">
        <v>863</v>
      </c>
      <c r="D219" s="19" t="s">
        <v>864</v>
      </c>
      <c r="E219" s="19">
        <v>7</v>
      </c>
      <c r="F219" s="19" t="s">
        <v>0</v>
      </c>
      <c r="G219" s="20" t="s">
        <v>452</v>
      </c>
      <c r="H219" s="36">
        <v>50900</v>
      </c>
      <c r="I219" s="36">
        <v>45900</v>
      </c>
      <c r="J219" s="25">
        <v>359300</v>
      </c>
    </row>
    <row r="220" spans="1:10" ht="16" x14ac:dyDescent="0.45">
      <c r="A220" s="153" t="str">
        <f>B220&amp;C220&amp;E220&amp;G220</f>
        <v>정수기아이콘얼음 미니34M(4개월점검주기)</v>
      </c>
      <c r="B220" s="17" t="s">
        <v>862</v>
      </c>
      <c r="C220" s="18" t="s">
        <v>863</v>
      </c>
      <c r="D220" s="19" t="s">
        <v>864</v>
      </c>
      <c r="E220" s="19">
        <v>3</v>
      </c>
      <c r="F220" s="19" t="s">
        <v>1</v>
      </c>
      <c r="G220" s="20" t="s">
        <v>453</v>
      </c>
      <c r="H220" s="36">
        <v>54900</v>
      </c>
      <c r="I220" s="36">
        <v>49900</v>
      </c>
      <c r="J220" s="25">
        <v>287400</v>
      </c>
    </row>
    <row r="221" spans="1:10" ht="16" x14ac:dyDescent="0.45">
      <c r="A221" s="153" t="str">
        <f>B221&amp;C221&amp;E221&amp;G221</f>
        <v>정수기아이콘얼음 미니54M(4개월점검주기)</v>
      </c>
      <c r="B221" s="17" t="s">
        <v>862</v>
      </c>
      <c r="C221" s="18" t="s">
        <v>863</v>
      </c>
      <c r="D221" s="19" t="s">
        <v>864</v>
      </c>
      <c r="E221" s="19">
        <v>5</v>
      </c>
      <c r="F221" s="19" t="s">
        <v>0</v>
      </c>
      <c r="G221" s="20" t="s">
        <v>453</v>
      </c>
      <c r="H221" s="36">
        <v>51900</v>
      </c>
      <c r="I221" s="36">
        <v>46900</v>
      </c>
      <c r="J221" s="25">
        <v>287400</v>
      </c>
    </row>
    <row r="222" spans="1:10" ht="16" x14ac:dyDescent="0.45">
      <c r="A222" s="153" t="str">
        <f>B222&amp;C222&amp;E222&amp;G222</f>
        <v>정수기아이콘얼음 미니64M(4개월점검주기)</v>
      </c>
      <c r="B222" s="17" t="s">
        <v>862</v>
      </c>
      <c r="C222" s="18" t="s">
        <v>863</v>
      </c>
      <c r="D222" s="19" t="s">
        <v>864</v>
      </c>
      <c r="E222" s="19">
        <v>6</v>
      </c>
      <c r="F222" s="19" t="s">
        <v>0</v>
      </c>
      <c r="G222" s="20" t="s">
        <v>453</v>
      </c>
      <c r="H222" s="36">
        <v>49900</v>
      </c>
      <c r="I222" s="36">
        <v>44900</v>
      </c>
      <c r="J222" s="25">
        <v>359300</v>
      </c>
    </row>
    <row r="223" spans="1:10" ht="16" x14ac:dyDescent="0.45">
      <c r="A223" s="153" t="str">
        <f>B223&amp;C223&amp;E223&amp;G223</f>
        <v>정수기아이콘얼음 미니74M(4개월점검주기)</v>
      </c>
      <c r="B223" s="17" t="s">
        <v>862</v>
      </c>
      <c r="C223" s="18" t="s">
        <v>863</v>
      </c>
      <c r="D223" s="19" t="s">
        <v>864</v>
      </c>
      <c r="E223" s="19">
        <v>7</v>
      </c>
      <c r="F223" s="19" t="s">
        <v>0</v>
      </c>
      <c r="G223" s="20" t="s">
        <v>453</v>
      </c>
      <c r="H223" s="36">
        <v>47900</v>
      </c>
      <c r="I223" s="36">
        <v>42900</v>
      </c>
      <c r="J223" s="25">
        <v>359300</v>
      </c>
    </row>
    <row r="224" spans="1:10" ht="16" x14ac:dyDescent="0.45">
      <c r="A224" s="153" t="str">
        <f>B224&amp;C224&amp;E224&amp;G224</f>
        <v>정수기아이콘얼음 스탠다드32M(2개월점검주기)</v>
      </c>
      <c r="B224" s="17" t="s">
        <v>2</v>
      </c>
      <c r="C224" s="18" t="s">
        <v>697</v>
      </c>
      <c r="D224" s="19" t="s">
        <v>698</v>
      </c>
      <c r="E224" s="19">
        <v>3</v>
      </c>
      <c r="F224" s="19" t="s">
        <v>1</v>
      </c>
      <c r="G224" s="20" t="s">
        <v>452</v>
      </c>
      <c r="H224" s="36">
        <v>61900</v>
      </c>
      <c r="I224" s="36">
        <v>56900</v>
      </c>
      <c r="J224" s="25">
        <v>298700</v>
      </c>
    </row>
    <row r="225" spans="1:10" ht="16" x14ac:dyDescent="0.45">
      <c r="A225" s="153" t="str">
        <f>B225&amp;C225&amp;E225&amp;G225</f>
        <v>정수기아이콘얼음 스탠다드52M(2개월점검주기)</v>
      </c>
      <c r="B225" s="17" t="s">
        <v>2</v>
      </c>
      <c r="C225" s="18" t="s">
        <v>697</v>
      </c>
      <c r="D225" s="19" t="s">
        <v>698</v>
      </c>
      <c r="E225" s="19">
        <v>5</v>
      </c>
      <c r="F225" s="19" t="s">
        <v>0</v>
      </c>
      <c r="G225" s="20" t="s">
        <v>452</v>
      </c>
      <c r="H225" s="36">
        <v>57900</v>
      </c>
      <c r="I225" s="36">
        <v>52900</v>
      </c>
      <c r="J225" s="25">
        <v>298700</v>
      </c>
    </row>
    <row r="226" spans="1:10" ht="16" x14ac:dyDescent="0.45">
      <c r="A226" s="153" t="str">
        <f>B226&amp;C226&amp;E226&amp;G226</f>
        <v>정수기아이콘얼음 스탠다드62M(2개월점검주기)</v>
      </c>
      <c r="B226" s="17" t="s">
        <v>2</v>
      </c>
      <c r="C226" s="18" t="s">
        <v>697</v>
      </c>
      <c r="D226" s="19" t="s">
        <v>698</v>
      </c>
      <c r="E226" s="19">
        <v>6</v>
      </c>
      <c r="F226" s="19" t="s">
        <v>0</v>
      </c>
      <c r="G226" s="20" t="s">
        <v>452</v>
      </c>
      <c r="H226" s="36">
        <v>55900</v>
      </c>
      <c r="I226" s="36">
        <v>50900</v>
      </c>
      <c r="J226" s="25">
        <v>373400</v>
      </c>
    </row>
    <row r="227" spans="1:10" ht="16" x14ac:dyDescent="0.45">
      <c r="A227" s="153" t="str">
        <f>B227&amp;C227&amp;E227&amp;G227</f>
        <v>정수기아이콘얼음 스탠다드72M(2개월점검주기)</v>
      </c>
      <c r="B227" s="17" t="s">
        <v>2</v>
      </c>
      <c r="C227" s="18" t="s">
        <v>697</v>
      </c>
      <c r="D227" s="19" t="s">
        <v>698</v>
      </c>
      <c r="E227" s="19">
        <v>7</v>
      </c>
      <c r="F227" s="19" t="s">
        <v>0</v>
      </c>
      <c r="G227" s="20" t="s">
        <v>452</v>
      </c>
      <c r="H227" s="36">
        <v>53900</v>
      </c>
      <c r="I227" s="36">
        <v>48900</v>
      </c>
      <c r="J227" s="25">
        <v>373400</v>
      </c>
    </row>
    <row r="228" spans="1:10" ht="16" x14ac:dyDescent="0.45">
      <c r="A228" s="153" t="str">
        <f>B228&amp;C228&amp;E228&amp;G228</f>
        <v>정수기아이콘얼음 스탠다드34M(4개월점검주기)</v>
      </c>
      <c r="B228" s="17" t="s">
        <v>2</v>
      </c>
      <c r="C228" s="18" t="s">
        <v>697</v>
      </c>
      <c r="D228" s="19" t="s">
        <v>698</v>
      </c>
      <c r="E228" s="19">
        <v>3</v>
      </c>
      <c r="F228" s="19" t="s">
        <v>1</v>
      </c>
      <c r="G228" s="20" t="s">
        <v>453</v>
      </c>
      <c r="H228" s="36">
        <v>58900</v>
      </c>
      <c r="I228" s="36">
        <v>53900</v>
      </c>
      <c r="J228" s="25">
        <v>287400</v>
      </c>
    </row>
    <row r="229" spans="1:10" ht="16" x14ac:dyDescent="0.45">
      <c r="A229" s="153" t="str">
        <f>B229&amp;C229&amp;E229&amp;G229</f>
        <v>정수기아이콘얼음 스탠다드54M(4개월점검주기)</v>
      </c>
      <c r="B229" s="17" t="s">
        <v>2</v>
      </c>
      <c r="C229" s="18" t="s">
        <v>697</v>
      </c>
      <c r="D229" s="19" t="s">
        <v>698</v>
      </c>
      <c r="E229" s="19">
        <v>5</v>
      </c>
      <c r="F229" s="19" t="s">
        <v>0</v>
      </c>
      <c r="G229" s="20" t="s">
        <v>453</v>
      </c>
      <c r="H229" s="36">
        <v>54900</v>
      </c>
      <c r="I229" s="36">
        <v>49900</v>
      </c>
      <c r="J229" s="25">
        <v>287400</v>
      </c>
    </row>
    <row r="230" spans="1:10" ht="16" x14ac:dyDescent="0.45">
      <c r="A230" s="153" t="str">
        <f>B230&amp;C230&amp;E230&amp;G230</f>
        <v>정수기아이콘얼음 스탠다드64M(4개월점검주기)</v>
      </c>
      <c r="B230" s="17" t="s">
        <v>2</v>
      </c>
      <c r="C230" s="18" t="s">
        <v>697</v>
      </c>
      <c r="D230" s="19" t="s">
        <v>698</v>
      </c>
      <c r="E230" s="19">
        <v>6</v>
      </c>
      <c r="F230" s="19" t="s">
        <v>0</v>
      </c>
      <c r="G230" s="20" t="s">
        <v>453</v>
      </c>
      <c r="H230" s="36">
        <v>52900</v>
      </c>
      <c r="I230" s="36">
        <v>47900</v>
      </c>
      <c r="J230" s="25">
        <v>359300</v>
      </c>
    </row>
    <row r="231" spans="1:10" ht="16" x14ac:dyDescent="0.45">
      <c r="A231" s="153" t="str">
        <f>B231&amp;C231&amp;E231&amp;G231</f>
        <v>정수기아이콘얼음 스탠다드74M(4개월점검주기)</v>
      </c>
      <c r="B231" s="17" t="s">
        <v>2</v>
      </c>
      <c r="C231" s="18" t="s">
        <v>697</v>
      </c>
      <c r="D231" s="19" t="s">
        <v>698</v>
      </c>
      <c r="E231" s="19">
        <v>7</v>
      </c>
      <c r="F231" s="19" t="s">
        <v>0</v>
      </c>
      <c r="G231" s="20" t="s">
        <v>453</v>
      </c>
      <c r="H231" s="36">
        <v>50900</v>
      </c>
      <c r="I231" s="36">
        <v>45900</v>
      </c>
      <c r="J231" s="25">
        <v>359300</v>
      </c>
    </row>
    <row r="232" spans="1:10" ht="16" x14ac:dyDescent="0.45">
      <c r="A232" s="153" t="str">
        <f>B232&amp;C232&amp;E232&amp;G232</f>
        <v>정수기아이콘얼음 스탠다드32M(2개월점검주기)</v>
      </c>
      <c r="B232" s="17" t="s">
        <v>2</v>
      </c>
      <c r="C232" s="18" t="s">
        <v>697</v>
      </c>
      <c r="D232" s="19" t="s">
        <v>699</v>
      </c>
      <c r="E232" s="19">
        <v>3</v>
      </c>
      <c r="F232" s="19" t="s">
        <v>1</v>
      </c>
      <c r="G232" s="20" t="s">
        <v>452</v>
      </c>
      <c r="H232" s="36">
        <v>57900</v>
      </c>
      <c r="I232" s="36">
        <v>52900</v>
      </c>
      <c r="J232" s="25">
        <v>287400</v>
      </c>
    </row>
    <row r="233" spans="1:10" ht="16" x14ac:dyDescent="0.45">
      <c r="A233" s="153" t="str">
        <f>B233&amp;C233&amp;E233&amp;G233</f>
        <v>정수기아이콘얼음 스탠다드52M(2개월점검주기)</v>
      </c>
      <c r="B233" s="17" t="s">
        <v>2</v>
      </c>
      <c r="C233" s="18" t="s">
        <v>697</v>
      </c>
      <c r="D233" s="19" t="s">
        <v>699</v>
      </c>
      <c r="E233" s="19">
        <v>5</v>
      </c>
      <c r="F233" s="19" t="s">
        <v>0</v>
      </c>
      <c r="G233" s="20" t="s">
        <v>452</v>
      </c>
      <c r="H233" s="36">
        <v>53900</v>
      </c>
      <c r="I233" s="36">
        <v>48900</v>
      </c>
      <c r="J233" s="25">
        <v>287400</v>
      </c>
    </row>
    <row r="234" spans="1:10" ht="16" x14ac:dyDescent="0.45">
      <c r="A234" s="153" t="str">
        <f>B234&amp;C234&amp;E234&amp;G234</f>
        <v>정수기아이콘얼음 스탠다드62M(2개월점검주기)</v>
      </c>
      <c r="B234" s="17" t="s">
        <v>2</v>
      </c>
      <c r="C234" s="18" t="s">
        <v>697</v>
      </c>
      <c r="D234" s="19" t="s">
        <v>699</v>
      </c>
      <c r="E234" s="19">
        <v>6</v>
      </c>
      <c r="F234" s="19" t="s">
        <v>0</v>
      </c>
      <c r="G234" s="20" t="s">
        <v>452</v>
      </c>
      <c r="H234" s="36">
        <v>51900</v>
      </c>
      <c r="I234" s="36">
        <v>46900</v>
      </c>
      <c r="J234" s="25">
        <v>359300</v>
      </c>
    </row>
    <row r="235" spans="1:10" ht="16" x14ac:dyDescent="0.45">
      <c r="A235" s="153" t="str">
        <f>B235&amp;C235&amp;E235&amp;G235</f>
        <v>정수기아이콘얼음 스탠다드72M(2개월점검주기)</v>
      </c>
      <c r="B235" s="17" t="s">
        <v>2</v>
      </c>
      <c r="C235" s="18" t="s">
        <v>697</v>
      </c>
      <c r="D235" s="19" t="s">
        <v>699</v>
      </c>
      <c r="E235" s="19">
        <v>7</v>
      </c>
      <c r="F235" s="19" t="s">
        <v>0</v>
      </c>
      <c r="G235" s="20" t="s">
        <v>452</v>
      </c>
      <c r="H235" s="36">
        <v>49900</v>
      </c>
      <c r="I235" s="36">
        <v>44900</v>
      </c>
      <c r="J235" s="25">
        <v>359300</v>
      </c>
    </row>
    <row r="236" spans="1:10" ht="16" x14ac:dyDescent="0.45">
      <c r="A236" s="153" t="str">
        <f>B236&amp;C236&amp;E236&amp;G236</f>
        <v>정수기아이콘얼음 스탠다드34M(4개월점검주기)</v>
      </c>
      <c r="B236" s="17" t="s">
        <v>2</v>
      </c>
      <c r="C236" s="18" t="s">
        <v>697</v>
      </c>
      <c r="D236" s="19" t="s">
        <v>699</v>
      </c>
      <c r="E236" s="19">
        <v>3</v>
      </c>
      <c r="F236" s="19" t="s">
        <v>1</v>
      </c>
      <c r="G236" s="20" t="s">
        <v>453</v>
      </c>
      <c r="H236" s="36">
        <v>54900</v>
      </c>
      <c r="I236" s="36">
        <v>49900</v>
      </c>
      <c r="J236" s="25">
        <v>287400</v>
      </c>
    </row>
    <row r="237" spans="1:10" ht="16" x14ac:dyDescent="0.45">
      <c r="A237" s="153" t="str">
        <f>B237&amp;C237&amp;E237&amp;G237</f>
        <v>정수기아이콘얼음 스탠다드54M(4개월점검주기)</v>
      </c>
      <c r="B237" s="17" t="s">
        <v>2</v>
      </c>
      <c r="C237" s="18" t="s">
        <v>697</v>
      </c>
      <c r="D237" s="19" t="s">
        <v>699</v>
      </c>
      <c r="E237" s="19">
        <v>5</v>
      </c>
      <c r="F237" s="19" t="s">
        <v>0</v>
      </c>
      <c r="G237" s="20" t="s">
        <v>453</v>
      </c>
      <c r="H237" s="36">
        <v>50900</v>
      </c>
      <c r="I237" s="36">
        <v>45900</v>
      </c>
      <c r="J237" s="25">
        <v>287400</v>
      </c>
    </row>
    <row r="238" spans="1:10" ht="16" x14ac:dyDescent="0.45">
      <c r="A238" s="153" t="str">
        <f>B238&amp;C238&amp;E238&amp;G238</f>
        <v>정수기아이콘얼음 스탠다드64M(4개월점검주기)</v>
      </c>
      <c r="B238" s="17" t="s">
        <v>2</v>
      </c>
      <c r="C238" s="18" t="s">
        <v>697</v>
      </c>
      <c r="D238" s="19" t="s">
        <v>699</v>
      </c>
      <c r="E238" s="19">
        <v>6</v>
      </c>
      <c r="F238" s="19" t="s">
        <v>0</v>
      </c>
      <c r="G238" s="20" t="s">
        <v>453</v>
      </c>
      <c r="H238" s="36">
        <v>48900</v>
      </c>
      <c r="I238" s="36">
        <v>43900</v>
      </c>
      <c r="J238" s="25">
        <v>359300</v>
      </c>
    </row>
    <row r="239" spans="1:10" ht="16" x14ac:dyDescent="0.45">
      <c r="A239" s="153" t="str">
        <f>B239&amp;C239&amp;E239&amp;G239</f>
        <v>정수기아이콘얼음 스탠다드74M(4개월점검주기)</v>
      </c>
      <c r="B239" s="17" t="s">
        <v>2</v>
      </c>
      <c r="C239" s="18" t="s">
        <v>697</v>
      </c>
      <c r="D239" s="19" t="s">
        <v>699</v>
      </c>
      <c r="E239" s="19">
        <v>7</v>
      </c>
      <c r="F239" s="19" t="s">
        <v>0</v>
      </c>
      <c r="G239" s="20" t="s">
        <v>453</v>
      </c>
      <c r="H239" s="36">
        <v>46900</v>
      </c>
      <c r="I239" s="36">
        <v>41900</v>
      </c>
      <c r="J239" s="25">
        <v>359300</v>
      </c>
    </row>
    <row r="240" spans="1:10" ht="16" x14ac:dyDescent="0.45">
      <c r="A240" s="153" t="str">
        <f>B240&amp;C240&amp;E240&amp;G240</f>
        <v>정수기아이콘얼음정수기32M(2개월점검주기)</v>
      </c>
      <c r="B240" s="17" t="s">
        <v>2</v>
      </c>
      <c r="C240" s="18" t="s">
        <v>539</v>
      </c>
      <c r="D240" s="19" t="s">
        <v>623</v>
      </c>
      <c r="E240" s="19">
        <v>3</v>
      </c>
      <c r="F240" s="19" t="s">
        <v>1</v>
      </c>
      <c r="G240" s="20" t="s">
        <v>452</v>
      </c>
      <c r="H240" s="36">
        <v>59900</v>
      </c>
      <c r="I240" s="36">
        <v>54900</v>
      </c>
      <c r="J240" s="25">
        <v>298700</v>
      </c>
    </row>
    <row r="241" spans="1:10" ht="16" x14ac:dyDescent="0.45">
      <c r="A241" s="153" t="str">
        <f>B241&amp;C241&amp;E241&amp;G241</f>
        <v>정수기아이콘얼음정수기52M(2개월점검주기)</v>
      </c>
      <c r="B241" s="17" t="s">
        <v>2</v>
      </c>
      <c r="C241" s="18" t="s">
        <v>539</v>
      </c>
      <c r="D241" s="19" t="s">
        <v>623</v>
      </c>
      <c r="E241" s="19">
        <v>5</v>
      </c>
      <c r="F241" s="19" t="s">
        <v>0</v>
      </c>
      <c r="G241" s="20" t="s">
        <v>452</v>
      </c>
      <c r="H241" s="36">
        <v>56400</v>
      </c>
      <c r="I241" s="36">
        <v>51400</v>
      </c>
      <c r="J241" s="25">
        <v>298700</v>
      </c>
    </row>
    <row r="242" spans="1:10" ht="16" x14ac:dyDescent="0.45">
      <c r="A242" s="153" t="str">
        <f>B242&amp;C242&amp;E242&amp;G242</f>
        <v>정수기아이콘얼음정수기62M(2개월점검주기)</v>
      </c>
      <c r="B242" s="17" t="s">
        <v>2</v>
      </c>
      <c r="C242" s="18" t="s">
        <v>539</v>
      </c>
      <c r="D242" s="19" t="s">
        <v>623</v>
      </c>
      <c r="E242" s="19">
        <v>6</v>
      </c>
      <c r="F242" s="19" t="s">
        <v>0</v>
      </c>
      <c r="G242" s="20" t="s">
        <v>452</v>
      </c>
      <c r="H242" s="36">
        <v>54900</v>
      </c>
      <c r="I242" s="36">
        <v>49900</v>
      </c>
      <c r="J242" s="25">
        <v>373400</v>
      </c>
    </row>
    <row r="243" spans="1:10" ht="16" x14ac:dyDescent="0.45">
      <c r="A243" s="153" t="str">
        <f>B243&amp;C243&amp;E243&amp;G243</f>
        <v>정수기아이콘얼음정수기72M(2개월점검주기)</v>
      </c>
      <c r="B243" s="17" t="s">
        <v>2</v>
      </c>
      <c r="C243" s="18" t="s">
        <v>539</v>
      </c>
      <c r="D243" s="19" t="s">
        <v>623</v>
      </c>
      <c r="E243" s="19">
        <v>7</v>
      </c>
      <c r="F243" s="19" t="s">
        <v>0</v>
      </c>
      <c r="G243" s="20" t="s">
        <v>452</v>
      </c>
      <c r="H243" s="36">
        <v>53400</v>
      </c>
      <c r="I243" s="36">
        <v>48400</v>
      </c>
      <c r="J243" s="25">
        <v>373400</v>
      </c>
    </row>
    <row r="244" spans="1:10" ht="16" x14ac:dyDescent="0.45">
      <c r="A244" s="153" t="str">
        <f>B244&amp;C244&amp;E244&amp;G244</f>
        <v>정수기아이콘얼음정수기34M(4개월점검주기)</v>
      </c>
      <c r="B244" s="17" t="s">
        <v>2</v>
      </c>
      <c r="C244" s="18" t="s">
        <v>539</v>
      </c>
      <c r="D244" s="19" t="s">
        <v>623</v>
      </c>
      <c r="E244" s="19">
        <v>3</v>
      </c>
      <c r="F244" s="19" t="s">
        <v>1</v>
      </c>
      <c r="G244" s="20" t="s">
        <v>453</v>
      </c>
      <c r="H244" s="36">
        <v>56900</v>
      </c>
      <c r="I244" s="36">
        <v>51900</v>
      </c>
      <c r="J244" s="25">
        <v>287400</v>
      </c>
    </row>
    <row r="245" spans="1:10" ht="16" x14ac:dyDescent="0.45">
      <c r="A245" s="153" t="str">
        <f>B245&amp;C245&amp;E245&amp;G245</f>
        <v>정수기아이콘얼음정수기54M(4개월점검주기)</v>
      </c>
      <c r="B245" s="17" t="s">
        <v>2</v>
      </c>
      <c r="C245" s="18" t="s">
        <v>539</v>
      </c>
      <c r="D245" s="19" t="s">
        <v>623</v>
      </c>
      <c r="E245" s="19">
        <v>5</v>
      </c>
      <c r="F245" s="19" t="s">
        <v>0</v>
      </c>
      <c r="G245" s="20" t="s">
        <v>453</v>
      </c>
      <c r="H245" s="36">
        <v>53400</v>
      </c>
      <c r="I245" s="36">
        <v>48400</v>
      </c>
      <c r="J245" s="25">
        <v>287400</v>
      </c>
    </row>
    <row r="246" spans="1:10" ht="16" x14ac:dyDescent="0.45">
      <c r="A246" s="153" t="str">
        <f>B246&amp;C246&amp;E246&amp;G246</f>
        <v>정수기아이콘얼음정수기64M(4개월점검주기)</v>
      </c>
      <c r="B246" s="17" t="s">
        <v>2</v>
      </c>
      <c r="C246" s="18" t="s">
        <v>539</v>
      </c>
      <c r="D246" s="19" t="s">
        <v>623</v>
      </c>
      <c r="E246" s="19">
        <v>6</v>
      </c>
      <c r="F246" s="19" t="s">
        <v>0</v>
      </c>
      <c r="G246" s="20" t="s">
        <v>453</v>
      </c>
      <c r="H246" s="36">
        <v>51900</v>
      </c>
      <c r="I246" s="36">
        <v>46900</v>
      </c>
      <c r="J246" s="25">
        <v>359300</v>
      </c>
    </row>
    <row r="247" spans="1:10" ht="16" x14ac:dyDescent="0.45">
      <c r="A247" s="153" t="str">
        <f>B247&amp;C247&amp;E247&amp;G247</f>
        <v>정수기아이콘얼음정수기74M(4개월점검주기)</v>
      </c>
      <c r="B247" s="17" t="s">
        <v>2</v>
      </c>
      <c r="C247" s="18" t="s">
        <v>539</v>
      </c>
      <c r="D247" s="19" t="s">
        <v>623</v>
      </c>
      <c r="E247" s="19">
        <v>7</v>
      </c>
      <c r="F247" s="19" t="s">
        <v>0</v>
      </c>
      <c r="G247" s="20" t="s">
        <v>453</v>
      </c>
      <c r="H247" s="36">
        <v>50400</v>
      </c>
      <c r="I247" s="36">
        <v>45400</v>
      </c>
      <c r="J247" s="25">
        <v>359300</v>
      </c>
    </row>
    <row r="248" spans="1:10" ht="16" x14ac:dyDescent="0.45">
      <c r="A248" s="153" t="str">
        <f>B248&amp;C248&amp;E248&amp;G248</f>
        <v>정수기아이콘얼음정수기32M(2개월점검주기)</v>
      </c>
      <c r="B248" s="17" t="s">
        <v>2</v>
      </c>
      <c r="C248" s="18" t="s">
        <v>539</v>
      </c>
      <c r="D248" s="19" t="s">
        <v>624</v>
      </c>
      <c r="E248" s="19">
        <v>3</v>
      </c>
      <c r="F248" s="19" t="s">
        <v>1</v>
      </c>
      <c r="G248" s="20" t="s">
        <v>452</v>
      </c>
      <c r="H248" s="36">
        <v>56900</v>
      </c>
      <c r="I248" s="36">
        <v>50900</v>
      </c>
      <c r="J248" s="25">
        <v>287400</v>
      </c>
    </row>
    <row r="249" spans="1:10" ht="16" x14ac:dyDescent="0.45">
      <c r="A249" s="153" t="str">
        <f>B249&amp;C249&amp;E249&amp;G249</f>
        <v>정수기아이콘얼음정수기52M(2개월점검주기)</v>
      </c>
      <c r="B249" s="17" t="s">
        <v>2</v>
      </c>
      <c r="C249" s="18" t="s">
        <v>539</v>
      </c>
      <c r="D249" s="19" t="s">
        <v>624</v>
      </c>
      <c r="E249" s="19">
        <v>5</v>
      </c>
      <c r="F249" s="19" t="s">
        <v>0</v>
      </c>
      <c r="G249" s="20" t="s">
        <v>452</v>
      </c>
      <c r="H249" s="36">
        <v>52400</v>
      </c>
      <c r="I249" s="36">
        <v>47400</v>
      </c>
      <c r="J249" s="25">
        <v>287400</v>
      </c>
    </row>
    <row r="250" spans="1:10" ht="16" x14ac:dyDescent="0.45">
      <c r="A250" s="153" t="str">
        <f>B250&amp;C250&amp;E250&amp;G250</f>
        <v>정수기아이콘얼음정수기62M(2개월점검주기)</v>
      </c>
      <c r="B250" s="17" t="s">
        <v>2</v>
      </c>
      <c r="C250" s="18" t="s">
        <v>539</v>
      </c>
      <c r="D250" s="19" t="s">
        <v>624</v>
      </c>
      <c r="E250" s="19">
        <v>6</v>
      </c>
      <c r="F250" s="19" t="s">
        <v>0</v>
      </c>
      <c r="G250" s="20" t="s">
        <v>452</v>
      </c>
      <c r="H250" s="36">
        <v>50900</v>
      </c>
      <c r="I250" s="36">
        <v>45900</v>
      </c>
      <c r="J250" s="25">
        <v>359300</v>
      </c>
    </row>
    <row r="251" spans="1:10" ht="16" x14ac:dyDescent="0.45">
      <c r="A251" s="153" t="str">
        <f>B251&amp;C251&amp;E251&amp;G251</f>
        <v>정수기아이콘얼음정수기72M(2개월점검주기)</v>
      </c>
      <c r="B251" s="17" t="s">
        <v>2</v>
      </c>
      <c r="C251" s="18" t="s">
        <v>539</v>
      </c>
      <c r="D251" s="19" t="s">
        <v>624</v>
      </c>
      <c r="E251" s="19">
        <v>7</v>
      </c>
      <c r="F251" s="19" t="s">
        <v>0</v>
      </c>
      <c r="G251" s="20" t="s">
        <v>452</v>
      </c>
      <c r="H251" s="36">
        <v>49400</v>
      </c>
      <c r="I251" s="36">
        <v>44400</v>
      </c>
      <c r="J251" s="25">
        <v>359300</v>
      </c>
    </row>
    <row r="252" spans="1:10" ht="16" x14ac:dyDescent="0.45">
      <c r="A252" s="153" t="str">
        <f>B252&amp;C252&amp;E252&amp;G252</f>
        <v>정수기아이콘얼음정수기34M(4개월점검주기)</v>
      </c>
      <c r="B252" s="17" t="s">
        <v>2</v>
      </c>
      <c r="C252" s="18" t="s">
        <v>539</v>
      </c>
      <c r="D252" s="19" t="s">
        <v>624</v>
      </c>
      <c r="E252" s="19">
        <v>3</v>
      </c>
      <c r="F252" s="19" t="s">
        <v>1</v>
      </c>
      <c r="G252" s="20" t="s">
        <v>453</v>
      </c>
      <c r="H252" s="36">
        <v>53900</v>
      </c>
      <c r="I252" s="36">
        <v>47900</v>
      </c>
      <c r="J252" s="25">
        <v>276200</v>
      </c>
    </row>
    <row r="253" spans="1:10" ht="16" x14ac:dyDescent="0.45">
      <c r="A253" s="153" t="str">
        <f>B253&amp;C253&amp;E253&amp;G253</f>
        <v>정수기아이콘얼음정수기54M(4개월점검주기)</v>
      </c>
      <c r="B253" s="17" t="s">
        <v>2</v>
      </c>
      <c r="C253" s="18" t="s">
        <v>539</v>
      </c>
      <c r="D253" s="19" t="s">
        <v>624</v>
      </c>
      <c r="E253" s="19">
        <v>5</v>
      </c>
      <c r="F253" s="19" t="s">
        <v>0</v>
      </c>
      <c r="G253" s="20" t="s">
        <v>453</v>
      </c>
      <c r="H253" s="36">
        <v>49400</v>
      </c>
      <c r="I253" s="36">
        <v>44400</v>
      </c>
      <c r="J253" s="25">
        <v>276200</v>
      </c>
    </row>
    <row r="254" spans="1:10" ht="16" x14ac:dyDescent="0.45">
      <c r="A254" s="153" t="str">
        <f>B254&amp;C254&amp;E254&amp;G254</f>
        <v>정수기아이콘얼음정수기64M(4개월점검주기)</v>
      </c>
      <c r="B254" s="17" t="s">
        <v>2</v>
      </c>
      <c r="C254" s="18" t="s">
        <v>539</v>
      </c>
      <c r="D254" s="19" t="s">
        <v>624</v>
      </c>
      <c r="E254" s="19">
        <v>6</v>
      </c>
      <c r="F254" s="19" t="s">
        <v>0</v>
      </c>
      <c r="G254" s="20" t="s">
        <v>453</v>
      </c>
      <c r="H254" s="36">
        <v>47900</v>
      </c>
      <c r="I254" s="36">
        <v>42900</v>
      </c>
      <c r="J254" s="25">
        <v>345300</v>
      </c>
    </row>
    <row r="255" spans="1:10" ht="16" x14ac:dyDescent="0.45">
      <c r="A255" s="153" t="str">
        <f>B255&amp;C255&amp;E255&amp;G255</f>
        <v>정수기아이콘얼음정수기74M(4개월점검주기)</v>
      </c>
      <c r="B255" s="17" t="s">
        <v>2</v>
      </c>
      <c r="C255" s="18" t="s">
        <v>539</v>
      </c>
      <c r="D255" s="19" t="s">
        <v>624</v>
      </c>
      <c r="E255" s="19">
        <v>7</v>
      </c>
      <c r="F255" s="19" t="s">
        <v>0</v>
      </c>
      <c r="G255" s="20" t="s">
        <v>453</v>
      </c>
      <c r="H255" s="36">
        <v>46400</v>
      </c>
      <c r="I255" s="36">
        <v>41400</v>
      </c>
      <c r="J255" s="25">
        <v>345300</v>
      </c>
    </row>
    <row r="256" spans="1:10" ht="16" x14ac:dyDescent="0.45">
      <c r="A256" s="153" t="str">
        <f>B256&amp;C256&amp;E256&amp;G256</f>
        <v>정수기얼음정수기 RO32M(2개월점검주기)</v>
      </c>
      <c r="B256" s="17" t="s">
        <v>2</v>
      </c>
      <c r="C256" s="18" t="s">
        <v>540</v>
      </c>
      <c r="D256" s="19" t="s">
        <v>694</v>
      </c>
      <c r="E256" s="19">
        <v>3</v>
      </c>
      <c r="F256" s="19" t="s">
        <v>1</v>
      </c>
      <c r="G256" s="20" t="s">
        <v>452</v>
      </c>
      <c r="H256" s="36">
        <v>54400</v>
      </c>
      <c r="I256" s="36">
        <v>50400</v>
      </c>
      <c r="J256" s="25">
        <v>287400</v>
      </c>
    </row>
    <row r="257" spans="1:10" ht="16" x14ac:dyDescent="0.45">
      <c r="A257" s="153" t="str">
        <f>B257&amp;C257&amp;E257&amp;G257</f>
        <v>정수기얼음정수기 RO52M(2개월점검주기)</v>
      </c>
      <c r="B257" s="17" t="s">
        <v>2</v>
      </c>
      <c r="C257" s="18" t="s">
        <v>540</v>
      </c>
      <c r="D257" s="19" t="s">
        <v>694</v>
      </c>
      <c r="E257" s="19">
        <v>5</v>
      </c>
      <c r="F257" s="19" t="s">
        <v>0</v>
      </c>
      <c r="G257" s="20" t="s">
        <v>452</v>
      </c>
      <c r="H257" s="36">
        <v>51400</v>
      </c>
      <c r="I257" s="36">
        <v>47400</v>
      </c>
      <c r="J257" s="25">
        <v>287400</v>
      </c>
    </row>
    <row r="258" spans="1:10" ht="16" x14ac:dyDescent="0.45">
      <c r="A258" s="153" t="str">
        <f>B258&amp;C258&amp;E258&amp;G258</f>
        <v>정수기얼음정수기 RO62M(2개월점검주기)</v>
      </c>
      <c r="B258" s="17" t="s">
        <v>2</v>
      </c>
      <c r="C258" s="18" t="s">
        <v>540</v>
      </c>
      <c r="D258" s="19" t="s">
        <v>694</v>
      </c>
      <c r="E258" s="19">
        <v>6</v>
      </c>
      <c r="F258" s="19" t="s">
        <v>0</v>
      </c>
      <c r="G258" s="20" t="s">
        <v>452</v>
      </c>
      <c r="H258" s="36">
        <v>49400</v>
      </c>
      <c r="I258" s="36">
        <v>45400</v>
      </c>
      <c r="J258" s="25">
        <v>359300</v>
      </c>
    </row>
    <row r="259" spans="1:10" ht="16" x14ac:dyDescent="0.45">
      <c r="A259" s="153" t="str">
        <f>B259&amp;C259&amp;E259&amp;G259</f>
        <v>정수기얼음정수기 RO72M(2개월점검주기)</v>
      </c>
      <c r="B259" s="17" t="s">
        <v>2</v>
      </c>
      <c r="C259" s="18" t="s">
        <v>540</v>
      </c>
      <c r="D259" s="19" t="s">
        <v>694</v>
      </c>
      <c r="E259" s="19">
        <v>7</v>
      </c>
      <c r="F259" s="19" t="s">
        <v>0</v>
      </c>
      <c r="G259" s="20" t="s">
        <v>452</v>
      </c>
      <c r="H259" s="36">
        <v>47400</v>
      </c>
      <c r="I259" s="36">
        <v>43400</v>
      </c>
      <c r="J259" s="25">
        <v>359300</v>
      </c>
    </row>
    <row r="260" spans="1:10" ht="16" x14ac:dyDescent="0.45">
      <c r="A260" s="153" t="str">
        <f>B260&amp;C260&amp;E260&amp;G260</f>
        <v>정수기얼음정수기 RO34M(4개월점검주기)</v>
      </c>
      <c r="B260" s="17" t="s">
        <v>2</v>
      </c>
      <c r="C260" s="18" t="s">
        <v>540</v>
      </c>
      <c r="D260" s="19" t="s">
        <v>694</v>
      </c>
      <c r="E260" s="19">
        <v>3</v>
      </c>
      <c r="F260" s="19" t="s">
        <v>1</v>
      </c>
      <c r="G260" s="20" t="s">
        <v>453</v>
      </c>
      <c r="H260" s="36">
        <v>51400</v>
      </c>
      <c r="I260" s="36">
        <v>47400</v>
      </c>
      <c r="J260" s="25">
        <v>276200</v>
      </c>
    </row>
    <row r="261" spans="1:10" ht="16" x14ac:dyDescent="0.45">
      <c r="A261" s="153" t="str">
        <f>B261&amp;C261&amp;E261&amp;G261</f>
        <v>정수기얼음정수기 RO54M(4개월점검주기)</v>
      </c>
      <c r="B261" s="17" t="s">
        <v>2</v>
      </c>
      <c r="C261" s="18" t="s">
        <v>540</v>
      </c>
      <c r="D261" s="19" t="s">
        <v>694</v>
      </c>
      <c r="E261" s="19">
        <v>5</v>
      </c>
      <c r="F261" s="19" t="s">
        <v>0</v>
      </c>
      <c r="G261" s="20" t="s">
        <v>453</v>
      </c>
      <c r="H261" s="36">
        <v>48400</v>
      </c>
      <c r="I261" s="36">
        <v>44400</v>
      </c>
      <c r="J261" s="25">
        <v>276200</v>
      </c>
    </row>
    <row r="262" spans="1:10" ht="16" x14ac:dyDescent="0.45">
      <c r="A262" s="153" t="str">
        <f>B262&amp;C262&amp;E262&amp;G262</f>
        <v>정수기얼음정수기 RO64M(4개월점검주기)</v>
      </c>
      <c r="B262" s="17" t="s">
        <v>2</v>
      </c>
      <c r="C262" s="18" t="s">
        <v>540</v>
      </c>
      <c r="D262" s="19" t="s">
        <v>694</v>
      </c>
      <c r="E262" s="19">
        <v>6</v>
      </c>
      <c r="F262" s="19" t="s">
        <v>0</v>
      </c>
      <c r="G262" s="20" t="s">
        <v>453</v>
      </c>
      <c r="H262" s="36">
        <v>46400</v>
      </c>
      <c r="I262" s="36">
        <v>42400</v>
      </c>
      <c r="J262" s="25">
        <v>345300</v>
      </c>
    </row>
    <row r="263" spans="1:10" ht="16" x14ac:dyDescent="0.45">
      <c r="A263" s="153" t="str">
        <f>B263&amp;C263&amp;E263&amp;G263</f>
        <v>정수기얼음정수기 RO74M(4개월점검주기)</v>
      </c>
      <c r="B263" s="17" t="s">
        <v>2</v>
      </c>
      <c r="C263" s="18" t="s">
        <v>540</v>
      </c>
      <c r="D263" s="19" t="s">
        <v>694</v>
      </c>
      <c r="E263" s="19">
        <v>7</v>
      </c>
      <c r="F263" s="19" t="s">
        <v>0</v>
      </c>
      <c r="G263" s="20" t="s">
        <v>453</v>
      </c>
      <c r="H263" s="36">
        <v>44400</v>
      </c>
      <c r="I263" s="36">
        <v>40400</v>
      </c>
      <c r="J263" s="25">
        <v>345300</v>
      </c>
    </row>
    <row r="264" spans="1:10" ht="16" x14ac:dyDescent="0.45">
      <c r="A264" s="153" t="str">
        <f>B264&amp;C264&amp;E264&amp;G264</f>
        <v>정수기엘리트 빌트인36M(6개월점검주기)</v>
      </c>
      <c r="B264" s="17" t="s">
        <v>2</v>
      </c>
      <c r="C264" s="18" t="s">
        <v>541</v>
      </c>
      <c r="D264" s="19" t="s">
        <v>689</v>
      </c>
      <c r="E264" s="19">
        <v>3</v>
      </c>
      <c r="F264" s="19" t="s">
        <v>1</v>
      </c>
      <c r="G264" s="20" t="s">
        <v>454</v>
      </c>
      <c r="H264" s="36">
        <v>44900</v>
      </c>
      <c r="I264" s="36">
        <v>40900</v>
      </c>
      <c r="J264" s="25">
        <v>264900</v>
      </c>
    </row>
    <row r="265" spans="1:10" ht="16" x14ac:dyDescent="0.45">
      <c r="A265" s="153" t="str">
        <f>B265&amp;C265&amp;E265&amp;G265</f>
        <v>정수기엘리트 빌트인56M(6개월점검주기)</v>
      </c>
      <c r="B265" s="17" t="s">
        <v>2</v>
      </c>
      <c r="C265" s="18" t="s">
        <v>541</v>
      </c>
      <c r="D265" s="19" t="s">
        <v>689</v>
      </c>
      <c r="E265" s="19">
        <v>5</v>
      </c>
      <c r="F265" s="19" t="s">
        <v>0</v>
      </c>
      <c r="G265" s="20" t="s">
        <v>454</v>
      </c>
      <c r="H265" s="36">
        <v>41900</v>
      </c>
      <c r="I265" s="36">
        <v>37900</v>
      </c>
      <c r="J265" s="25">
        <v>264900</v>
      </c>
    </row>
    <row r="266" spans="1:10" ht="16" x14ac:dyDescent="0.45">
      <c r="A266" s="153" t="str">
        <f>B266&amp;C266&amp;E266&amp;G266</f>
        <v>정수기엘리트 빌트인66M(6개월점검주기)</v>
      </c>
      <c r="B266" s="17" t="s">
        <v>2</v>
      </c>
      <c r="C266" s="18" t="s">
        <v>541</v>
      </c>
      <c r="D266" s="19" t="s">
        <v>689</v>
      </c>
      <c r="E266" s="19">
        <v>6</v>
      </c>
      <c r="F266" s="19" t="s">
        <v>0</v>
      </c>
      <c r="G266" s="20" t="s">
        <v>454</v>
      </c>
      <c r="H266" s="36">
        <v>39900</v>
      </c>
      <c r="I266" s="36">
        <v>35900</v>
      </c>
      <c r="J266" s="25">
        <v>331100</v>
      </c>
    </row>
    <row r="267" spans="1:10" ht="16" x14ac:dyDescent="0.45">
      <c r="A267" s="153" t="str">
        <f>B267&amp;C267&amp;E267&amp;G267</f>
        <v>정수기엘리트 빌트인76M(6개월점검주기)</v>
      </c>
      <c r="B267" s="17" t="s">
        <v>2</v>
      </c>
      <c r="C267" s="18" t="s">
        <v>541</v>
      </c>
      <c r="D267" s="19" t="s">
        <v>689</v>
      </c>
      <c r="E267" s="19">
        <v>7</v>
      </c>
      <c r="F267" s="19" t="s">
        <v>0</v>
      </c>
      <c r="G267" s="20" t="s">
        <v>454</v>
      </c>
      <c r="H267" s="36">
        <v>37900</v>
      </c>
      <c r="I267" s="36">
        <v>33900</v>
      </c>
      <c r="J267" s="25">
        <v>331100</v>
      </c>
    </row>
    <row r="268" spans="1:10" ht="16" x14ac:dyDescent="0.45">
      <c r="A268" s="153" t="str">
        <f>B268&amp;C268&amp;E268&amp;G268</f>
        <v>정수기엘리트 빌트인3자가관리</v>
      </c>
      <c r="B268" s="17" t="s">
        <v>2</v>
      </c>
      <c r="C268" s="18" t="s">
        <v>541</v>
      </c>
      <c r="D268" s="19" t="s">
        <v>689</v>
      </c>
      <c r="E268" s="19">
        <v>3</v>
      </c>
      <c r="F268" s="19" t="s">
        <v>1</v>
      </c>
      <c r="G268" s="20" t="s">
        <v>3</v>
      </c>
      <c r="H268" s="36">
        <v>41900</v>
      </c>
      <c r="I268" s="36">
        <v>37900</v>
      </c>
      <c r="J268" s="25">
        <v>253700</v>
      </c>
    </row>
    <row r="269" spans="1:10" ht="16" x14ac:dyDescent="0.45">
      <c r="A269" s="153" t="str">
        <f>B269&amp;C269&amp;E269&amp;G269</f>
        <v>정수기엘리트 빌트인5자가관리</v>
      </c>
      <c r="B269" s="17" t="s">
        <v>2</v>
      </c>
      <c r="C269" s="18" t="s">
        <v>541</v>
      </c>
      <c r="D269" s="19" t="s">
        <v>689</v>
      </c>
      <c r="E269" s="19">
        <v>5</v>
      </c>
      <c r="F269" s="19" t="s">
        <v>0</v>
      </c>
      <c r="G269" s="20" t="s">
        <v>3</v>
      </c>
      <c r="H269" s="36">
        <v>38900</v>
      </c>
      <c r="I269" s="36">
        <v>34900</v>
      </c>
      <c r="J269" s="25">
        <v>253700</v>
      </c>
    </row>
    <row r="270" spans="1:10" ht="16" x14ac:dyDescent="0.45">
      <c r="A270" s="153" t="str">
        <f>B270&amp;C270&amp;E270&amp;G270</f>
        <v>정수기엘리트 빌트인6자가관리</v>
      </c>
      <c r="B270" s="17" t="s">
        <v>2</v>
      </c>
      <c r="C270" s="18" t="s">
        <v>541</v>
      </c>
      <c r="D270" s="19" t="s">
        <v>689</v>
      </c>
      <c r="E270" s="19">
        <v>6</v>
      </c>
      <c r="F270" s="19" t="s">
        <v>0</v>
      </c>
      <c r="G270" s="20" t="s">
        <v>3</v>
      </c>
      <c r="H270" s="36">
        <v>36900</v>
      </c>
      <c r="I270" s="36">
        <v>32900</v>
      </c>
      <c r="J270" s="25">
        <v>317100</v>
      </c>
    </row>
    <row r="271" spans="1:10" ht="16" x14ac:dyDescent="0.45">
      <c r="A271" s="153" t="str">
        <f>B271&amp;C271&amp;E271&amp;G271</f>
        <v>정수기엘리트 빌트인7자가관리</v>
      </c>
      <c r="B271" s="17" t="s">
        <v>2</v>
      </c>
      <c r="C271" s="18" t="s">
        <v>541</v>
      </c>
      <c r="D271" s="19" t="s">
        <v>689</v>
      </c>
      <c r="E271" s="19">
        <v>7</v>
      </c>
      <c r="F271" s="19" t="s">
        <v>0</v>
      </c>
      <c r="G271" s="20" t="s">
        <v>3</v>
      </c>
      <c r="H271" s="36">
        <v>34900</v>
      </c>
      <c r="I271" s="36">
        <v>30900</v>
      </c>
      <c r="J271" s="25">
        <v>317100</v>
      </c>
    </row>
    <row r="272" spans="1:10" ht="16" x14ac:dyDescent="0.45">
      <c r="A272" s="153" t="str">
        <f>B272&amp;C272&amp;E272&amp;G272</f>
        <v>정수기엘리트 빌트인36M(6개월점검주기)</v>
      </c>
      <c r="B272" s="17" t="s">
        <v>2</v>
      </c>
      <c r="C272" s="18" t="s">
        <v>541</v>
      </c>
      <c r="D272" s="19" t="s">
        <v>690</v>
      </c>
      <c r="E272" s="19">
        <v>3</v>
      </c>
      <c r="F272" s="19" t="s">
        <v>1</v>
      </c>
      <c r="G272" s="20" t="s">
        <v>454</v>
      </c>
      <c r="H272" s="36">
        <v>44900</v>
      </c>
      <c r="I272" s="36">
        <v>40900</v>
      </c>
      <c r="J272" s="25">
        <v>264900</v>
      </c>
    </row>
    <row r="273" spans="1:10" ht="16" x14ac:dyDescent="0.45">
      <c r="A273" s="153" t="str">
        <f>B273&amp;C273&amp;E273&amp;G273</f>
        <v>정수기엘리트 빌트인56M(6개월점검주기)</v>
      </c>
      <c r="B273" s="17" t="s">
        <v>2</v>
      </c>
      <c r="C273" s="18" t="s">
        <v>541</v>
      </c>
      <c r="D273" s="19" t="s">
        <v>690</v>
      </c>
      <c r="E273" s="19">
        <v>5</v>
      </c>
      <c r="F273" s="19" t="s">
        <v>0</v>
      </c>
      <c r="G273" s="20" t="s">
        <v>454</v>
      </c>
      <c r="H273" s="36">
        <v>41900</v>
      </c>
      <c r="I273" s="36">
        <v>37900</v>
      </c>
      <c r="J273" s="25">
        <v>264900</v>
      </c>
    </row>
    <row r="274" spans="1:10" ht="16" x14ac:dyDescent="0.45">
      <c r="A274" s="153" t="str">
        <f>B274&amp;C274&amp;E274&amp;G274</f>
        <v>정수기엘리트 빌트인66M(6개월점검주기)</v>
      </c>
      <c r="B274" s="17" t="s">
        <v>2</v>
      </c>
      <c r="C274" s="18" t="s">
        <v>541</v>
      </c>
      <c r="D274" s="19" t="s">
        <v>690</v>
      </c>
      <c r="E274" s="19">
        <v>6</v>
      </c>
      <c r="F274" s="19" t="s">
        <v>0</v>
      </c>
      <c r="G274" s="20" t="s">
        <v>454</v>
      </c>
      <c r="H274" s="36">
        <v>39900</v>
      </c>
      <c r="I274" s="36">
        <v>35900</v>
      </c>
      <c r="J274" s="25">
        <v>331100</v>
      </c>
    </row>
    <row r="275" spans="1:10" ht="16" x14ac:dyDescent="0.45">
      <c r="A275" s="153" t="str">
        <f>B275&amp;C275&amp;E275&amp;G275</f>
        <v>정수기엘리트 빌트인76M(6개월점검주기)</v>
      </c>
      <c r="B275" s="17" t="s">
        <v>2</v>
      </c>
      <c r="C275" s="18" t="s">
        <v>541</v>
      </c>
      <c r="D275" s="19" t="s">
        <v>690</v>
      </c>
      <c r="E275" s="19">
        <v>7</v>
      </c>
      <c r="F275" s="19" t="s">
        <v>0</v>
      </c>
      <c r="G275" s="20" t="s">
        <v>454</v>
      </c>
      <c r="H275" s="36">
        <v>37900</v>
      </c>
      <c r="I275" s="36">
        <v>33900</v>
      </c>
      <c r="J275" s="25">
        <v>331100</v>
      </c>
    </row>
    <row r="276" spans="1:10" ht="16" x14ac:dyDescent="0.45">
      <c r="A276" s="153" t="str">
        <f>B276&amp;C276&amp;E276&amp;G276</f>
        <v>정수기엘리트 빌트인3자가관리</v>
      </c>
      <c r="B276" s="17" t="s">
        <v>2</v>
      </c>
      <c r="C276" s="18" t="s">
        <v>541</v>
      </c>
      <c r="D276" s="19" t="s">
        <v>690</v>
      </c>
      <c r="E276" s="19">
        <v>3</v>
      </c>
      <c r="F276" s="19" t="s">
        <v>1</v>
      </c>
      <c r="G276" s="20" t="s">
        <v>3</v>
      </c>
      <c r="H276" s="36">
        <v>41900</v>
      </c>
      <c r="I276" s="36">
        <v>37900</v>
      </c>
      <c r="J276" s="25">
        <v>253700</v>
      </c>
    </row>
    <row r="277" spans="1:10" ht="16" x14ac:dyDescent="0.45">
      <c r="A277" s="153" t="str">
        <f>B277&amp;C277&amp;E277&amp;G277</f>
        <v>정수기엘리트 빌트인5자가관리</v>
      </c>
      <c r="B277" s="17" t="s">
        <v>2</v>
      </c>
      <c r="C277" s="18" t="s">
        <v>541</v>
      </c>
      <c r="D277" s="19" t="s">
        <v>690</v>
      </c>
      <c r="E277" s="19">
        <v>5</v>
      </c>
      <c r="F277" s="19" t="s">
        <v>0</v>
      </c>
      <c r="G277" s="20" t="s">
        <v>3</v>
      </c>
      <c r="H277" s="36">
        <v>38900</v>
      </c>
      <c r="I277" s="36">
        <v>34900</v>
      </c>
      <c r="J277" s="25">
        <v>253700</v>
      </c>
    </row>
    <row r="278" spans="1:10" ht="16" x14ac:dyDescent="0.45">
      <c r="A278" s="153" t="str">
        <f>B278&amp;C278&amp;E278&amp;G278</f>
        <v>정수기엘리트 빌트인6자가관리</v>
      </c>
      <c r="B278" s="17" t="s">
        <v>2</v>
      </c>
      <c r="C278" s="18" t="s">
        <v>541</v>
      </c>
      <c r="D278" s="19" t="s">
        <v>690</v>
      </c>
      <c r="E278" s="19">
        <v>6</v>
      </c>
      <c r="F278" s="19" t="s">
        <v>0</v>
      </c>
      <c r="G278" s="20" t="s">
        <v>3</v>
      </c>
      <c r="H278" s="36">
        <v>36900</v>
      </c>
      <c r="I278" s="36">
        <v>32900</v>
      </c>
      <c r="J278" s="25">
        <v>317100</v>
      </c>
    </row>
    <row r="279" spans="1:10" ht="16" x14ac:dyDescent="0.45">
      <c r="A279" s="153" t="str">
        <f>B279&amp;C279&amp;E279&amp;G279</f>
        <v>정수기엘리트 빌트인7자가관리</v>
      </c>
      <c r="B279" s="17" t="s">
        <v>2</v>
      </c>
      <c r="C279" s="18" t="s">
        <v>541</v>
      </c>
      <c r="D279" s="19" t="s">
        <v>690</v>
      </c>
      <c r="E279" s="19">
        <v>7</v>
      </c>
      <c r="F279" s="19" t="s">
        <v>0</v>
      </c>
      <c r="G279" s="20" t="s">
        <v>3</v>
      </c>
      <c r="H279" s="36">
        <v>34900</v>
      </c>
      <c r="I279" s="36">
        <v>30900</v>
      </c>
      <c r="J279" s="25">
        <v>317100</v>
      </c>
    </row>
    <row r="280" spans="1:10" ht="16" x14ac:dyDescent="0.45">
      <c r="A280" s="153" t="str">
        <f>B280&amp;C280&amp;E280&amp;G280</f>
        <v>정수기엘리트 정수기32M(2개월점검주기)</v>
      </c>
      <c r="B280" s="17" t="s">
        <v>2</v>
      </c>
      <c r="C280" s="18" t="s">
        <v>542</v>
      </c>
      <c r="D280" s="19" t="s">
        <v>83</v>
      </c>
      <c r="E280" s="19">
        <v>3</v>
      </c>
      <c r="F280" s="19" t="s">
        <v>1</v>
      </c>
      <c r="G280" s="20" t="s">
        <v>452</v>
      </c>
      <c r="H280" s="36">
        <v>37900</v>
      </c>
      <c r="I280" s="36">
        <v>33900</v>
      </c>
      <c r="J280" s="25">
        <v>242500</v>
      </c>
    </row>
    <row r="281" spans="1:10" ht="16" x14ac:dyDescent="0.45">
      <c r="A281" s="153" t="str">
        <f>B281&amp;C281&amp;E281&amp;G281</f>
        <v>정수기엘리트 정수기52M(2개월점검주기)</v>
      </c>
      <c r="B281" s="17" t="s">
        <v>2</v>
      </c>
      <c r="C281" s="18" t="s">
        <v>542</v>
      </c>
      <c r="D281" s="19" t="s">
        <v>83</v>
      </c>
      <c r="E281" s="19">
        <v>5</v>
      </c>
      <c r="F281" s="19" t="s">
        <v>0</v>
      </c>
      <c r="G281" s="20" t="s">
        <v>452</v>
      </c>
      <c r="H281" s="36">
        <v>36900</v>
      </c>
      <c r="I281" s="36">
        <v>32900</v>
      </c>
      <c r="J281" s="25">
        <v>242500</v>
      </c>
    </row>
    <row r="282" spans="1:10" ht="16" x14ac:dyDescent="0.45">
      <c r="A282" s="153" t="str">
        <f>B282&amp;C282&amp;E282&amp;G282</f>
        <v>정수기엘리트 정수기62M(2개월점검주기)</v>
      </c>
      <c r="B282" s="17" t="s">
        <v>2</v>
      </c>
      <c r="C282" s="18" t="s">
        <v>542</v>
      </c>
      <c r="D282" s="19" t="s">
        <v>83</v>
      </c>
      <c r="E282" s="19">
        <v>6</v>
      </c>
      <c r="F282" s="19" t="s">
        <v>0</v>
      </c>
      <c r="G282" s="20" t="s">
        <v>452</v>
      </c>
      <c r="H282" s="36">
        <v>35900</v>
      </c>
      <c r="I282" s="36">
        <v>31900</v>
      </c>
      <c r="J282" s="25">
        <v>303100</v>
      </c>
    </row>
    <row r="283" spans="1:10" ht="16" x14ac:dyDescent="0.45">
      <c r="A283" s="153" t="str">
        <f>B283&amp;C283&amp;E283&amp;G283</f>
        <v>정수기엘리트 정수기72M(2개월점검주기)</v>
      </c>
      <c r="B283" s="17" t="s">
        <v>2</v>
      </c>
      <c r="C283" s="18" t="s">
        <v>542</v>
      </c>
      <c r="D283" s="19" t="s">
        <v>83</v>
      </c>
      <c r="E283" s="19">
        <v>7</v>
      </c>
      <c r="F283" s="19" t="s">
        <v>0</v>
      </c>
      <c r="G283" s="20" t="s">
        <v>452</v>
      </c>
      <c r="H283" s="36">
        <v>34900</v>
      </c>
      <c r="I283" s="36">
        <v>30900</v>
      </c>
      <c r="J283" s="25">
        <v>303100</v>
      </c>
    </row>
    <row r="284" spans="1:10" ht="16" x14ac:dyDescent="0.45">
      <c r="A284" s="153" t="str">
        <f>B284&amp;C284&amp;E284&amp;G284</f>
        <v>정수기엘리트 정수기32M(2개월점검주기)</v>
      </c>
      <c r="B284" s="17" t="s">
        <v>2</v>
      </c>
      <c r="C284" s="18" t="s">
        <v>542</v>
      </c>
      <c r="D284" s="19" t="s">
        <v>45</v>
      </c>
      <c r="E284" s="19">
        <v>3</v>
      </c>
      <c r="F284" s="19" t="s">
        <v>1</v>
      </c>
      <c r="G284" s="20" t="s">
        <v>452</v>
      </c>
      <c r="H284" s="36">
        <v>34900</v>
      </c>
      <c r="I284" s="36">
        <v>31900</v>
      </c>
      <c r="J284" s="25">
        <v>242500</v>
      </c>
    </row>
    <row r="285" spans="1:10" ht="16" x14ac:dyDescent="0.45">
      <c r="A285" s="153" t="str">
        <f>B285&amp;C285&amp;E285&amp;G285</f>
        <v>정수기엘리트 정수기52M(2개월점검주기)</v>
      </c>
      <c r="B285" s="17" t="s">
        <v>2</v>
      </c>
      <c r="C285" s="18" t="s">
        <v>542</v>
      </c>
      <c r="D285" s="19" t="s">
        <v>45</v>
      </c>
      <c r="E285" s="19">
        <v>5</v>
      </c>
      <c r="F285" s="19" t="s">
        <v>0</v>
      </c>
      <c r="G285" s="20" t="s">
        <v>452</v>
      </c>
      <c r="H285" s="36">
        <v>33900</v>
      </c>
      <c r="I285" s="36">
        <v>30900</v>
      </c>
      <c r="J285" s="25">
        <v>242500</v>
      </c>
    </row>
    <row r="286" spans="1:10" ht="16" x14ac:dyDescent="0.45">
      <c r="A286" s="153" t="str">
        <f>B286&amp;C286&amp;E286&amp;G286</f>
        <v>정수기엘리트 정수기62M(2개월점검주기)</v>
      </c>
      <c r="B286" s="17" t="s">
        <v>2</v>
      </c>
      <c r="C286" s="18" t="s">
        <v>542</v>
      </c>
      <c r="D286" s="19" t="s">
        <v>45</v>
      </c>
      <c r="E286" s="19">
        <v>6</v>
      </c>
      <c r="F286" s="19" t="s">
        <v>0</v>
      </c>
      <c r="G286" s="20" t="s">
        <v>452</v>
      </c>
      <c r="H286" s="36">
        <v>32900</v>
      </c>
      <c r="I286" s="36">
        <v>29900</v>
      </c>
      <c r="J286" s="25">
        <v>303100</v>
      </c>
    </row>
    <row r="287" spans="1:10" ht="16" x14ac:dyDescent="0.45">
      <c r="A287" s="153" t="str">
        <f>B287&amp;C287&amp;E287&amp;G287</f>
        <v>정수기엘리트 정수기72M(2개월점검주기)</v>
      </c>
      <c r="B287" s="17" t="s">
        <v>2</v>
      </c>
      <c r="C287" s="18" t="s">
        <v>542</v>
      </c>
      <c r="D287" s="19" t="s">
        <v>45</v>
      </c>
      <c r="E287" s="19">
        <v>7</v>
      </c>
      <c r="F287" s="19" t="s">
        <v>0</v>
      </c>
      <c r="G287" s="20" t="s">
        <v>452</v>
      </c>
      <c r="H287" s="36">
        <v>31900</v>
      </c>
      <c r="I287" s="36">
        <v>28900</v>
      </c>
      <c r="J287" s="25">
        <v>303100</v>
      </c>
    </row>
    <row r="288" spans="1:10" ht="16" x14ac:dyDescent="0.45">
      <c r="A288" s="153" t="str">
        <f>B288&amp;C288&amp;E288&amp;G288</f>
        <v>정수기워터스탠드232M(2개월점검주기)</v>
      </c>
      <c r="B288" s="17" t="s">
        <v>2</v>
      </c>
      <c r="C288" s="18" t="s">
        <v>543</v>
      </c>
      <c r="D288" s="19" t="s">
        <v>84</v>
      </c>
      <c r="E288" s="19">
        <v>3</v>
      </c>
      <c r="F288" s="19" t="s">
        <v>1</v>
      </c>
      <c r="G288" s="20" t="s">
        <v>452</v>
      </c>
      <c r="H288" s="36">
        <v>46500</v>
      </c>
      <c r="I288" s="36">
        <v>32900</v>
      </c>
      <c r="J288" s="25">
        <v>242500</v>
      </c>
    </row>
    <row r="289" spans="1:10" ht="16" x14ac:dyDescent="0.45">
      <c r="A289" s="153" t="str">
        <f>B289&amp;C289&amp;E289&amp;G289</f>
        <v>정수기워터스탠드252M(2개월점검주기)</v>
      </c>
      <c r="B289" s="17" t="s">
        <v>2</v>
      </c>
      <c r="C289" s="18" t="s">
        <v>543</v>
      </c>
      <c r="D289" s="19" t="s">
        <v>84</v>
      </c>
      <c r="E289" s="19">
        <v>5</v>
      </c>
      <c r="F289" s="19" t="s">
        <v>0</v>
      </c>
      <c r="G289" s="20" t="s">
        <v>452</v>
      </c>
      <c r="H289" s="36">
        <v>44000</v>
      </c>
      <c r="I289" s="36">
        <v>30400</v>
      </c>
      <c r="J289" s="25">
        <v>242500</v>
      </c>
    </row>
    <row r="290" spans="1:10" ht="16" x14ac:dyDescent="0.45">
      <c r="A290" s="153" t="str">
        <f>B290&amp;C290&amp;E290&amp;G290</f>
        <v>정수기워터스탠드262M(2개월점검주기)</v>
      </c>
      <c r="B290" s="17" t="s">
        <v>2</v>
      </c>
      <c r="C290" s="18" t="s">
        <v>543</v>
      </c>
      <c r="D290" s="19" t="s">
        <v>84</v>
      </c>
      <c r="E290" s="19">
        <v>6</v>
      </c>
      <c r="F290" s="19" t="s">
        <v>0</v>
      </c>
      <c r="G290" s="20" t="s">
        <v>452</v>
      </c>
      <c r="H290" s="36">
        <v>41500</v>
      </c>
      <c r="I290" s="36">
        <v>27900</v>
      </c>
      <c r="J290" s="25">
        <v>303100</v>
      </c>
    </row>
    <row r="291" spans="1:10" ht="16" x14ac:dyDescent="0.45">
      <c r="A291" s="153" t="str">
        <f>B291&amp;C291&amp;E291&amp;G291</f>
        <v>정수기워터스탠드234M(4개월점검주기)</v>
      </c>
      <c r="B291" s="17" t="s">
        <v>2</v>
      </c>
      <c r="C291" s="18" t="s">
        <v>543</v>
      </c>
      <c r="D291" s="19" t="s">
        <v>84</v>
      </c>
      <c r="E291" s="19">
        <v>3</v>
      </c>
      <c r="F291" s="19" t="s">
        <v>1</v>
      </c>
      <c r="G291" s="20" t="s">
        <v>453</v>
      </c>
      <c r="H291" s="36">
        <v>44500</v>
      </c>
      <c r="I291" s="36">
        <v>30900</v>
      </c>
      <c r="J291" s="25">
        <v>231200</v>
      </c>
    </row>
    <row r="292" spans="1:10" ht="16" x14ac:dyDescent="0.45">
      <c r="A292" s="153" t="str">
        <f>B292&amp;C292&amp;E292&amp;G292</f>
        <v>정수기워터스탠드254M(4개월점검주기)</v>
      </c>
      <c r="B292" s="17" t="s">
        <v>2</v>
      </c>
      <c r="C292" s="18" t="s">
        <v>543</v>
      </c>
      <c r="D292" s="19" t="s">
        <v>84</v>
      </c>
      <c r="E292" s="19">
        <v>5</v>
      </c>
      <c r="F292" s="19" t="s">
        <v>0</v>
      </c>
      <c r="G292" s="20" t="s">
        <v>453</v>
      </c>
      <c r="H292" s="36">
        <v>42000</v>
      </c>
      <c r="I292" s="36">
        <v>28400</v>
      </c>
      <c r="J292" s="25">
        <v>231200</v>
      </c>
    </row>
    <row r="293" spans="1:10" ht="16" x14ac:dyDescent="0.45">
      <c r="A293" s="153" t="str">
        <f>B293&amp;C293&amp;E293&amp;G293</f>
        <v>정수기워터스탠드264M(4개월점검주기)</v>
      </c>
      <c r="B293" s="17" t="s">
        <v>2</v>
      </c>
      <c r="C293" s="18" t="s">
        <v>543</v>
      </c>
      <c r="D293" s="19" t="s">
        <v>84</v>
      </c>
      <c r="E293" s="19">
        <v>6</v>
      </c>
      <c r="F293" s="19" t="s">
        <v>0</v>
      </c>
      <c r="G293" s="20" t="s">
        <v>453</v>
      </c>
      <c r="H293" s="36">
        <v>39500</v>
      </c>
      <c r="I293" s="36">
        <v>25900</v>
      </c>
      <c r="J293" s="25">
        <v>289000</v>
      </c>
    </row>
    <row r="294" spans="1:10" ht="16" x14ac:dyDescent="0.45">
      <c r="A294" s="153" t="str">
        <f>B294&amp;C294&amp;E294&amp;G294</f>
        <v>정수기워터스탠드232M(2개월점검주기)</v>
      </c>
      <c r="B294" s="17" t="s">
        <v>2</v>
      </c>
      <c r="C294" s="18" t="s">
        <v>543</v>
      </c>
      <c r="D294" s="19" t="s">
        <v>85</v>
      </c>
      <c r="E294" s="19">
        <v>3</v>
      </c>
      <c r="F294" s="19" t="s">
        <v>1</v>
      </c>
      <c r="G294" s="20" t="s">
        <v>452</v>
      </c>
      <c r="H294" s="36">
        <v>48500</v>
      </c>
      <c r="I294" s="36">
        <v>34900</v>
      </c>
      <c r="J294" s="25">
        <v>242500</v>
      </c>
    </row>
    <row r="295" spans="1:10" ht="16" x14ac:dyDescent="0.45">
      <c r="A295" s="153" t="str">
        <f>B295&amp;C295&amp;E295&amp;G295</f>
        <v>정수기워터스탠드252M(2개월점검주기)</v>
      </c>
      <c r="B295" s="17" t="s">
        <v>2</v>
      </c>
      <c r="C295" s="18" t="s">
        <v>543</v>
      </c>
      <c r="D295" s="19" t="s">
        <v>85</v>
      </c>
      <c r="E295" s="19">
        <v>5</v>
      </c>
      <c r="F295" s="19" t="s">
        <v>0</v>
      </c>
      <c r="G295" s="20" t="s">
        <v>452</v>
      </c>
      <c r="H295" s="36">
        <v>46000</v>
      </c>
      <c r="I295" s="36">
        <v>32400</v>
      </c>
      <c r="J295" s="25">
        <v>242500</v>
      </c>
    </row>
    <row r="296" spans="1:10" ht="16" x14ac:dyDescent="0.45">
      <c r="A296" s="153" t="str">
        <f>B296&amp;C296&amp;E296&amp;G296</f>
        <v>정수기워터스탠드262M(2개월점검주기)</v>
      </c>
      <c r="B296" s="17" t="s">
        <v>2</v>
      </c>
      <c r="C296" s="18" t="s">
        <v>543</v>
      </c>
      <c r="D296" s="19" t="s">
        <v>85</v>
      </c>
      <c r="E296" s="19">
        <v>6</v>
      </c>
      <c r="F296" s="19" t="s">
        <v>0</v>
      </c>
      <c r="G296" s="20" t="s">
        <v>452</v>
      </c>
      <c r="H296" s="36">
        <v>43500</v>
      </c>
      <c r="I296" s="36">
        <v>29900</v>
      </c>
      <c r="J296" s="25">
        <v>303100</v>
      </c>
    </row>
    <row r="297" spans="1:10" ht="16" x14ac:dyDescent="0.45">
      <c r="A297" s="153" t="str">
        <f>B297&amp;C297&amp;E297&amp;G297</f>
        <v>정수기워터스탠드234M(4개월점검주기)</v>
      </c>
      <c r="B297" s="17" t="s">
        <v>2</v>
      </c>
      <c r="C297" s="18" t="s">
        <v>543</v>
      </c>
      <c r="D297" s="19" t="s">
        <v>85</v>
      </c>
      <c r="E297" s="19">
        <v>3</v>
      </c>
      <c r="F297" s="19" t="s">
        <v>1</v>
      </c>
      <c r="G297" s="20" t="s">
        <v>453</v>
      </c>
      <c r="H297" s="36">
        <v>46500</v>
      </c>
      <c r="I297" s="36">
        <v>32900</v>
      </c>
      <c r="J297" s="25">
        <v>242500</v>
      </c>
    </row>
    <row r="298" spans="1:10" ht="16" x14ac:dyDescent="0.45">
      <c r="A298" s="153" t="str">
        <f>B298&amp;C298&amp;E298&amp;G298</f>
        <v>정수기워터스탠드254M(4개월점검주기)</v>
      </c>
      <c r="B298" s="17" t="s">
        <v>2</v>
      </c>
      <c r="C298" s="18" t="s">
        <v>543</v>
      </c>
      <c r="D298" s="19" t="s">
        <v>85</v>
      </c>
      <c r="E298" s="19">
        <v>5</v>
      </c>
      <c r="F298" s="19" t="s">
        <v>0</v>
      </c>
      <c r="G298" s="20" t="s">
        <v>453</v>
      </c>
      <c r="H298" s="36">
        <v>44000</v>
      </c>
      <c r="I298" s="36">
        <v>30400</v>
      </c>
      <c r="J298" s="25">
        <v>242500</v>
      </c>
    </row>
    <row r="299" spans="1:10" ht="16" x14ac:dyDescent="0.45">
      <c r="A299" s="153" t="str">
        <f>B299&amp;C299&amp;E299&amp;G299</f>
        <v>정수기워터스탠드264M(4개월점검주기)</v>
      </c>
      <c r="B299" s="17" t="s">
        <v>2</v>
      </c>
      <c r="C299" s="18" t="s">
        <v>543</v>
      </c>
      <c r="D299" s="19" t="s">
        <v>85</v>
      </c>
      <c r="E299" s="19">
        <v>6</v>
      </c>
      <c r="F299" s="19" t="s">
        <v>0</v>
      </c>
      <c r="G299" s="20" t="s">
        <v>453</v>
      </c>
      <c r="H299" s="36">
        <v>41500</v>
      </c>
      <c r="I299" s="36">
        <v>27900</v>
      </c>
      <c r="J299" s="25">
        <v>303100</v>
      </c>
    </row>
    <row r="300" spans="1:10" ht="16" x14ac:dyDescent="0.45">
      <c r="A300" s="153" t="str">
        <f>B300&amp;C300&amp;E300&amp;G300</f>
        <v>정수기워터스탠드플러스32M(2개월점검주기)</v>
      </c>
      <c r="B300" s="17" t="s">
        <v>2</v>
      </c>
      <c r="C300" s="18" t="s">
        <v>938</v>
      </c>
      <c r="D300" s="19" t="s">
        <v>939</v>
      </c>
      <c r="E300" s="19">
        <v>3</v>
      </c>
      <c r="F300" s="19" t="s">
        <v>1</v>
      </c>
      <c r="G300" s="20" t="s">
        <v>452</v>
      </c>
      <c r="H300" s="36">
        <v>49000</v>
      </c>
      <c r="I300" s="36">
        <v>35400</v>
      </c>
      <c r="J300" s="25">
        <v>242500</v>
      </c>
    </row>
    <row r="301" spans="1:10" ht="16" x14ac:dyDescent="0.45">
      <c r="A301" s="153" t="str">
        <f>B301&amp;C301&amp;E301&amp;G301</f>
        <v>정수기워터스탠드플러스52M(2개월점검주기)</v>
      </c>
      <c r="B301" s="17" t="s">
        <v>2</v>
      </c>
      <c r="C301" s="18" t="s">
        <v>938</v>
      </c>
      <c r="D301" s="19" t="s">
        <v>939</v>
      </c>
      <c r="E301" s="19">
        <v>5</v>
      </c>
      <c r="F301" s="19" t="s">
        <v>0</v>
      </c>
      <c r="G301" s="20" t="s">
        <v>452</v>
      </c>
      <c r="H301" s="36">
        <v>46000</v>
      </c>
      <c r="I301" s="36">
        <v>32400</v>
      </c>
      <c r="J301" s="25">
        <v>242500</v>
      </c>
    </row>
    <row r="302" spans="1:10" ht="16" x14ac:dyDescent="0.45">
      <c r="A302" s="153" t="str">
        <f>B302&amp;C302&amp;E302&amp;G302</f>
        <v>정수기워터스탠드플러스62M(2개월점검주기)</v>
      </c>
      <c r="B302" s="17" t="s">
        <v>2</v>
      </c>
      <c r="C302" s="18" t="s">
        <v>938</v>
      </c>
      <c r="D302" s="19" t="s">
        <v>939</v>
      </c>
      <c r="E302" s="19">
        <v>6</v>
      </c>
      <c r="F302" s="19" t="s">
        <v>0</v>
      </c>
      <c r="G302" s="20" t="s">
        <v>452</v>
      </c>
      <c r="H302" s="36">
        <v>44000</v>
      </c>
      <c r="I302" s="36">
        <v>30400</v>
      </c>
      <c r="J302" s="25">
        <v>303100</v>
      </c>
    </row>
    <row r="303" spans="1:10" ht="16" x14ac:dyDescent="0.45">
      <c r="A303" s="153" t="str">
        <f>B303&amp;C303&amp;E303&amp;G303</f>
        <v>정수기워터스탠드플러스34M(4개월점검주기)</v>
      </c>
      <c r="B303" s="17" t="s">
        <v>2</v>
      </c>
      <c r="C303" s="18" t="s">
        <v>938</v>
      </c>
      <c r="D303" s="19" t="s">
        <v>939</v>
      </c>
      <c r="E303" s="19">
        <v>3</v>
      </c>
      <c r="F303" s="19" t="s">
        <v>1</v>
      </c>
      <c r="G303" s="20" t="s">
        <v>453</v>
      </c>
      <c r="H303" s="36">
        <v>47000</v>
      </c>
      <c r="I303" s="36">
        <v>33400</v>
      </c>
      <c r="J303" s="25">
        <v>242500</v>
      </c>
    </row>
    <row r="304" spans="1:10" ht="16" x14ac:dyDescent="0.45">
      <c r="A304" s="153" t="str">
        <f>B304&amp;C304&amp;E304&amp;G304</f>
        <v>정수기워터스탠드플러스54M(4개월점검주기)</v>
      </c>
      <c r="B304" s="17" t="s">
        <v>2</v>
      </c>
      <c r="C304" s="18" t="s">
        <v>938</v>
      </c>
      <c r="D304" s="19" t="s">
        <v>939</v>
      </c>
      <c r="E304" s="19">
        <v>5</v>
      </c>
      <c r="F304" s="19" t="s">
        <v>0</v>
      </c>
      <c r="G304" s="20" t="s">
        <v>453</v>
      </c>
      <c r="H304" s="36">
        <v>44000</v>
      </c>
      <c r="I304" s="36">
        <v>30400</v>
      </c>
      <c r="J304" s="25">
        <v>242500</v>
      </c>
    </row>
    <row r="305" spans="1:10" ht="16" x14ac:dyDescent="0.45">
      <c r="A305" s="153" t="str">
        <f>B305&amp;C305&amp;E305&amp;G305</f>
        <v>정수기워터스탠드플러스64M(4개월점검주기)</v>
      </c>
      <c r="B305" s="17" t="s">
        <v>2</v>
      </c>
      <c r="C305" s="18" t="s">
        <v>938</v>
      </c>
      <c r="D305" s="19" t="s">
        <v>939</v>
      </c>
      <c r="E305" s="19">
        <v>6</v>
      </c>
      <c r="F305" s="19" t="s">
        <v>0</v>
      </c>
      <c r="G305" s="20" t="s">
        <v>453</v>
      </c>
      <c r="H305" s="36">
        <v>42000</v>
      </c>
      <c r="I305" s="36">
        <v>28400</v>
      </c>
      <c r="J305" s="25">
        <v>303100</v>
      </c>
    </row>
    <row r="306" spans="1:10" ht="16" x14ac:dyDescent="0.45">
      <c r="A306" s="153" t="str">
        <f>B306&amp;C306&amp;E306&amp;G306</f>
        <v>정수기워터스탠드플러스32M(2개월점검주기)</v>
      </c>
      <c r="B306" s="17" t="s">
        <v>2</v>
      </c>
      <c r="C306" s="18" t="s">
        <v>938</v>
      </c>
      <c r="D306" s="19" t="s">
        <v>940</v>
      </c>
      <c r="E306" s="19">
        <v>3</v>
      </c>
      <c r="F306" s="19" t="s">
        <v>1</v>
      </c>
      <c r="G306" s="20" t="s">
        <v>452</v>
      </c>
      <c r="H306" s="36">
        <v>51000</v>
      </c>
      <c r="I306" s="36">
        <v>37400</v>
      </c>
      <c r="J306" s="25">
        <v>253700</v>
      </c>
    </row>
    <row r="307" spans="1:10" ht="16" x14ac:dyDescent="0.45">
      <c r="A307" s="153" t="str">
        <f>B307&amp;C307&amp;E307&amp;G307</f>
        <v>정수기워터스탠드플러스52M(2개월점검주기)</v>
      </c>
      <c r="B307" s="17" t="s">
        <v>2</v>
      </c>
      <c r="C307" s="18" t="s">
        <v>938</v>
      </c>
      <c r="D307" s="19" t="s">
        <v>940</v>
      </c>
      <c r="E307" s="19">
        <v>5</v>
      </c>
      <c r="F307" s="19" t="s">
        <v>0</v>
      </c>
      <c r="G307" s="20" t="s">
        <v>452</v>
      </c>
      <c r="H307" s="36">
        <v>48000</v>
      </c>
      <c r="I307" s="36">
        <v>34400</v>
      </c>
      <c r="J307" s="25">
        <v>253700</v>
      </c>
    </row>
    <row r="308" spans="1:10" ht="16" x14ac:dyDescent="0.45">
      <c r="A308" s="153" t="str">
        <f>B308&amp;C308&amp;E308&amp;G308</f>
        <v>정수기워터스탠드플러스62M(2개월점검주기)</v>
      </c>
      <c r="B308" s="17" t="s">
        <v>2</v>
      </c>
      <c r="C308" s="18" t="s">
        <v>938</v>
      </c>
      <c r="D308" s="19" t="s">
        <v>940</v>
      </c>
      <c r="E308" s="19">
        <v>6</v>
      </c>
      <c r="F308" s="19" t="s">
        <v>0</v>
      </c>
      <c r="G308" s="20" t="s">
        <v>452</v>
      </c>
      <c r="H308" s="36">
        <v>46000</v>
      </c>
      <c r="I308" s="36">
        <v>32400</v>
      </c>
      <c r="J308" s="25">
        <v>317100</v>
      </c>
    </row>
    <row r="309" spans="1:10" ht="16" x14ac:dyDescent="0.45">
      <c r="A309" s="153" t="str">
        <f>B309&amp;C309&amp;E309&amp;G309</f>
        <v>정수기워터스탠드플러스34M(4개월점검주기)</v>
      </c>
      <c r="B309" s="17" t="s">
        <v>2</v>
      </c>
      <c r="C309" s="18" t="s">
        <v>938</v>
      </c>
      <c r="D309" s="19" t="s">
        <v>940</v>
      </c>
      <c r="E309" s="19">
        <v>3</v>
      </c>
      <c r="F309" s="19" t="s">
        <v>1</v>
      </c>
      <c r="G309" s="20" t="s">
        <v>453</v>
      </c>
      <c r="H309" s="36">
        <v>49000</v>
      </c>
      <c r="I309" s="36">
        <v>35400</v>
      </c>
      <c r="J309" s="25">
        <v>242500</v>
      </c>
    </row>
    <row r="310" spans="1:10" ht="16" x14ac:dyDescent="0.45">
      <c r="A310" s="153" t="str">
        <f>B310&amp;C310&amp;E310&amp;G310</f>
        <v>정수기워터스탠드플러스54M(4개월점검주기)</v>
      </c>
      <c r="B310" s="17" t="s">
        <v>2</v>
      </c>
      <c r="C310" s="18" t="s">
        <v>938</v>
      </c>
      <c r="D310" s="19" t="s">
        <v>940</v>
      </c>
      <c r="E310" s="19">
        <v>5</v>
      </c>
      <c r="F310" s="19" t="s">
        <v>0</v>
      </c>
      <c r="G310" s="20" t="s">
        <v>453</v>
      </c>
      <c r="H310" s="36">
        <v>46000</v>
      </c>
      <c r="I310" s="36">
        <v>32400</v>
      </c>
      <c r="J310" s="25">
        <v>242500</v>
      </c>
    </row>
    <row r="311" spans="1:10" ht="16" x14ac:dyDescent="0.45">
      <c r="A311" s="153" t="str">
        <f>B311&amp;C311&amp;E311&amp;G311</f>
        <v>정수기워터스탠드플러스64M(4개월점검주기)</v>
      </c>
      <c r="B311" s="17" t="s">
        <v>2</v>
      </c>
      <c r="C311" s="18" t="s">
        <v>938</v>
      </c>
      <c r="D311" s="19" t="s">
        <v>940</v>
      </c>
      <c r="E311" s="19">
        <v>6</v>
      </c>
      <c r="F311" s="19" t="s">
        <v>0</v>
      </c>
      <c r="G311" s="20" t="s">
        <v>453</v>
      </c>
      <c r="H311" s="36">
        <v>44000</v>
      </c>
      <c r="I311" s="36">
        <v>30400</v>
      </c>
      <c r="J311" s="25">
        <v>303100</v>
      </c>
    </row>
    <row r="312" spans="1:10" ht="16" x14ac:dyDescent="0.45">
      <c r="A312" s="153" t="str">
        <f>B312&amp;C312&amp;E312&amp;G312</f>
        <v>정수기워터스탠드플러스N32M(2개월점검주기)</v>
      </c>
      <c r="B312" s="17" t="s">
        <v>2</v>
      </c>
      <c r="C312" s="18" t="s">
        <v>1010</v>
      </c>
      <c r="D312" s="19" t="s">
        <v>1011</v>
      </c>
      <c r="E312" s="19">
        <v>3</v>
      </c>
      <c r="F312" s="19" t="s">
        <v>1</v>
      </c>
      <c r="G312" s="20" t="s">
        <v>452</v>
      </c>
      <c r="H312" s="36">
        <v>49000</v>
      </c>
      <c r="I312" s="36">
        <v>33900</v>
      </c>
      <c r="J312" s="25">
        <v>242500</v>
      </c>
    </row>
    <row r="313" spans="1:10" ht="16" x14ac:dyDescent="0.45">
      <c r="A313" s="153" t="str">
        <f>B313&amp;C313&amp;E313&amp;G313</f>
        <v>정수기워터스탠드플러스N52M(2개월점검주기)</v>
      </c>
      <c r="B313" s="17" t="s">
        <v>2</v>
      </c>
      <c r="C313" s="18" t="s">
        <v>1010</v>
      </c>
      <c r="D313" s="19" t="s">
        <v>1011</v>
      </c>
      <c r="E313" s="19">
        <v>5</v>
      </c>
      <c r="F313" s="19" t="s">
        <v>0</v>
      </c>
      <c r="G313" s="20" t="s">
        <v>452</v>
      </c>
      <c r="H313" s="36">
        <v>46000</v>
      </c>
      <c r="I313" s="36">
        <v>31400</v>
      </c>
      <c r="J313" s="25">
        <v>242500</v>
      </c>
    </row>
    <row r="314" spans="1:10" ht="16" x14ac:dyDescent="0.45">
      <c r="A314" s="153" t="str">
        <f>B314&amp;C314&amp;E314&amp;G314</f>
        <v>정수기워터스탠드플러스N62M(2개월점검주기)</v>
      </c>
      <c r="B314" s="17" t="s">
        <v>2</v>
      </c>
      <c r="C314" s="18" t="s">
        <v>1010</v>
      </c>
      <c r="D314" s="19" t="s">
        <v>1011</v>
      </c>
      <c r="E314" s="19">
        <v>6</v>
      </c>
      <c r="F314" s="19" t="s">
        <v>0</v>
      </c>
      <c r="G314" s="20" t="s">
        <v>452</v>
      </c>
      <c r="H314" s="36">
        <v>44000</v>
      </c>
      <c r="I314" s="36">
        <v>28900</v>
      </c>
      <c r="J314" s="25">
        <v>303100</v>
      </c>
    </row>
    <row r="315" spans="1:10" ht="16" x14ac:dyDescent="0.45">
      <c r="A315" s="153" t="str">
        <f>B315&amp;C315&amp;E315&amp;G315</f>
        <v>정수기정수기_리퍼브32M(2개월점검주기)</v>
      </c>
      <c r="B315" s="17" t="s">
        <v>2</v>
      </c>
      <c r="C315" s="18" t="s">
        <v>480</v>
      </c>
      <c r="D315" s="19" t="s">
        <v>579</v>
      </c>
      <c r="E315" s="19">
        <v>3</v>
      </c>
      <c r="F315" s="19" t="s">
        <v>1</v>
      </c>
      <c r="G315" s="20" t="s">
        <v>452</v>
      </c>
      <c r="H315" s="36">
        <v>25900</v>
      </c>
      <c r="I315" s="36">
        <v>25900</v>
      </c>
      <c r="J315" s="25">
        <v>200300</v>
      </c>
    </row>
    <row r="316" spans="1:10" ht="16" x14ac:dyDescent="0.45">
      <c r="A316" s="153" t="str">
        <f>B316&amp;C316&amp;E316&amp;G316</f>
        <v>정수기정수기_리퍼브32M(2개월점검주기)</v>
      </c>
      <c r="B316" s="17" t="s">
        <v>2</v>
      </c>
      <c r="C316" s="18" t="s">
        <v>480</v>
      </c>
      <c r="D316" s="19" t="s">
        <v>947</v>
      </c>
      <c r="E316" s="19">
        <v>3</v>
      </c>
      <c r="F316" s="19" t="s">
        <v>1</v>
      </c>
      <c r="G316" s="20" t="s">
        <v>452</v>
      </c>
      <c r="H316" s="36">
        <v>46500</v>
      </c>
      <c r="I316" s="36">
        <v>25900</v>
      </c>
      <c r="J316" s="25">
        <v>200300</v>
      </c>
    </row>
    <row r="317" spans="1:10" ht="16" x14ac:dyDescent="0.45">
      <c r="A317" s="153" t="str">
        <f>B317&amp;C317&amp;E317&amp;G317</f>
        <v>정수기정수기_리퍼브32M(2개월점검주기)</v>
      </c>
      <c r="B317" s="17" t="s">
        <v>2</v>
      </c>
      <c r="C317" s="18" t="s">
        <v>930</v>
      </c>
      <c r="D317" s="19" t="s">
        <v>935</v>
      </c>
      <c r="E317" s="19">
        <v>3</v>
      </c>
      <c r="F317" s="19" t="s">
        <v>936</v>
      </c>
      <c r="G317" s="20" t="s">
        <v>452</v>
      </c>
      <c r="H317" s="36"/>
      <c r="I317" s="36">
        <v>26500</v>
      </c>
      <c r="J317" s="25">
        <v>200300</v>
      </c>
    </row>
    <row r="318" spans="1:10" ht="16" x14ac:dyDescent="0.45">
      <c r="A318" s="153" t="str">
        <f>B318&amp;C318&amp;E318&amp;G318</f>
        <v>정수기정수기_리퍼브34M(4개월점검주기)</v>
      </c>
      <c r="B318" s="17" t="s">
        <v>2</v>
      </c>
      <c r="C318" s="18" t="s">
        <v>930</v>
      </c>
      <c r="D318" s="19" t="s">
        <v>1027</v>
      </c>
      <c r="E318" s="19">
        <v>3</v>
      </c>
      <c r="F318" s="19" t="s">
        <v>1</v>
      </c>
      <c r="G318" s="20" t="s">
        <v>453</v>
      </c>
      <c r="H318" s="36">
        <v>31400</v>
      </c>
      <c r="I318" s="36"/>
      <c r="J318" s="25">
        <v>218300</v>
      </c>
    </row>
    <row r="319" spans="1:10" ht="16" x14ac:dyDescent="0.45">
      <c r="A319" s="153" t="str">
        <f>B319&amp;C319&amp;E319&amp;G319</f>
        <v>정수기정수기_리퍼브34M(4개월점검주기)</v>
      </c>
      <c r="B319" s="17" t="s">
        <v>2</v>
      </c>
      <c r="C319" s="18" t="s">
        <v>930</v>
      </c>
      <c r="D319" s="19" t="s">
        <v>1026</v>
      </c>
      <c r="E319" s="19">
        <v>3</v>
      </c>
      <c r="F319" s="19" t="s">
        <v>1</v>
      </c>
      <c r="G319" s="20" t="s">
        <v>453</v>
      </c>
      <c r="H319" s="36">
        <v>33500</v>
      </c>
      <c r="I319" s="36"/>
      <c r="J319" s="25">
        <v>228300</v>
      </c>
    </row>
    <row r="320" spans="1:10" ht="16" x14ac:dyDescent="0.45">
      <c r="A320" s="153" t="str">
        <f>B320&amp;C320&amp;E320&amp;G320</f>
        <v>정수기정수기_리퍼브34M(4개월점검주기)</v>
      </c>
      <c r="B320" s="17" t="s">
        <v>2</v>
      </c>
      <c r="C320" s="18" t="s">
        <v>480</v>
      </c>
      <c r="D320" s="19" t="s">
        <v>580</v>
      </c>
      <c r="E320" s="19">
        <v>3</v>
      </c>
      <c r="F320" s="19" t="s">
        <v>1</v>
      </c>
      <c r="G320" s="20" t="s">
        <v>453</v>
      </c>
      <c r="H320" s="36">
        <v>29400</v>
      </c>
      <c r="I320" s="36"/>
      <c r="J320" s="25">
        <v>208100</v>
      </c>
    </row>
    <row r="321" spans="1:10" ht="16" x14ac:dyDescent="0.45">
      <c r="A321" s="153" t="str">
        <f>B321&amp;C321&amp;E321&amp;G321</f>
        <v>정수기정수기_리퍼브32M(2개월점검주기)</v>
      </c>
      <c r="B321" s="17" t="s">
        <v>2</v>
      </c>
      <c r="C321" s="18" t="s">
        <v>930</v>
      </c>
      <c r="D321" s="19" t="s">
        <v>937</v>
      </c>
      <c r="E321" s="19">
        <v>3</v>
      </c>
      <c r="F321" s="19" t="s">
        <v>936</v>
      </c>
      <c r="G321" s="20" t="s">
        <v>452</v>
      </c>
      <c r="H321" s="36"/>
      <c r="I321" s="36">
        <v>47900</v>
      </c>
      <c r="J321" s="25">
        <v>258700</v>
      </c>
    </row>
    <row r="322" spans="1:10" ht="16" x14ac:dyDescent="0.45">
      <c r="A322" s="153" t="str">
        <f>B322&amp;C322&amp;E322&amp;G322</f>
        <v>정수기정수기_리퍼브32M(2개월점검주기)</v>
      </c>
      <c r="B322" s="17" t="s">
        <v>2</v>
      </c>
      <c r="C322" s="18" t="s">
        <v>480</v>
      </c>
      <c r="D322" s="19" t="s">
        <v>14</v>
      </c>
      <c r="E322" s="19">
        <v>3</v>
      </c>
      <c r="F322" s="19" t="s">
        <v>1</v>
      </c>
      <c r="G322" s="20" t="s">
        <v>452</v>
      </c>
      <c r="H322" s="36">
        <v>23900</v>
      </c>
      <c r="I322" s="36">
        <v>23900</v>
      </c>
      <c r="J322" s="25">
        <v>190200</v>
      </c>
    </row>
    <row r="323" spans="1:10" ht="16" x14ac:dyDescent="0.45">
      <c r="A323" s="153" t="str">
        <f>B323&amp;C323&amp;E323&amp;G323</f>
        <v>정수기정수기_리퍼브34M(4개월점검주기)</v>
      </c>
      <c r="B323" s="17" t="s">
        <v>2</v>
      </c>
      <c r="C323" s="18" t="s">
        <v>930</v>
      </c>
      <c r="D323" s="19" t="s">
        <v>1025</v>
      </c>
      <c r="E323" s="19">
        <v>3</v>
      </c>
      <c r="F323" s="19" t="s">
        <v>1</v>
      </c>
      <c r="G323" s="20" t="s">
        <v>453</v>
      </c>
      <c r="H323" s="36">
        <v>29900</v>
      </c>
      <c r="I323" s="36"/>
      <c r="J323" s="25">
        <v>208100</v>
      </c>
    </row>
    <row r="324" spans="1:10" ht="16" x14ac:dyDescent="0.45">
      <c r="A324" s="153" t="str">
        <f>B324&amp;C324&amp;E324&amp;G324</f>
        <v>정수기정수기_리퍼브34M(4개월점검주기)</v>
      </c>
      <c r="B324" s="17" t="s">
        <v>2</v>
      </c>
      <c r="C324" s="18" t="s">
        <v>930</v>
      </c>
      <c r="D324" s="19" t="s">
        <v>1024</v>
      </c>
      <c r="E324" s="19">
        <v>3</v>
      </c>
      <c r="F324" s="19" t="s">
        <v>1</v>
      </c>
      <c r="G324" s="20" t="s">
        <v>453</v>
      </c>
      <c r="H324" s="36">
        <v>31900</v>
      </c>
      <c r="I324" s="36"/>
      <c r="J324" s="25">
        <v>218300</v>
      </c>
    </row>
    <row r="325" spans="1:10" ht="16" x14ac:dyDescent="0.45">
      <c r="A325" s="153" t="str">
        <f>B325&amp;C325&amp;E325&amp;G325</f>
        <v>정수기정수기_리퍼브32M(2개월점검주기)</v>
      </c>
      <c r="B325" s="17" t="s">
        <v>2</v>
      </c>
      <c r="C325" s="18" t="s">
        <v>930</v>
      </c>
      <c r="D325" s="19" t="s">
        <v>934</v>
      </c>
      <c r="E325" s="19">
        <v>3</v>
      </c>
      <c r="F325" s="19" t="s">
        <v>936</v>
      </c>
      <c r="G325" s="20" t="s">
        <v>452</v>
      </c>
      <c r="H325" s="36"/>
      <c r="I325" s="36">
        <v>16400</v>
      </c>
      <c r="J325" s="25">
        <v>170000</v>
      </c>
    </row>
    <row r="326" spans="1:10" ht="16" x14ac:dyDescent="0.45">
      <c r="A326" s="153" t="str">
        <f>B326&amp;C326&amp;E326&amp;G326</f>
        <v>정수기정수기_리퍼브32M(2개월점검주기)</v>
      </c>
      <c r="B326" s="17" t="s">
        <v>2</v>
      </c>
      <c r="C326" s="18" t="s">
        <v>930</v>
      </c>
      <c r="D326" s="19" t="s">
        <v>933</v>
      </c>
      <c r="E326" s="19">
        <v>3</v>
      </c>
      <c r="F326" s="19" t="s">
        <v>936</v>
      </c>
      <c r="G326" s="20" t="s">
        <v>452</v>
      </c>
      <c r="H326" s="36"/>
      <c r="I326" s="36">
        <v>17500</v>
      </c>
      <c r="J326" s="25">
        <v>170000</v>
      </c>
    </row>
    <row r="327" spans="1:10" ht="16" x14ac:dyDescent="0.45">
      <c r="A327" s="153" t="str">
        <f>B327&amp;C327&amp;E327&amp;G327</f>
        <v>정수기정수기_리퍼브32M(2개월점검주기)</v>
      </c>
      <c r="B327" s="17" t="s">
        <v>2</v>
      </c>
      <c r="C327" s="18" t="s">
        <v>930</v>
      </c>
      <c r="D327" s="19" t="s">
        <v>932</v>
      </c>
      <c r="E327" s="19">
        <v>3</v>
      </c>
      <c r="F327" s="19" t="s">
        <v>936</v>
      </c>
      <c r="G327" s="20" t="s">
        <v>452</v>
      </c>
      <c r="H327" s="36"/>
      <c r="I327" s="36">
        <v>19400</v>
      </c>
      <c r="J327" s="25">
        <v>170000</v>
      </c>
    </row>
    <row r="328" spans="1:10" ht="16" x14ac:dyDescent="0.45">
      <c r="A328" s="153" t="str">
        <f>B328&amp;C328&amp;E328&amp;G328</f>
        <v>정수기정수기_리퍼브32M(2개월점검주기)</v>
      </c>
      <c r="B328" s="17" t="s">
        <v>2</v>
      </c>
      <c r="C328" s="18" t="s">
        <v>930</v>
      </c>
      <c r="D328" s="19" t="s">
        <v>931</v>
      </c>
      <c r="E328" s="19">
        <v>3</v>
      </c>
      <c r="F328" s="19" t="s">
        <v>936</v>
      </c>
      <c r="G328" s="20" t="s">
        <v>452</v>
      </c>
      <c r="H328" s="36"/>
      <c r="I328" s="36">
        <v>20700</v>
      </c>
      <c r="J328" s="25">
        <v>180100</v>
      </c>
    </row>
    <row r="329" spans="1:10" ht="16" x14ac:dyDescent="0.45">
      <c r="A329" s="153" t="str">
        <f>B329&amp;C329&amp;E329&amp;G329</f>
        <v>정수기프라임 1.032M(2개월점검주기)</v>
      </c>
      <c r="B329" s="17" t="s">
        <v>2</v>
      </c>
      <c r="C329" s="18" t="s">
        <v>544</v>
      </c>
      <c r="D329" s="19" t="s">
        <v>47</v>
      </c>
      <c r="E329" s="19">
        <v>3</v>
      </c>
      <c r="F329" s="19" t="s">
        <v>1</v>
      </c>
      <c r="G329" s="20" t="s">
        <v>452</v>
      </c>
      <c r="H329" s="36">
        <v>34900</v>
      </c>
      <c r="I329" s="36">
        <v>31900</v>
      </c>
      <c r="J329" s="25">
        <v>109800</v>
      </c>
    </row>
    <row r="330" spans="1:10" ht="16" x14ac:dyDescent="0.45">
      <c r="A330" s="153" t="str">
        <f>B330&amp;C330&amp;E330&amp;G330</f>
        <v>정수기프라임 1.052M(2개월점검주기)</v>
      </c>
      <c r="B330" s="17" t="s">
        <v>2</v>
      </c>
      <c r="C330" s="18" t="s">
        <v>544</v>
      </c>
      <c r="D330" s="19" t="s">
        <v>47</v>
      </c>
      <c r="E330" s="19">
        <v>5</v>
      </c>
      <c r="F330" s="19" t="s">
        <v>0</v>
      </c>
      <c r="G330" s="20" t="s">
        <v>452</v>
      </c>
      <c r="H330" s="36">
        <v>33900</v>
      </c>
      <c r="I330" s="36">
        <v>30900</v>
      </c>
      <c r="J330" s="25">
        <v>109800</v>
      </c>
    </row>
    <row r="331" spans="1:10" ht="16" x14ac:dyDescent="0.45">
      <c r="A331" s="153" t="str">
        <f>B331&amp;C331&amp;E331&amp;G331</f>
        <v>정수기프라임 1.062M(2개월점검주기)</v>
      </c>
      <c r="B331" s="17" t="s">
        <v>2</v>
      </c>
      <c r="C331" s="18" t="s">
        <v>544</v>
      </c>
      <c r="D331" s="19" t="s">
        <v>47</v>
      </c>
      <c r="E331" s="19">
        <v>6</v>
      </c>
      <c r="F331" s="19" t="s">
        <v>0</v>
      </c>
      <c r="G331" s="20" t="s">
        <v>452</v>
      </c>
      <c r="H331" s="36">
        <v>32900</v>
      </c>
      <c r="I331" s="36">
        <v>29900</v>
      </c>
      <c r="J331" s="25">
        <v>109800</v>
      </c>
    </row>
    <row r="332" spans="1:10" ht="16" x14ac:dyDescent="0.45">
      <c r="A332" s="153" t="str">
        <f>B332&amp;C332&amp;E332&amp;G332</f>
        <v>정수기프라임 1.072M(2개월점검주기)</v>
      </c>
      <c r="B332" s="17" t="s">
        <v>2</v>
      </c>
      <c r="C332" s="18" t="s">
        <v>544</v>
      </c>
      <c r="D332" s="19" t="s">
        <v>47</v>
      </c>
      <c r="E332" s="19">
        <v>7</v>
      </c>
      <c r="F332" s="19" t="s">
        <v>0</v>
      </c>
      <c r="G332" s="20" t="s">
        <v>452</v>
      </c>
      <c r="H332" s="36">
        <v>31900</v>
      </c>
      <c r="I332" s="36">
        <v>28900</v>
      </c>
      <c r="J332" s="25">
        <v>109800</v>
      </c>
    </row>
    <row r="333" spans="1:10" ht="16" x14ac:dyDescent="0.45">
      <c r="A333" s="153" t="str">
        <f>B333&amp;C333&amp;E333&amp;G333</f>
        <v>정수기프라임 2.032M(2개월점검주기)</v>
      </c>
      <c r="B333" s="17" t="s">
        <v>2</v>
      </c>
      <c r="C333" s="18" t="s">
        <v>595</v>
      </c>
      <c r="D333" s="19" t="s">
        <v>586</v>
      </c>
      <c r="E333" s="19">
        <v>3</v>
      </c>
      <c r="F333" s="19" t="s">
        <v>1</v>
      </c>
      <c r="G333" s="20" t="s">
        <v>452</v>
      </c>
      <c r="H333" s="36">
        <v>37900</v>
      </c>
      <c r="I333" s="36">
        <v>33900</v>
      </c>
      <c r="J333" s="25">
        <v>242500</v>
      </c>
    </row>
    <row r="334" spans="1:10" ht="16" x14ac:dyDescent="0.45">
      <c r="A334" s="153" t="str">
        <f>B334&amp;C334&amp;E334&amp;G334</f>
        <v>정수기프라임 2.052M(2개월점검주기)</v>
      </c>
      <c r="B334" s="17" t="s">
        <v>2</v>
      </c>
      <c r="C334" s="18" t="s">
        <v>595</v>
      </c>
      <c r="D334" s="19" t="s">
        <v>586</v>
      </c>
      <c r="E334" s="19">
        <v>5</v>
      </c>
      <c r="F334" s="19" t="s">
        <v>0</v>
      </c>
      <c r="G334" s="20" t="s">
        <v>452</v>
      </c>
      <c r="H334" s="36">
        <v>36900</v>
      </c>
      <c r="I334" s="36">
        <v>32900</v>
      </c>
      <c r="J334" s="25">
        <v>242500</v>
      </c>
    </row>
    <row r="335" spans="1:10" ht="16" x14ac:dyDescent="0.45">
      <c r="A335" s="153" t="str">
        <f>B335&amp;C335&amp;E335&amp;G335</f>
        <v>정수기프라임 2.062M(2개월점검주기)</v>
      </c>
      <c r="B335" s="17" t="s">
        <v>2</v>
      </c>
      <c r="C335" s="18" t="s">
        <v>595</v>
      </c>
      <c r="D335" s="19" t="s">
        <v>586</v>
      </c>
      <c r="E335" s="19">
        <v>6</v>
      </c>
      <c r="F335" s="19" t="s">
        <v>0</v>
      </c>
      <c r="G335" s="20" t="s">
        <v>452</v>
      </c>
      <c r="H335" s="36">
        <v>35900</v>
      </c>
      <c r="I335" s="36">
        <v>31900</v>
      </c>
      <c r="J335" s="25">
        <v>303100</v>
      </c>
    </row>
    <row r="336" spans="1:10" ht="16" x14ac:dyDescent="0.45">
      <c r="A336" s="153" t="str">
        <f>B336&amp;C336&amp;E336&amp;G336</f>
        <v>정수기프라임 2.072M(2개월점검주기)</v>
      </c>
      <c r="B336" s="17" t="s">
        <v>2</v>
      </c>
      <c r="C336" s="18" t="s">
        <v>595</v>
      </c>
      <c r="D336" s="19" t="s">
        <v>586</v>
      </c>
      <c r="E336" s="19">
        <v>7</v>
      </c>
      <c r="F336" s="19" t="s">
        <v>0</v>
      </c>
      <c r="G336" s="20" t="s">
        <v>452</v>
      </c>
      <c r="H336" s="36">
        <v>34900</v>
      </c>
      <c r="I336" s="36">
        <v>30900</v>
      </c>
      <c r="J336" s="25">
        <v>303100</v>
      </c>
    </row>
    <row r="337" spans="1:10" ht="16" x14ac:dyDescent="0.45">
      <c r="A337" s="153" t="str">
        <f>B337&amp;C337&amp;E337&amp;G337</f>
        <v>정수기프라임 2.032M(2개월점검주기)</v>
      </c>
      <c r="B337" s="17" t="s">
        <v>2</v>
      </c>
      <c r="C337" s="18" t="s">
        <v>595</v>
      </c>
      <c r="D337" s="19" t="s">
        <v>587</v>
      </c>
      <c r="E337" s="19">
        <v>3</v>
      </c>
      <c r="F337" s="19" t="s">
        <v>1</v>
      </c>
      <c r="G337" s="20" t="s">
        <v>452</v>
      </c>
      <c r="H337" s="36">
        <v>34900</v>
      </c>
      <c r="I337" s="36">
        <v>31900</v>
      </c>
      <c r="J337" s="25">
        <v>242500</v>
      </c>
    </row>
    <row r="338" spans="1:10" ht="16" x14ac:dyDescent="0.45">
      <c r="A338" s="153" t="str">
        <f>B338&amp;C338&amp;E338&amp;G338</f>
        <v>정수기프라임 2.052M(2개월점검주기)</v>
      </c>
      <c r="B338" s="17" t="s">
        <v>2</v>
      </c>
      <c r="C338" s="18" t="s">
        <v>595</v>
      </c>
      <c r="D338" s="19" t="s">
        <v>587</v>
      </c>
      <c r="E338" s="19">
        <v>5</v>
      </c>
      <c r="F338" s="19" t="s">
        <v>0</v>
      </c>
      <c r="G338" s="20" t="s">
        <v>452</v>
      </c>
      <c r="H338" s="36">
        <v>33900</v>
      </c>
      <c r="I338" s="36">
        <v>30900</v>
      </c>
      <c r="J338" s="25">
        <v>242500</v>
      </c>
    </row>
    <row r="339" spans="1:10" ht="16" x14ac:dyDescent="0.45">
      <c r="A339" s="153" t="str">
        <f>B339&amp;C339&amp;E339&amp;G339</f>
        <v>정수기프라임 2.062M(2개월점검주기)</v>
      </c>
      <c r="B339" s="17" t="s">
        <v>2</v>
      </c>
      <c r="C339" s="18" t="s">
        <v>595</v>
      </c>
      <c r="D339" s="19" t="s">
        <v>587</v>
      </c>
      <c r="E339" s="19">
        <v>6</v>
      </c>
      <c r="F339" s="19" t="s">
        <v>0</v>
      </c>
      <c r="G339" s="20" t="s">
        <v>452</v>
      </c>
      <c r="H339" s="36">
        <v>32900</v>
      </c>
      <c r="I339" s="36">
        <v>29900</v>
      </c>
      <c r="J339" s="25">
        <v>303100</v>
      </c>
    </row>
    <row r="340" spans="1:10" ht="16" x14ac:dyDescent="0.45">
      <c r="A340" s="153" t="str">
        <f>B340&amp;C340&amp;E340&amp;G340</f>
        <v>정수기프라임 2.072M(2개월점검주기)</v>
      </c>
      <c r="B340" s="17" t="s">
        <v>2</v>
      </c>
      <c r="C340" s="18" t="s">
        <v>595</v>
      </c>
      <c r="D340" s="19" t="s">
        <v>587</v>
      </c>
      <c r="E340" s="19">
        <v>7</v>
      </c>
      <c r="F340" s="19" t="s">
        <v>0</v>
      </c>
      <c r="G340" s="20" t="s">
        <v>452</v>
      </c>
      <c r="H340" s="36">
        <v>31900</v>
      </c>
      <c r="I340" s="36">
        <v>28900</v>
      </c>
      <c r="J340" s="25">
        <v>303100</v>
      </c>
    </row>
    <row r="341" spans="1:10" ht="16" x14ac:dyDescent="0.45">
      <c r="A341" s="153" t="str">
        <f>B341&amp;C341&amp;E341&amp;G341</f>
        <v>정수기프라임 베이직32M(2개월점검주기)</v>
      </c>
      <c r="B341" s="17" t="s">
        <v>2</v>
      </c>
      <c r="C341" s="18" t="s">
        <v>545</v>
      </c>
      <c r="D341" s="19" t="s">
        <v>5</v>
      </c>
      <c r="E341" s="19">
        <v>3</v>
      </c>
      <c r="F341" s="19" t="s">
        <v>1</v>
      </c>
      <c r="G341" s="20" t="s">
        <v>452</v>
      </c>
      <c r="H341" s="36">
        <v>25900</v>
      </c>
      <c r="I341" s="36">
        <v>23900</v>
      </c>
      <c r="J341" s="25">
        <v>200100</v>
      </c>
    </row>
    <row r="342" spans="1:10" ht="16" x14ac:dyDescent="0.45">
      <c r="A342" s="153" t="str">
        <f>B342&amp;C342&amp;E342&amp;G342</f>
        <v>정수기프라임 베이직52M(2개월점검주기)</v>
      </c>
      <c r="B342" s="17" t="s">
        <v>2</v>
      </c>
      <c r="C342" s="18" t="s">
        <v>545</v>
      </c>
      <c r="D342" s="19" t="s">
        <v>5</v>
      </c>
      <c r="E342" s="19">
        <v>5</v>
      </c>
      <c r="F342" s="19" t="s">
        <v>0</v>
      </c>
      <c r="G342" s="20" t="s">
        <v>452</v>
      </c>
      <c r="H342" s="36">
        <v>24900</v>
      </c>
      <c r="I342" s="36">
        <v>22900</v>
      </c>
      <c r="J342" s="25">
        <v>200100</v>
      </c>
    </row>
    <row r="343" spans="1:10" ht="16" x14ac:dyDescent="0.45">
      <c r="A343" s="153" t="str">
        <f>B343&amp;C343&amp;E343&amp;G343</f>
        <v>정수기프라임 베이직62M(2개월점검주기)</v>
      </c>
      <c r="B343" s="17" t="s">
        <v>2</v>
      </c>
      <c r="C343" s="18" t="s">
        <v>545</v>
      </c>
      <c r="D343" s="19" t="s">
        <v>5</v>
      </c>
      <c r="E343" s="19">
        <v>6</v>
      </c>
      <c r="F343" s="19" t="s">
        <v>0</v>
      </c>
      <c r="G343" s="20" t="s">
        <v>452</v>
      </c>
      <c r="H343" s="36">
        <v>23900</v>
      </c>
      <c r="I343" s="36">
        <v>21900</v>
      </c>
      <c r="J343" s="25">
        <v>250100</v>
      </c>
    </row>
    <row r="344" spans="1:10" ht="16" x14ac:dyDescent="0.45">
      <c r="A344" s="153" t="str">
        <f>B344&amp;C344&amp;E344&amp;G344</f>
        <v>정수기프라임 베이직72M(2개월점검주기)</v>
      </c>
      <c r="B344" s="17" t="s">
        <v>2</v>
      </c>
      <c r="C344" s="18" t="s">
        <v>545</v>
      </c>
      <c r="D344" s="19" t="s">
        <v>5</v>
      </c>
      <c r="E344" s="19">
        <v>7</v>
      </c>
      <c r="F344" s="19" t="s">
        <v>0</v>
      </c>
      <c r="G344" s="20" t="s">
        <v>452</v>
      </c>
      <c r="H344" s="36">
        <v>22900</v>
      </c>
      <c r="I344" s="36">
        <v>20900</v>
      </c>
      <c r="J344" s="25">
        <v>250100</v>
      </c>
    </row>
    <row r="345" spans="1:10" ht="16" x14ac:dyDescent="0.45">
      <c r="A345" s="153" t="str">
        <f>B345&amp;C345&amp;E345&amp;G345</f>
        <v>정수기프라임 스탠드32M(2개월점검주기)</v>
      </c>
      <c r="B345" s="17" t="s">
        <v>2</v>
      </c>
      <c r="C345" s="18" t="s">
        <v>546</v>
      </c>
      <c r="D345" s="19" t="s">
        <v>82</v>
      </c>
      <c r="E345" s="19">
        <v>3</v>
      </c>
      <c r="F345" s="19" t="s">
        <v>1</v>
      </c>
      <c r="G345" s="20" t="s">
        <v>452</v>
      </c>
      <c r="H345" s="36">
        <v>56900</v>
      </c>
      <c r="I345" s="36">
        <v>51900</v>
      </c>
      <c r="J345" s="25">
        <v>287400</v>
      </c>
    </row>
    <row r="346" spans="1:10" ht="16" x14ac:dyDescent="0.45">
      <c r="A346" s="153" t="str">
        <f>B346&amp;C346&amp;E346&amp;G346</f>
        <v>정수기프라임 스탠드52M(2개월점검주기)</v>
      </c>
      <c r="B346" s="17" t="s">
        <v>2</v>
      </c>
      <c r="C346" s="18" t="s">
        <v>546</v>
      </c>
      <c r="D346" s="19" t="s">
        <v>82</v>
      </c>
      <c r="E346" s="19">
        <v>5</v>
      </c>
      <c r="F346" s="19" t="s">
        <v>0</v>
      </c>
      <c r="G346" s="20" t="s">
        <v>452</v>
      </c>
      <c r="H346" s="36">
        <v>54400</v>
      </c>
      <c r="I346" s="36">
        <v>49400</v>
      </c>
      <c r="J346" s="25">
        <v>287400</v>
      </c>
    </row>
    <row r="347" spans="1:10" ht="16" x14ac:dyDescent="0.45">
      <c r="A347" s="153" t="str">
        <f>B347&amp;C347&amp;E347&amp;G347</f>
        <v>정수기프라임 스탠드62M(2개월점검주기)</v>
      </c>
      <c r="B347" s="17" t="s">
        <v>2</v>
      </c>
      <c r="C347" s="18" t="s">
        <v>546</v>
      </c>
      <c r="D347" s="19" t="s">
        <v>82</v>
      </c>
      <c r="E347" s="19">
        <v>6</v>
      </c>
      <c r="F347" s="19" t="s">
        <v>0</v>
      </c>
      <c r="G347" s="20" t="s">
        <v>452</v>
      </c>
      <c r="H347" s="36">
        <v>52900</v>
      </c>
      <c r="I347" s="36">
        <v>47900</v>
      </c>
      <c r="J347" s="25">
        <v>359300</v>
      </c>
    </row>
    <row r="348" spans="1:10" ht="16" x14ac:dyDescent="0.45">
      <c r="A348" s="153" t="str">
        <f>B348&amp;C348&amp;E348&amp;G348</f>
        <v>정수기프라임 스탠드34M(4개월점검주기)</v>
      </c>
      <c r="B348" s="17" t="s">
        <v>2</v>
      </c>
      <c r="C348" s="18" t="s">
        <v>546</v>
      </c>
      <c r="D348" s="19" t="s">
        <v>82</v>
      </c>
      <c r="E348" s="19">
        <v>3</v>
      </c>
      <c r="F348" s="19" t="s">
        <v>1</v>
      </c>
      <c r="G348" s="20" t="s">
        <v>453</v>
      </c>
      <c r="H348" s="36">
        <v>53900</v>
      </c>
      <c r="I348" s="36">
        <v>48900</v>
      </c>
      <c r="J348" s="25">
        <v>287400</v>
      </c>
    </row>
    <row r="349" spans="1:10" ht="16" x14ac:dyDescent="0.45">
      <c r="A349" s="153" t="str">
        <f>B349&amp;C349&amp;E349&amp;G349</f>
        <v>정수기프라임 스탠드54M(4개월점검주기)</v>
      </c>
      <c r="B349" s="17" t="s">
        <v>2</v>
      </c>
      <c r="C349" s="18" t="s">
        <v>546</v>
      </c>
      <c r="D349" s="19" t="s">
        <v>82</v>
      </c>
      <c r="E349" s="19">
        <v>5</v>
      </c>
      <c r="F349" s="19" t="s">
        <v>0</v>
      </c>
      <c r="G349" s="20" t="s">
        <v>453</v>
      </c>
      <c r="H349" s="36">
        <v>51400</v>
      </c>
      <c r="I349" s="36">
        <v>46400</v>
      </c>
      <c r="J349" s="25">
        <v>287400</v>
      </c>
    </row>
    <row r="350" spans="1:10" ht="16" x14ac:dyDescent="0.45">
      <c r="A350" s="153" t="str">
        <f>B350&amp;C350&amp;E350&amp;G350</f>
        <v>정수기프라임 스탠드64M(4개월점검주기)</v>
      </c>
      <c r="B350" s="17" t="s">
        <v>2</v>
      </c>
      <c r="C350" s="18" t="s">
        <v>546</v>
      </c>
      <c r="D350" s="19" t="s">
        <v>82</v>
      </c>
      <c r="E350" s="19">
        <v>6</v>
      </c>
      <c r="F350" s="19" t="s">
        <v>0</v>
      </c>
      <c r="G350" s="20" t="s">
        <v>453</v>
      </c>
      <c r="H350" s="36">
        <v>49900</v>
      </c>
      <c r="I350" s="36">
        <v>44900</v>
      </c>
      <c r="J350" s="25">
        <v>359300</v>
      </c>
    </row>
    <row r="351" spans="1:10" ht="16" x14ac:dyDescent="0.45">
      <c r="A351" s="153" t="str">
        <f>B351&amp;C351&amp;E351&amp;G351</f>
        <v>정수기프라임 아이스 맥스32M(2개월점검주기)</v>
      </c>
      <c r="B351" s="17" t="s">
        <v>2</v>
      </c>
      <c r="C351" s="18" t="s">
        <v>547</v>
      </c>
      <c r="D351" s="19" t="s">
        <v>107</v>
      </c>
      <c r="E351" s="19">
        <v>3</v>
      </c>
      <c r="F351" s="19" t="s">
        <v>1</v>
      </c>
      <c r="G351" s="20" t="s">
        <v>452</v>
      </c>
      <c r="H351" s="36">
        <v>68900</v>
      </c>
      <c r="I351" s="36">
        <v>62900</v>
      </c>
      <c r="J351" s="25">
        <v>321100</v>
      </c>
    </row>
    <row r="352" spans="1:10" ht="16" x14ac:dyDescent="0.45">
      <c r="A352" s="153" t="str">
        <f>B352&amp;C352&amp;E352&amp;G352</f>
        <v>정수기프라임 아이스 맥스52M(2개월점검주기)</v>
      </c>
      <c r="B352" s="17" t="s">
        <v>2</v>
      </c>
      <c r="C352" s="18" t="s">
        <v>547</v>
      </c>
      <c r="D352" s="19" t="s">
        <v>107</v>
      </c>
      <c r="E352" s="19">
        <v>5</v>
      </c>
      <c r="F352" s="19" t="s">
        <v>0</v>
      </c>
      <c r="G352" s="20" t="s">
        <v>452</v>
      </c>
      <c r="H352" s="36">
        <v>66400</v>
      </c>
      <c r="I352" s="36">
        <v>60400</v>
      </c>
      <c r="J352" s="25">
        <v>321100</v>
      </c>
    </row>
    <row r="353" spans="1:10" ht="16" x14ac:dyDescent="0.45">
      <c r="A353" s="153" t="str">
        <f>B353&amp;C353&amp;E353&amp;G353</f>
        <v>정수기프라임 아이스 맥스62M(2개월점검주기)</v>
      </c>
      <c r="B353" s="17" t="s">
        <v>2</v>
      </c>
      <c r="C353" s="18" t="s">
        <v>547</v>
      </c>
      <c r="D353" s="19" t="s">
        <v>107</v>
      </c>
      <c r="E353" s="19">
        <v>6</v>
      </c>
      <c r="F353" s="19" t="s">
        <v>0</v>
      </c>
      <c r="G353" s="20" t="s">
        <v>452</v>
      </c>
      <c r="H353" s="36">
        <v>64900</v>
      </c>
      <c r="I353" s="36">
        <v>58900</v>
      </c>
      <c r="J353" s="25">
        <v>401400</v>
      </c>
    </row>
    <row r="354" spans="1:10" ht="16" x14ac:dyDescent="0.45">
      <c r="A354" s="153" t="str">
        <f>B354&amp;C354&amp;E354&amp;G354</f>
        <v>정수기프라임 아이스 맥스34M(4개월점검주기)</v>
      </c>
      <c r="B354" s="17" t="s">
        <v>2</v>
      </c>
      <c r="C354" s="18" t="s">
        <v>547</v>
      </c>
      <c r="D354" s="19" t="s">
        <v>107</v>
      </c>
      <c r="E354" s="19">
        <v>3</v>
      </c>
      <c r="F354" s="19" t="s">
        <v>1</v>
      </c>
      <c r="G354" s="20" t="s">
        <v>453</v>
      </c>
      <c r="H354" s="36">
        <v>65900</v>
      </c>
      <c r="I354" s="36">
        <v>59900</v>
      </c>
      <c r="J354" s="25">
        <v>309900</v>
      </c>
    </row>
    <row r="355" spans="1:10" ht="16" x14ac:dyDescent="0.45">
      <c r="A355" s="153" t="str">
        <f>B355&amp;C355&amp;E355&amp;G355</f>
        <v>정수기프라임 아이스 맥스54M(4개월점검주기)</v>
      </c>
      <c r="B355" s="17" t="s">
        <v>2</v>
      </c>
      <c r="C355" s="18" t="s">
        <v>547</v>
      </c>
      <c r="D355" s="19" t="s">
        <v>107</v>
      </c>
      <c r="E355" s="19">
        <v>5</v>
      </c>
      <c r="F355" s="19" t="s">
        <v>0</v>
      </c>
      <c r="G355" s="20" t="s">
        <v>453</v>
      </c>
      <c r="H355" s="36">
        <v>63400</v>
      </c>
      <c r="I355" s="36">
        <v>57400</v>
      </c>
      <c r="J355" s="25">
        <v>309900</v>
      </c>
    </row>
    <row r="356" spans="1:10" ht="16" x14ac:dyDescent="0.45">
      <c r="A356" s="153" t="str">
        <f>B356&amp;C356&amp;E356&amp;G356</f>
        <v>정수기프라임 아이스 맥스64M(4개월점검주기)</v>
      </c>
      <c r="B356" s="17" t="s">
        <v>2</v>
      </c>
      <c r="C356" s="18" t="s">
        <v>547</v>
      </c>
      <c r="D356" s="19" t="s">
        <v>107</v>
      </c>
      <c r="E356" s="19">
        <v>6</v>
      </c>
      <c r="F356" s="19" t="s">
        <v>0</v>
      </c>
      <c r="G356" s="20" t="s">
        <v>453</v>
      </c>
      <c r="H356" s="36">
        <v>61900</v>
      </c>
      <c r="I356" s="36">
        <v>55900</v>
      </c>
      <c r="J356" s="25">
        <v>387400</v>
      </c>
    </row>
    <row r="357" spans="1:10" ht="16" x14ac:dyDescent="0.45">
      <c r="A357" s="153" t="str">
        <f>B357&amp;C357&amp;E357&amp;G357</f>
        <v>청정기노블청정기34M(4개월점검주기)</v>
      </c>
      <c r="B357" s="17" t="s">
        <v>143</v>
      </c>
      <c r="C357" s="18" t="s">
        <v>549</v>
      </c>
      <c r="D357" s="19" t="s">
        <v>630</v>
      </c>
      <c r="E357" s="19">
        <v>3</v>
      </c>
      <c r="F357" s="19" t="s">
        <v>1</v>
      </c>
      <c r="G357" s="20" t="s">
        <v>453</v>
      </c>
      <c r="H357" s="36">
        <v>42400</v>
      </c>
      <c r="I357" s="36">
        <v>39400</v>
      </c>
      <c r="J357" s="25">
        <v>273900</v>
      </c>
    </row>
    <row r="358" spans="1:10" ht="16" x14ac:dyDescent="0.45">
      <c r="A358" s="153" t="str">
        <f>B358&amp;C358&amp;E358&amp;G358</f>
        <v>청정기노블청정기54M(4개월점검주기)</v>
      </c>
      <c r="B358" s="17" t="s">
        <v>143</v>
      </c>
      <c r="C358" s="18" t="s">
        <v>549</v>
      </c>
      <c r="D358" s="19" t="s">
        <v>630</v>
      </c>
      <c r="E358" s="19">
        <v>5</v>
      </c>
      <c r="F358" s="19" t="s">
        <v>0</v>
      </c>
      <c r="G358" s="20" t="s">
        <v>453</v>
      </c>
      <c r="H358" s="36">
        <v>40400</v>
      </c>
      <c r="I358" s="36">
        <v>37400</v>
      </c>
      <c r="J358" s="25">
        <v>273900</v>
      </c>
    </row>
    <row r="359" spans="1:10" ht="16" x14ac:dyDescent="0.45">
      <c r="A359" s="153" t="str">
        <f>B359&amp;C359&amp;E359&amp;G359</f>
        <v>청정기노블청정기64M(4개월점검주기)</v>
      </c>
      <c r="B359" s="17" t="s">
        <v>143</v>
      </c>
      <c r="C359" s="18" t="s">
        <v>549</v>
      </c>
      <c r="D359" s="19" t="s">
        <v>630</v>
      </c>
      <c r="E359" s="19">
        <v>6</v>
      </c>
      <c r="F359" s="19" t="s">
        <v>0</v>
      </c>
      <c r="G359" s="20" t="s">
        <v>453</v>
      </c>
      <c r="H359" s="36">
        <v>39400</v>
      </c>
      <c r="I359" s="36">
        <v>36400</v>
      </c>
      <c r="J359" s="25">
        <v>315000</v>
      </c>
    </row>
    <row r="360" spans="1:10" ht="16" x14ac:dyDescent="0.45">
      <c r="A360" s="153" t="str">
        <f>B360&amp;C360&amp;E360&amp;G360</f>
        <v>청정기노블청정기74M(4개월점검주기)</v>
      </c>
      <c r="B360" s="17" t="s">
        <v>143</v>
      </c>
      <c r="C360" s="18" t="s">
        <v>549</v>
      </c>
      <c r="D360" s="19" t="s">
        <v>630</v>
      </c>
      <c r="E360" s="19">
        <v>7</v>
      </c>
      <c r="F360" s="19" t="s">
        <v>0</v>
      </c>
      <c r="G360" s="20" t="s">
        <v>453</v>
      </c>
      <c r="H360" s="36">
        <v>38400</v>
      </c>
      <c r="I360" s="36">
        <v>35400</v>
      </c>
      <c r="J360" s="25">
        <v>315000</v>
      </c>
    </row>
    <row r="361" spans="1:10" ht="16" x14ac:dyDescent="0.45">
      <c r="A361" s="153" t="str">
        <f>B361&amp;C361&amp;E361&amp;G361</f>
        <v>청정기노블청정기36M(6개월점검주기)</v>
      </c>
      <c r="B361" s="17" t="s">
        <v>143</v>
      </c>
      <c r="C361" s="18" t="s">
        <v>549</v>
      </c>
      <c r="D361" s="19" t="s">
        <v>630</v>
      </c>
      <c r="E361" s="19">
        <v>3</v>
      </c>
      <c r="F361" s="19" t="s">
        <v>1</v>
      </c>
      <c r="G361" s="20" t="s">
        <v>454</v>
      </c>
      <c r="H361" s="36">
        <v>40900</v>
      </c>
      <c r="I361" s="36">
        <v>37900</v>
      </c>
      <c r="J361" s="25">
        <v>273900</v>
      </c>
    </row>
    <row r="362" spans="1:10" ht="16" x14ac:dyDescent="0.45">
      <c r="A362" s="153" t="str">
        <f>B362&amp;C362&amp;E362&amp;G362</f>
        <v>청정기노블청정기56M(6개월점검주기)</v>
      </c>
      <c r="B362" s="17" t="s">
        <v>143</v>
      </c>
      <c r="C362" s="18" t="s">
        <v>549</v>
      </c>
      <c r="D362" s="19" t="s">
        <v>630</v>
      </c>
      <c r="E362" s="19">
        <v>5</v>
      </c>
      <c r="F362" s="19" t="s">
        <v>0</v>
      </c>
      <c r="G362" s="20" t="s">
        <v>454</v>
      </c>
      <c r="H362" s="36">
        <v>38900</v>
      </c>
      <c r="I362" s="36">
        <v>35900</v>
      </c>
      <c r="J362" s="25">
        <v>273900</v>
      </c>
    </row>
    <row r="363" spans="1:10" ht="16" x14ac:dyDescent="0.45">
      <c r="A363" s="153" t="str">
        <f>B363&amp;C363&amp;E363&amp;G363</f>
        <v>청정기노블청정기66M(6개월점검주기)</v>
      </c>
      <c r="B363" s="17" t="s">
        <v>143</v>
      </c>
      <c r="C363" s="18" t="s">
        <v>549</v>
      </c>
      <c r="D363" s="19" t="s">
        <v>630</v>
      </c>
      <c r="E363" s="19">
        <v>6</v>
      </c>
      <c r="F363" s="19" t="s">
        <v>0</v>
      </c>
      <c r="G363" s="20" t="s">
        <v>454</v>
      </c>
      <c r="H363" s="36">
        <v>37900</v>
      </c>
      <c r="I363" s="36">
        <v>34900</v>
      </c>
      <c r="J363" s="25">
        <v>315000</v>
      </c>
    </row>
    <row r="364" spans="1:10" ht="16" x14ac:dyDescent="0.45">
      <c r="A364" s="153" t="str">
        <f>B364&amp;C364&amp;E364&amp;G364</f>
        <v>청정기노블청정기76M(6개월점검주기)</v>
      </c>
      <c r="B364" s="17" t="s">
        <v>143</v>
      </c>
      <c r="C364" s="18" t="s">
        <v>549</v>
      </c>
      <c r="D364" s="19" t="s">
        <v>630</v>
      </c>
      <c r="E364" s="19">
        <v>7</v>
      </c>
      <c r="F364" s="19" t="s">
        <v>0</v>
      </c>
      <c r="G364" s="20" t="s">
        <v>454</v>
      </c>
      <c r="H364" s="36">
        <v>36900</v>
      </c>
      <c r="I364" s="36">
        <v>33900</v>
      </c>
      <c r="J364" s="25">
        <v>315000</v>
      </c>
    </row>
    <row r="365" spans="1:10" ht="16" x14ac:dyDescent="0.45">
      <c r="A365" s="153" t="str">
        <f>B365&amp;C365&amp;E365&amp;G365</f>
        <v>청정기노블청정기3자가관리</v>
      </c>
      <c r="B365" s="17" t="s">
        <v>143</v>
      </c>
      <c r="C365" s="18" t="s">
        <v>549</v>
      </c>
      <c r="D365" s="19" t="s">
        <v>630</v>
      </c>
      <c r="E365" s="19">
        <v>3</v>
      </c>
      <c r="F365" s="19" t="s">
        <v>1</v>
      </c>
      <c r="G365" s="20" t="s">
        <v>3</v>
      </c>
      <c r="H365" s="36">
        <v>37900</v>
      </c>
      <c r="I365" s="36">
        <v>34900</v>
      </c>
      <c r="J365" s="25">
        <v>251500</v>
      </c>
    </row>
    <row r="366" spans="1:10" ht="16" x14ac:dyDescent="0.45">
      <c r="A366" s="153" t="str">
        <f>B366&amp;C366&amp;E366&amp;G366</f>
        <v>청정기노블청정기5자가관리</v>
      </c>
      <c r="B366" s="17" t="s">
        <v>143</v>
      </c>
      <c r="C366" s="18" t="s">
        <v>549</v>
      </c>
      <c r="D366" s="19" t="s">
        <v>630</v>
      </c>
      <c r="E366" s="19">
        <v>5</v>
      </c>
      <c r="F366" s="19" t="s">
        <v>0</v>
      </c>
      <c r="G366" s="20" t="s">
        <v>3</v>
      </c>
      <c r="H366" s="36">
        <v>35900</v>
      </c>
      <c r="I366" s="36">
        <v>32900</v>
      </c>
      <c r="J366" s="25">
        <v>251500</v>
      </c>
    </row>
    <row r="367" spans="1:10" ht="16" x14ac:dyDescent="0.45">
      <c r="A367" s="153" t="str">
        <f>B367&amp;C367&amp;E367&amp;G367</f>
        <v>청정기노블청정기6자가관리</v>
      </c>
      <c r="B367" s="17" t="s">
        <v>143</v>
      </c>
      <c r="C367" s="18" t="s">
        <v>549</v>
      </c>
      <c r="D367" s="19" t="s">
        <v>630</v>
      </c>
      <c r="E367" s="19">
        <v>6</v>
      </c>
      <c r="F367" s="19" t="s">
        <v>0</v>
      </c>
      <c r="G367" s="20" t="s">
        <v>3</v>
      </c>
      <c r="H367" s="36">
        <v>34900</v>
      </c>
      <c r="I367" s="36">
        <v>31900</v>
      </c>
      <c r="J367" s="25">
        <v>289200</v>
      </c>
    </row>
    <row r="368" spans="1:10" ht="16" x14ac:dyDescent="0.45">
      <c r="A368" s="153" t="str">
        <f>B368&amp;C368&amp;E368&amp;G368</f>
        <v>청정기노블청정기7자가관리</v>
      </c>
      <c r="B368" s="17" t="s">
        <v>143</v>
      </c>
      <c r="C368" s="18" t="s">
        <v>549</v>
      </c>
      <c r="D368" s="19" t="s">
        <v>630</v>
      </c>
      <c r="E368" s="19">
        <v>7</v>
      </c>
      <c r="F368" s="19" t="s">
        <v>0</v>
      </c>
      <c r="G368" s="20" t="s">
        <v>3</v>
      </c>
      <c r="H368" s="36">
        <v>33900</v>
      </c>
      <c r="I368" s="36">
        <v>30900</v>
      </c>
      <c r="J368" s="25">
        <v>289200</v>
      </c>
    </row>
    <row r="369" spans="1:10" ht="16" x14ac:dyDescent="0.45">
      <c r="A369" s="153" t="str">
        <f>B369&amp;C369&amp;E369&amp;G369</f>
        <v>청정기노블청정기34M(4개월점검주기)</v>
      </c>
      <c r="B369" s="17" t="s">
        <v>143</v>
      </c>
      <c r="C369" s="18" t="s">
        <v>549</v>
      </c>
      <c r="D369" s="19" t="s">
        <v>629</v>
      </c>
      <c r="E369" s="19">
        <v>3</v>
      </c>
      <c r="F369" s="19" t="s">
        <v>1</v>
      </c>
      <c r="G369" s="20" t="s">
        <v>453</v>
      </c>
      <c r="H369" s="36">
        <v>44400</v>
      </c>
      <c r="I369" s="36">
        <v>41400</v>
      </c>
      <c r="J369" s="25">
        <v>273900</v>
      </c>
    </row>
    <row r="370" spans="1:10" ht="16" x14ac:dyDescent="0.45">
      <c r="A370" s="153" t="str">
        <f>B370&amp;C370&amp;E370&amp;G370</f>
        <v>청정기노블청정기54M(4개월점검주기)</v>
      </c>
      <c r="B370" s="17" t="s">
        <v>143</v>
      </c>
      <c r="C370" s="18" t="s">
        <v>549</v>
      </c>
      <c r="D370" s="19" t="s">
        <v>629</v>
      </c>
      <c r="E370" s="19">
        <v>5</v>
      </c>
      <c r="F370" s="19" t="s">
        <v>0</v>
      </c>
      <c r="G370" s="20" t="s">
        <v>453</v>
      </c>
      <c r="H370" s="36">
        <v>42400</v>
      </c>
      <c r="I370" s="36">
        <v>39400</v>
      </c>
      <c r="J370" s="25">
        <v>273900</v>
      </c>
    </row>
    <row r="371" spans="1:10" ht="16" x14ac:dyDescent="0.45">
      <c r="A371" s="153" t="str">
        <f>B371&amp;C371&amp;E371&amp;G371</f>
        <v>청정기노블청정기64M(4개월점검주기)</v>
      </c>
      <c r="B371" s="17" t="s">
        <v>143</v>
      </c>
      <c r="C371" s="18" t="s">
        <v>549</v>
      </c>
      <c r="D371" s="19" t="s">
        <v>629</v>
      </c>
      <c r="E371" s="19">
        <v>6</v>
      </c>
      <c r="F371" s="19" t="s">
        <v>0</v>
      </c>
      <c r="G371" s="20" t="s">
        <v>453</v>
      </c>
      <c r="H371" s="36">
        <v>41400</v>
      </c>
      <c r="I371" s="36">
        <v>38400</v>
      </c>
      <c r="J371" s="25">
        <v>315000</v>
      </c>
    </row>
    <row r="372" spans="1:10" ht="16" x14ac:dyDescent="0.45">
      <c r="A372" s="153" t="str">
        <f>B372&amp;C372&amp;E372&amp;G372</f>
        <v>청정기노블청정기74M(4개월점검주기)</v>
      </c>
      <c r="B372" s="17" t="s">
        <v>143</v>
      </c>
      <c r="C372" s="18" t="s">
        <v>549</v>
      </c>
      <c r="D372" s="19" t="s">
        <v>629</v>
      </c>
      <c r="E372" s="19">
        <v>7</v>
      </c>
      <c r="F372" s="19" t="s">
        <v>0</v>
      </c>
      <c r="G372" s="20" t="s">
        <v>453</v>
      </c>
      <c r="H372" s="36">
        <v>40400</v>
      </c>
      <c r="I372" s="36">
        <v>37400</v>
      </c>
      <c r="J372" s="25">
        <v>315000</v>
      </c>
    </row>
    <row r="373" spans="1:10" ht="16" x14ac:dyDescent="0.45">
      <c r="A373" s="153" t="str">
        <f>B373&amp;C373&amp;E373&amp;G373</f>
        <v>청정기노블청정기36M(6개월점검주기)</v>
      </c>
      <c r="B373" s="17" t="s">
        <v>143</v>
      </c>
      <c r="C373" s="18" t="s">
        <v>549</v>
      </c>
      <c r="D373" s="19" t="s">
        <v>629</v>
      </c>
      <c r="E373" s="19">
        <v>3</v>
      </c>
      <c r="F373" s="19" t="s">
        <v>1</v>
      </c>
      <c r="G373" s="20" t="s">
        <v>454</v>
      </c>
      <c r="H373" s="36">
        <v>42900</v>
      </c>
      <c r="I373" s="36">
        <v>39900</v>
      </c>
      <c r="J373" s="25">
        <v>273900</v>
      </c>
    </row>
    <row r="374" spans="1:10" ht="16" x14ac:dyDescent="0.45">
      <c r="A374" s="153" t="str">
        <f>B374&amp;C374&amp;E374&amp;G374</f>
        <v>청정기노블청정기56M(6개월점검주기)</v>
      </c>
      <c r="B374" s="17" t="s">
        <v>143</v>
      </c>
      <c r="C374" s="18" t="s">
        <v>549</v>
      </c>
      <c r="D374" s="19" t="s">
        <v>629</v>
      </c>
      <c r="E374" s="19">
        <v>5</v>
      </c>
      <c r="F374" s="19" t="s">
        <v>0</v>
      </c>
      <c r="G374" s="20" t="s">
        <v>454</v>
      </c>
      <c r="H374" s="36">
        <v>40900</v>
      </c>
      <c r="I374" s="36">
        <v>37900</v>
      </c>
      <c r="J374" s="25">
        <v>273900</v>
      </c>
    </row>
    <row r="375" spans="1:10" ht="16" x14ac:dyDescent="0.45">
      <c r="A375" s="153" t="str">
        <f>B375&amp;C375&amp;E375&amp;G375</f>
        <v>청정기노블청정기66M(6개월점검주기)</v>
      </c>
      <c r="B375" s="17" t="s">
        <v>143</v>
      </c>
      <c r="C375" s="18" t="s">
        <v>549</v>
      </c>
      <c r="D375" s="19" t="s">
        <v>629</v>
      </c>
      <c r="E375" s="19">
        <v>6</v>
      </c>
      <c r="F375" s="19" t="s">
        <v>0</v>
      </c>
      <c r="G375" s="20" t="s">
        <v>454</v>
      </c>
      <c r="H375" s="36">
        <v>39900</v>
      </c>
      <c r="I375" s="36">
        <v>36900</v>
      </c>
      <c r="J375" s="25">
        <v>315000</v>
      </c>
    </row>
    <row r="376" spans="1:10" ht="16" x14ac:dyDescent="0.45">
      <c r="A376" s="153" t="str">
        <f>B376&amp;C376&amp;E376&amp;G376</f>
        <v>청정기노블청정기76M(6개월점검주기)</v>
      </c>
      <c r="B376" s="17" t="s">
        <v>143</v>
      </c>
      <c r="C376" s="18" t="s">
        <v>549</v>
      </c>
      <c r="D376" s="19" t="s">
        <v>629</v>
      </c>
      <c r="E376" s="19">
        <v>7</v>
      </c>
      <c r="F376" s="19" t="s">
        <v>0</v>
      </c>
      <c r="G376" s="20" t="s">
        <v>454</v>
      </c>
      <c r="H376" s="36">
        <v>38900</v>
      </c>
      <c r="I376" s="36">
        <v>35900</v>
      </c>
      <c r="J376" s="25">
        <v>315000</v>
      </c>
    </row>
    <row r="377" spans="1:10" ht="16" x14ac:dyDescent="0.45">
      <c r="A377" s="153" t="str">
        <f>B377&amp;C377&amp;E377&amp;G377</f>
        <v>청정기노블청정기3자가관리</v>
      </c>
      <c r="B377" s="17" t="s">
        <v>143</v>
      </c>
      <c r="C377" s="18" t="s">
        <v>549</v>
      </c>
      <c r="D377" s="19" t="s">
        <v>629</v>
      </c>
      <c r="E377" s="19">
        <v>3</v>
      </c>
      <c r="F377" s="19" t="s">
        <v>1</v>
      </c>
      <c r="G377" s="20" t="s">
        <v>3</v>
      </c>
      <c r="H377" s="36">
        <v>40900</v>
      </c>
      <c r="I377" s="36">
        <v>37900</v>
      </c>
      <c r="J377" s="25">
        <v>273900</v>
      </c>
    </row>
    <row r="378" spans="1:10" ht="16" x14ac:dyDescent="0.45">
      <c r="A378" s="153" t="str">
        <f>B378&amp;C378&amp;E378&amp;G378</f>
        <v>청정기노블청정기5자가관리</v>
      </c>
      <c r="B378" s="17" t="s">
        <v>143</v>
      </c>
      <c r="C378" s="18" t="s">
        <v>549</v>
      </c>
      <c r="D378" s="19" t="s">
        <v>629</v>
      </c>
      <c r="E378" s="19">
        <v>5</v>
      </c>
      <c r="F378" s="19" t="s">
        <v>0</v>
      </c>
      <c r="G378" s="20" t="s">
        <v>3</v>
      </c>
      <c r="H378" s="36">
        <v>38900</v>
      </c>
      <c r="I378" s="36">
        <v>35900</v>
      </c>
      <c r="J378" s="25">
        <v>273900</v>
      </c>
    </row>
    <row r="379" spans="1:10" ht="16" x14ac:dyDescent="0.45">
      <c r="A379" s="153" t="str">
        <f>B379&amp;C379&amp;E379&amp;G379</f>
        <v>청정기노블청정기6자가관리</v>
      </c>
      <c r="B379" s="17" t="s">
        <v>143</v>
      </c>
      <c r="C379" s="18" t="s">
        <v>549</v>
      </c>
      <c r="D379" s="19" t="s">
        <v>629</v>
      </c>
      <c r="E379" s="19">
        <v>6</v>
      </c>
      <c r="F379" s="19" t="s">
        <v>0</v>
      </c>
      <c r="G379" s="20" t="s">
        <v>3</v>
      </c>
      <c r="H379" s="36">
        <v>37900</v>
      </c>
      <c r="I379" s="36">
        <v>34900</v>
      </c>
      <c r="J379" s="25">
        <v>315000</v>
      </c>
    </row>
    <row r="380" spans="1:10" ht="16" x14ac:dyDescent="0.45">
      <c r="A380" s="153" t="str">
        <f>B380&amp;C380&amp;E380&amp;G380</f>
        <v>청정기노블청정기7자가관리</v>
      </c>
      <c r="B380" s="17" t="s">
        <v>143</v>
      </c>
      <c r="C380" s="18" t="s">
        <v>549</v>
      </c>
      <c r="D380" s="19" t="s">
        <v>629</v>
      </c>
      <c r="E380" s="19">
        <v>7</v>
      </c>
      <c r="F380" s="19" t="s">
        <v>0</v>
      </c>
      <c r="G380" s="20" t="s">
        <v>3</v>
      </c>
      <c r="H380" s="36">
        <v>36900</v>
      </c>
      <c r="I380" s="36">
        <v>33900</v>
      </c>
      <c r="J380" s="25">
        <v>315000</v>
      </c>
    </row>
    <row r="381" spans="1:10" ht="16" x14ac:dyDescent="0.45">
      <c r="A381" s="153" t="str">
        <f>B381&amp;C381&amp;E381&amp;G381</f>
        <v>청정기노블청정기34M(4개월점검주기)</v>
      </c>
      <c r="B381" s="17" t="s">
        <v>143</v>
      </c>
      <c r="C381" s="18" t="s">
        <v>549</v>
      </c>
      <c r="D381" s="19" t="s">
        <v>628</v>
      </c>
      <c r="E381" s="19">
        <v>3</v>
      </c>
      <c r="F381" s="19" t="s">
        <v>1</v>
      </c>
      <c r="G381" s="20" t="s">
        <v>453</v>
      </c>
      <c r="H381" s="36">
        <v>62400</v>
      </c>
      <c r="I381" s="36">
        <v>59400</v>
      </c>
      <c r="J381" s="25">
        <v>318900</v>
      </c>
    </row>
    <row r="382" spans="1:10" ht="16" x14ac:dyDescent="0.45">
      <c r="A382" s="153" t="str">
        <f>B382&amp;C382&amp;E382&amp;G382</f>
        <v>청정기노블청정기54M(4개월점검주기)</v>
      </c>
      <c r="B382" s="17" t="s">
        <v>143</v>
      </c>
      <c r="C382" s="18" t="s">
        <v>549</v>
      </c>
      <c r="D382" s="19" t="s">
        <v>628</v>
      </c>
      <c r="E382" s="19">
        <v>5</v>
      </c>
      <c r="F382" s="19" t="s">
        <v>0</v>
      </c>
      <c r="G382" s="20" t="s">
        <v>453</v>
      </c>
      <c r="H382" s="36">
        <v>59400</v>
      </c>
      <c r="I382" s="36">
        <v>56400</v>
      </c>
      <c r="J382" s="25">
        <v>318900</v>
      </c>
    </row>
    <row r="383" spans="1:10" ht="16" x14ac:dyDescent="0.45">
      <c r="A383" s="153" t="str">
        <f>B383&amp;C383&amp;E383&amp;G383</f>
        <v>청정기노블청정기64M(4개월점검주기)</v>
      </c>
      <c r="B383" s="17" t="s">
        <v>143</v>
      </c>
      <c r="C383" s="18" t="s">
        <v>549</v>
      </c>
      <c r="D383" s="19" t="s">
        <v>628</v>
      </c>
      <c r="E383" s="19">
        <v>6</v>
      </c>
      <c r="F383" s="19" t="s">
        <v>0</v>
      </c>
      <c r="G383" s="20" t="s">
        <v>453</v>
      </c>
      <c r="H383" s="36">
        <v>57400</v>
      </c>
      <c r="I383" s="36">
        <v>54400</v>
      </c>
      <c r="J383" s="25">
        <v>366700</v>
      </c>
    </row>
    <row r="384" spans="1:10" ht="16" x14ac:dyDescent="0.45">
      <c r="A384" s="153" t="str">
        <f>B384&amp;C384&amp;E384&amp;G384</f>
        <v>청정기노블청정기74M(4개월점검주기)</v>
      </c>
      <c r="B384" s="17" t="s">
        <v>143</v>
      </c>
      <c r="C384" s="18" t="s">
        <v>549</v>
      </c>
      <c r="D384" s="19" t="s">
        <v>628</v>
      </c>
      <c r="E384" s="19">
        <v>7</v>
      </c>
      <c r="F384" s="19" t="s">
        <v>0</v>
      </c>
      <c r="G384" s="20" t="s">
        <v>453</v>
      </c>
      <c r="H384" s="36">
        <v>55400</v>
      </c>
      <c r="I384" s="36">
        <v>52400</v>
      </c>
      <c r="J384" s="25">
        <v>366700</v>
      </c>
    </row>
    <row r="385" spans="1:10" ht="16" x14ac:dyDescent="0.45">
      <c r="A385" s="153" t="str">
        <f>B385&amp;C385&amp;E385&amp;G385</f>
        <v>청정기노블청정기36M(6개월점검주기)</v>
      </c>
      <c r="B385" s="17" t="s">
        <v>143</v>
      </c>
      <c r="C385" s="18" t="s">
        <v>549</v>
      </c>
      <c r="D385" s="19" t="s">
        <v>628</v>
      </c>
      <c r="E385" s="19">
        <v>3</v>
      </c>
      <c r="F385" s="19" t="s">
        <v>1</v>
      </c>
      <c r="G385" s="20" t="s">
        <v>454</v>
      </c>
      <c r="H385" s="36">
        <v>60900</v>
      </c>
      <c r="I385" s="36">
        <v>57900</v>
      </c>
      <c r="J385" s="25">
        <v>307700</v>
      </c>
    </row>
    <row r="386" spans="1:10" ht="16" x14ac:dyDescent="0.45">
      <c r="A386" s="153" t="str">
        <f>B386&amp;C386&amp;E386&amp;G386</f>
        <v>청정기노블청정기56M(6개월점검주기)</v>
      </c>
      <c r="B386" s="17" t="s">
        <v>143</v>
      </c>
      <c r="C386" s="18" t="s">
        <v>549</v>
      </c>
      <c r="D386" s="19" t="s">
        <v>628</v>
      </c>
      <c r="E386" s="19">
        <v>5</v>
      </c>
      <c r="F386" s="19" t="s">
        <v>0</v>
      </c>
      <c r="G386" s="20" t="s">
        <v>454</v>
      </c>
      <c r="H386" s="36">
        <v>57900</v>
      </c>
      <c r="I386" s="36">
        <v>54900</v>
      </c>
      <c r="J386" s="25">
        <v>307700</v>
      </c>
    </row>
    <row r="387" spans="1:10" ht="16" x14ac:dyDescent="0.45">
      <c r="A387" s="153" t="str">
        <f>B387&amp;C387&amp;E387&amp;G387</f>
        <v>청정기노블청정기66M(6개월점검주기)</v>
      </c>
      <c r="B387" s="17" t="s">
        <v>143</v>
      </c>
      <c r="C387" s="18" t="s">
        <v>549</v>
      </c>
      <c r="D387" s="19" t="s">
        <v>628</v>
      </c>
      <c r="E387" s="19">
        <v>6</v>
      </c>
      <c r="F387" s="19" t="s">
        <v>0</v>
      </c>
      <c r="G387" s="20" t="s">
        <v>454</v>
      </c>
      <c r="H387" s="36">
        <v>55900</v>
      </c>
      <c r="I387" s="36">
        <v>52900</v>
      </c>
      <c r="J387" s="25">
        <v>353900</v>
      </c>
    </row>
    <row r="388" spans="1:10" ht="16" x14ac:dyDescent="0.45">
      <c r="A388" s="153" t="str">
        <f>B388&amp;C388&amp;E388&amp;G388</f>
        <v>청정기노블청정기76M(6개월점검주기)</v>
      </c>
      <c r="B388" s="17" t="s">
        <v>143</v>
      </c>
      <c r="C388" s="18" t="s">
        <v>549</v>
      </c>
      <c r="D388" s="19" t="s">
        <v>628</v>
      </c>
      <c r="E388" s="19">
        <v>7</v>
      </c>
      <c r="F388" s="19" t="s">
        <v>0</v>
      </c>
      <c r="G388" s="20" t="s">
        <v>454</v>
      </c>
      <c r="H388" s="36">
        <v>53900</v>
      </c>
      <c r="I388" s="36">
        <v>50900</v>
      </c>
      <c r="J388" s="25">
        <v>353900</v>
      </c>
    </row>
    <row r="389" spans="1:10" ht="16" x14ac:dyDescent="0.45">
      <c r="A389" s="153" t="str">
        <f>B389&amp;C389&amp;E389&amp;G389</f>
        <v>청정기노블청정기3자가관리</v>
      </c>
      <c r="B389" s="17" t="s">
        <v>143</v>
      </c>
      <c r="C389" s="18" t="s">
        <v>549</v>
      </c>
      <c r="D389" s="19" t="s">
        <v>628</v>
      </c>
      <c r="E389" s="19">
        <v>3</v>
      </c>
      <c r="F389" s="19" t="s">
        <v>1</v>
      </c>
      <c r="G389" s="20" t="s">
        <v>3</v>
      </c>
      <c r="H389" s="36">
        <v>57900</v>
      </c>
      <c r="I389" s="36">
        <v>54900</v>
      </c>
      <c r="J389" s="25">
        <v>307700</v>
      </c>
    </row>
    <row r="390" spans="1:10" ht="16" x14ac:dyDescent="0.45">
      <c r="A390" s="153" t="str">
        <f>B390&amp;C390&amp;E390&amp;G390</f>
        <v>청정기노블청정기5자가관리</v>
      </c>
      <c r="B390" s="17" t="s">
        <v>143</v>
      </c>
      <c r="C390" s="18" t="s">
        <v>549</v>
      </c>
      <c r="D390" s="19" t="s">
        <v>628</v>
      </c>
      <c r="E390" s="19">
        <v>5</v>
      </c>
      <c r="F390" s="19" t="s">
        <v>0</v>
      </c>
      <c r="G390" s="20" t="s">
        <v>3</v>
      </c>
      <c r="H390" s="36">
        <v>54900</v>
      </c>
      <c r="I390" s="36">
        <v>51900</v>
      </c>
      <c r="J390" s="25">
        <v>307700</v>
      </c>
    </row>
    <row r="391" spans="1:10" ht="16" x14ac:dyDescent="0.45">
      <c r="A391" s="153" t="str">
        <f>B391&amp;C391&amp;E391&amp;G391</f>
        <v>청정기노블청정기6자가관리</v>
      </c>
      <c r="B391" s="17" t="s">
        <v>143</v>
      </c>
      <c r="C391" s="18" t="s">
        <v>549</v>
      </c>
      <c r="D391" s="19" t="s">
        <v>628</v>
      </c>
      <c r="E391" s="19">
        <v>6</v>
      </c>
      <c r="F391" s="19" t="s">
        <v>0</v>
      </c>
      <c r="G391" s="20" t="s">
        <v>3</v>
      </c>
      <c r="H391" s="36">
        <v>52900</v>
      </c>
      <c r="I391" s="36">
        <v>49900</v>
      </c>
      <c r="J391" s="25">
        <v>353900</v>
      </c>
    </row>
    <row r="392" spans="1:10" ht="16" x14ac:dyDescent="0.45">
      <c r="A392" s="153" t="str">
        <f>B392&amp;C392&amp;E392&amp;G392</f>
        <v>청정기노블청정기7자가관리</v>
      </c>
      <c r="B392" s="17" t="s">
        <v>143</v>
      </c>
      <c r="C392" s="18" t="s">
        <v>549</v>
      </c>
      <c r="D392" s="19" t="s">
        <v>628</v>
      </c>
      <c r="E392" s="19">
        <v>7</v>
      </c>
      <c r="F392" s="19" t="s">
        <v>0</v>
      </c>
      <c r="G392" s="20" t="s">
        <v>3</v>
      </c>
      <c r="H392" s="36">
        <v>50900</v>
      </c>
      <c r="I392" s="36">
        <v>47900</v>
      </c>
      <c r="J392" s="25">
        <v>353900</v>
      </c>
    </row>
    <row r="393" spans="1:10" ht="16" x14ac:dyDescent="0.45">
      <c r="A393" s="153" t="str">
        <f>B393&amp;C393&amp;E393&amp;G393</f>
        <v>청정기노블청정기34M(4개월점검주기)</v>
      </c>
      <c r="B393" s="17" t="s">
        <v>143</v>
      </c>
      <c r="C393" s="18" t="s">
        <v>549</v>
      </c>
      <c r="D393" s="19" t="s">
        <v>631</v>
      </c>
      <c r="E393" s="19">
        <v>3</v>
      </c>
      <c r="F393" s="19" t="s">
        <v>1</v>
      </c>
      <c r="G393" s="20" t="s">
        <v>453</v>
      </c>
      <c r="H393" s="36">
        <v>62400</v>
      </c>
      <c r="I393" s="36">
        <v>59400</v>
      </c>
      <c r="J393" s="25">
        <v>318900</v>
      </c>
    </row>
    <row r="394" spans="1:10" ht="16" x14ac:dyDescent="0.45">
      <c r="A394" s="153" t="str">
        <f>B394&amp;C394&amp;E394&amp;G394</f>
        <v>청정기노블청정기54M(4개월점검주기)</v>
      </c>
      <c r="B394" s="17" t="s">
        <v>143</v>
      </c>
      <c r="C394" s="18" t="s">
        <v>549</v>
      </c>
      <c r="D394" s="19" t="s">
        <v>631</v>
      </c>
      <c r="E394" s="19">
        <v>5</v>
      </c>
      <c r="F394" s="19" t="s">
        <v>0</v>
      </c>
      <c r="G394" s="20" t="s">
        <v>453</v>
      </c>
      <c r="H394" s="36">
        <v>59400</v>
      </c>
      <c r="I394" s="36">
        <v>56400</v>
      </c>
      <c r="J394" s="25">
        <v>318900</v>
      </c>
    </row>
    <row r="395" spans="1:10" ht="16" x14ac:dyDescent="0.45">
      <c r="A395" s="153" t="str">
        <f>B395&amp;C395&amp;E395&amp;G395</f>
        <v>청정기노블청정기64M(4개월점검주기)</v>
      </c>
      <c r="B395" s="17" t="s">
        <v>143</v>
      </c>
      <c r="C395" s="18" t="s">
        <v>549</v>
      </c>
      <c r="D395" s="19" t="s">
        <v>631</v>
      </c>
      <c r="E395" s="19">
        <v>6</v>
      </c>
      <c r="F395" s="19" t="s">
        <v>0</v>
      </c>
      <c r="G395" s="20" t="s">
        <v>453</v>
      </c>
      <c r="H395" s="36">
        <v>57400</v>
      </c>
      <c r="I395" s="36">
        <v>54400</v>
      </c>
      <c r="J395" s="25">
        <v>366700</v>
      </c>
    </row>
    <row r="396" spans="1:10" ht="16" x14ac:dyDescent="0.45">
      <c r="A396" s="153" t="str">
        <f>B396&amp;C396&amp;E396&amp;G396</f>
        <v>청정기노블청정기74M(4개월점검주기)</v>
      </c>
      <c r="B396" s="17" t="s">
        <v>143</v>
      </c>
      <c r="C396" s="18" t="s">
        <v>549</v>
      </c>
      <c r="D396" s="19" t="s">
        <v>631</v>
      </c>
      <c r="E396" s="19">
        <v>7</v>
      </c>
      <c r="F396" s="19" t="s">
        <v>0</v>
      </c>
      <c r="G396" s="20" t="s">
        <v>453</v>
      </c>
      <c r="H396" s="36">
        <v>55400</v>
      </c>
      <c r="I396" s="36">
        <v>52400</v>
      </c>
      <c r="J396" s="25">
        <v>366700</v>
      </c>
    </row>
    <row r="397" spans="1:10" ht="16" x14ac:dyDescent="0.45">
      <c r="A397" s="153" t="str">
        <f>B397&amp;C397&amp;E397&amp;G397</f>
        <v>청정기노블청정기36M(6개월점검주기)</v>
      </c>
      <c r="B397" s="17" t="s">
        <v>143</v>
      </c>
      <c r="C397" s="18" t="s">
        <v>549</v>
      </c>
      <c r="D397" s="19" t="s">
        <v>631</v>
      </c>
      <c r="E397" s="19">
        <v>3</v>
      </c>
      <c r="F397" s="19" t="s">
        <v>1</v>
      </c>
      <c r="G397" s="20" t="s">
        <v>454</v>
      </c>
      <c r="H397" s="36">
        <v>60900</v>
      </c>
      <c r="I397" s="36">
        <v>57900</v>
      </c>
      <c r="J397" s="25">
        <v>307700</v>
      </c>
    </row>
    <row r="398" spans="1:10" ht="16" x14ac:dyDescent="0.45">
      <c r="A398" s="153" t="str">
        <f>B398&amp;C398&amp;E398&amp;G398</f>
        <v>청정기노블청정기56M(6개월점검주기)</v>
      </c>
      <c r="B398" s="17" t="s">
        <v>143</v>
      </c>
      <c r="C398" s="18" t="s">
        <v>549</v>
      </c>
      <c r="D398" s="19" t="s">
        <v>631</v>
      </c>
      <c r="E398" s="19">
        <v>5</v>
      </c>
      <c r="F398" s="19" t="s">
        <v>0</v>
      </c>
      <c r="G398" s="20" t="s">
        <v>454</v>
      </c>
      <c r="H398" s="36">
        <v>57900</v>
      </c>
      <c r="I398" s="36">
        <v>54900</v>
      </c>
      <c r="J398" s="25">
        <v>307700</v>
      </c>
    </row>
    <row r="399" spans="1:10" ht="16" x14ac:dyDescent="0.45">
      <c r="A399" s="153" t="str">
        <f>B399&amp;C399&amp;E399&amp;G399</f>
        <v>청정기노블청정기66M(6개월점검주기)</v>
      </c>
      <c r="B399" s="17" t="s">
        <v>143</v>
      </c>
      <c r="C399" s="18" t="s">
        <v>549</v>
      </c>
      <c r="D399" s="19" t="s">
        <v>631</v>
      </c>
      <c r="E399" s="19">
        <v>6</v>
      </c>
      <c r="F399" s="19" t="s">
        <v>0</v>
      </c>
      <c r="G399" s="20" t="s">
        <v>454</v>
      </c>
      <c r="H399" s="36">
        <v>55900</v>
      </c>
      <c r="I399" s="36">
        <v>52900</v>
      </c>
      <c r="J399" s="25">
        <v>353900</v>
      </c>
    </row>
    <row r="400" spans="1:10" ht="16" x14ac:dyDescent="0.45">
      <c r="A400" s="153" t="str">
        <f>B400&amp;C400&amp;E400&amp;G400</f>
        <v>청정기노블청정기76M(6개월점검주기)</v>
      </c>
      <c r="B400" s="17" t="s">
        <v>143</v>
      </c>
      <c r="C400" s="18" t="s">
        <v>549</v>
      </c>
      <c r="D400" s="19" t="s">
        <v>631</v>
      </c>
      <c r="E400" s="19">
        <v>7</v>
      </c>
      <c r="F400" s="19" t="s">
        <v>0</v>
      </c>
      <c r="G400" s="20" t="s">
        <v>454</v>
      </c>
      <c r="H400" s="36">
        <v>53900</v>
      </c>
      <c r="I400" s="36">
        <v>50900</v>
      </c>
      <c r="J400" s="25">
        <v>353900</v>
      </c>
    </row>
    <row r="401" spans="1:10" ht="16" x14ac:dyDescent="0.45">
      <c r="A401" s="153" t="str">
        <f>B401&amp;C401&amp;E401&amp;G401</f>
        <v>청정기노블청정기3자가관리</v>
      </c>
      <c r="B401" s="17" t="s">
        <v>143</v>
      </c>
      <c r="C401" s="18" t="s">
        <v>549</v>
      </c>
      <c r="D401" s="19" t="s">
        <v>631</v>
      </c>
      <c r="E401" s="19">
        <v>3</v>
      </c>
      <c r="F401" s="19" t="s">
        <v>1</v>
      </c>
      <c r="G401" s="20" t="s">
        <v>3</v>
      </c>
      <c r="H401" s="36">
        <v>57900</v>
      </c>
      <c r="I401" s="36">
        <v>54900</v>
      </c>
      <c r="J401" s="25">
        <v>307700</v>
      </c>
    </row>
    <row r="402" spans="1:10" ht="16" x14ac:dyDescent="0.45">
      <c r="A402" s="153" t="str">
        <f>B402&amp;C402&amp;E402&amp;G402</f>
        <v>청정기노블청정기5자가관리</v>
      </c>
      <c r="B402" s="17" t="s">
        <v>143</v>
      </c>
      <c r="C402" s="18" t="s">
        <v>549</v>
      </c>
      <c r="D402" s="19" t="s">
        <v>631</v>
      </c>
      <c r="E402" s="19">
        <v>5</v>
      </c>
      <c r="F402" s="19" t="s">
        <v>0</v>
      </c>
      <c r="G402" s="20" t="s">
        <v>3</v>
      </c>
      <c r="H402" s="36">
        <v>54900</v>
      </c>
      <c r="I402" s="36">
        <v>51900</v>
      </c>
      <c r="J402" s="25">
        <v>307700</v>
      </c>
    </row>
    <row r="403" spans="1:10" ht="16" x14ac:dyDescent="0.45">
      <c r="A403" s="153" t="str">
        <f>B403&amp;C403&amp;E403&amp;G403</f>
        <v>청정기노블청정기6자가관리</v>
      </c>
      <c r="B403" s="17" t="s">
        <v>143</v>
      </c>
      <c r="C403" s="18" t="s">
        <v>549</v>
      </c>
      <c r="D403" s="19" t="s">
        <v>631</v>
      </c>
      <c r="E403" s="19">
        <v>6</v>
      </c>
      <c r="F403" s="19" t="s">
        <v>0</v>
      </c>
      <c r="G403" s="20" t="s">
        <v>3</v>
      </c>
      <c r="H403" s="36">
        <v>52900</v>
      </c>
      <c r="I403" s="36">
        <v>49900</v>
      </c>
      <c r="J403" s="25">
        <v>353900</v>
      </c>
    </row>
    <row r="404" spans="1:10" ht="16" x14ac:dyDescent="0.45">
      <c r="A404" s="153" t="str">
        <f>B404&amp;C404&amp;E404&amp;G404</f>
        <v>청정기노블청정기7자가관리</v>
      </c>
      <c r="B404" s="17" t="s">
        <v>143</v>
      </c>
      <c r="C404" s="18" t="s">
        <v>549</v>
      </c>
      <c r="D404" s="19" t="s">
        <v>631</v>
      </c>
      <c r="E404" s="19">
        <v>7</v>
      </c>
      <c r="F404" s="19" t="s">
        <v>0</v>
      </c>
      <c r="G404" s="20" t="s">
        <v>3</v>
      </c>
      <c r="H404" s="36">
        <v>50900</v>
      </c>
      <c r="I404" s="36">
        <v>47900</v>
      </c>
      <c r="J404" s="25">
        <v>353900</v>
      </c>
    </row>
    <row r="405" spans="1:10" ht="16" x14ac:dyDescent="0.45">
      <c r="A405" s="153" t="str">
        <f>B405&amp;C405&amp;E405&amp;G405</f>
        <v>청정기노블청정기34M(4개월점검주기)</v>
      </c>
      <c r="B405" s="17" t="s">
        <v>143</v>
      </c>
      <c r="C405" s="18" t="s">
        <v>549</v>
      </c>
      <c r="D405" s="19" t="s">
        <v>632</v>
      </c>
      <c r="E405" s="19">
        <v>3</v>
      </c>
      <c r="F405" s="19" t="s">
        <v>1</v>
      </c>
      <c r="G405" s="20" t="s">
        <v>453</v>
      </c>
      <c r="H405" s="36">
        <v>66400</v>
      </c>
      <c r="I405" s="36">
        <v>63400</v>
      </c>
      <c r="J405" s="25">
        <v>330100</v>
      </c>
    </row>
    <row r="406" spans="1:10" ht="16" x14ac:dyDescent="0.45">
      <c r="A406" s="153" t="str">
        <f>B406&amp;C406&amp;E406&amp;G406</f>
        <v>청정기노블청정기54M(4개월점검주기)</v>
      </c>
      <c r="B406" s="17" t="s">
        <v>143</v>
      </c>
      <c r="C406" s="18" t="s">
        <v>549</v>
      </c>
      <c r="D406" s="19" t="s">
        <v>632</v>
      </c>
      <c r="E406" s="19">
        <v>5</v>
      </c>
      <c r="F406" s="19" t="s">
        <v>0</v>
      </c>
      <c r="G406" s="20" t="s">
        <v>453</v>
      </c>
      <c r="H406" s="36">
        <v>63400</v>
      </c>
      <c r="I406" s="36">
        <v>60400</v>
      </c>
      <c r="J406" s="25">
        <v>330100</v>
      </c>
    </row>
    <row r="407" spans="1:10" ht="16" x14ac:dyDescent="0.45">
      <c r="A407" s="153" t="str">
        <f>B407&amp;C407&amp;E407&amp;G407</f>
        <v>청정기노블청정기64M(4개월점검주기)</v>
      </c>
      <c r="B407" s="17" t="s">
        <v>143</v>
      </c>
      <c r="C407" s="18" t="s">
        <v>549</v>
      </c>
      <c r="D407" s="19" t="s">
        <v>632</v>
      </c>
      <c r="E407" s="19">
        <v>6</v>
      </c>
      <c r="F407" s="19" t="s">
        <v>0</v>
      </c>
      <c r="G407" s="20" t="s">
        <v>453</v>
      </c>
      <c r="H407" s="36">
        <v>61400</v>
      </c>
      <c r="I407" s="36">
        <v>58400</v>
      </c>
      <c r="J407" s="25">
        <v>379600</v>
      </c>
    </row>
    <row r="408" spans="1:10" ht="16" x14ac:dyDescent="0.45">
      <c r="A408" s="153" t="str">
        <f>B408&amp;C408&amp;E408&amp;G408</f>
        <v>청정기노블청정기74M(4개월점검주기)</v>
      </c>
      <c r="B408" s="17" t="s">
        <v>143</v>
      </c>
      <c r="C408" s="18" t="s">
        <v>549</v>
      </c>
      <c r="D408" s="19" t="s">
        <v>632</v>
      </c>
      <c r="E408" s="19">
        <v>7</v>
      </c>
      <c r="F408" s="19" t="s">
        <v>0</v>
      </c>
      <c r="G408" s="20" t="s">
        <v>453</v>
      </c>
      <c r="H408" s="36">
        <v>59400</v>
      </c>
      <c r="I408" s="36">
        <v>56400</v>
      </c>
      <c r="J408" s="25">
        <v>379600</v>
      </c>
    </row>
    <row r="409" spans="1:10" ht="16" x14ac:dyDescent="0.45">
      <c r="A409" s="153" t="str">
        <f>B409&amp;C409&amp;E409&amp;G409</f>
        <v>청정기노블청정기36M(6개월점검주기)</v>
      </c>
      <c r="B409" s="17" t="s">
        <v>143</v>
      </c>
      <c r="C409" s="18" t="s">
        <v>549</v>
      </c>
      <c r="D409" s="19" t="s">
        <v>632</v>
      </c>
      <c r="E409" s="19">
        <v>3</v>
      </c>
      <c r="F409" s="19" t="s">
        <v>1</v>
      </c>
      <c r="G409" s="20" t="s">
        <v>454</v>
      </c>
      <c r="H409" s="36">
        <v>64900</v>
      </c>
      <c r="I409" s="36">
        <v>61900</v>
      </c>
      <c r="J409" s="25">
        <v>318900</v>
      </c>
    </row>
    <row r="410" spans="1:10" ht="16" x14ac:dyDescent="0.45">
      <c r="A410" s="153" t="str">
        <f>B410&amp;C410&amp;E410&amp;G410</f>
        <v>청정기노블청정기56M(6개월점검주기)</v>
      </c>
      <c r="B410" s="17" t="s">
        <v>143</v>
      </c>
      <c r="C410" s="18" t="s">
        <v>549</v>
      </c>
      <c r="D410" s="19" t="s">
        <v>632</v>
      </c>
      <c r="E410" s="19">
        <v>5</v>
      </c>
      <c r="F410" s="19" t="s">
        <v>0</v>
      </c>
      <c r="G410" s="20" t="s">
        <v>454</v>
      </c>
      <c r="H410" s="36">
        <v>61900</v>
      </c>
      <c r="I410" s="36">
        <v>58900</v>
      </c>
      <c r="J410" s="25">
        <v>318900</v>
      </c>
    </row>
    <row r="411" spans="1:10" ht="16" x14ac:dyDescent="0.45">
      <c r="A411" s="153" t="str">
        <f>B411&amp;C411&amp;E411&amp;G411</f>
        <v>청정기노블청정기66M(6개월점검주기)</v>
      </c>
      <c r="B411" s="17" t="s">
        <v>143</v>
      </c>
      <c r="C411" s="18" t="s">
        <v>549</v>
      </c>
      <c r="D411" s="19" t="s">
        <v>632</v>
      </c>
      <c r="E411" s="19">
        <v>6</v>
      </c>
      <c r="F411" s="19" t="s">
        <v>0</v>
      </c>
      <c r="G411" s="20" t="s">
        <v>454</v>
      </c>
      <c r="H411" s="36">
        <v>59900</v>
      </c>
      <c r="I411" s="36">
        <v>56900</v>
      </c>
      <c r="J411" s="25">
        <v>366700</v>
      </c>
    </row>
    <row r="412" spans="1:10" ht="16" x14ac:dyDescent="0.45">
      <c r="A412" s="153" t="str">
        <f>B412&amp;C412&amp;E412&amp;G412</f>
        <v>청정기노블청정기76M(6개월점검주기)</v>
      </c>
      <c r="B412" s="17" t="s">
        <v>143</v>
      </c>
      <c r="C412" s="18" t="s">
        <v>549</v>
      </c>
      <c r="D412" s="19" t="s">
        <v>632</v>
      </c>
      <c r="E412" s="19">
        <v>7</v>
      </c>
      <c r="F412" s="19" t="s">
        <v>0</v>
      </c>
      <c r="G412" s="20" t="s">
        <v>454</v>
      </c>
      <c r="H412" s="36">
        <v>57900</v>
      </c>
      <c r="I412" s="36">
        <v>54900</v>
      </c>
      <c r="J412" s="25">
        <v>366700</v>
      </c>
    </row>
    <row r="413" spans="1:10" ht="16" x14ac:dyDescent="0.45">
      <c r="A413" s="153" t="str">
        <f>B413&amp;C413&amp;E413&amp;G413</f>
        <v>청정기노블청정기3자가관리</v>
      </c>
      <c r="B413" s="17" t="s">
        <v>143</v>
      </c>
      <c r="C413" s="18" t="s">
        <v>549</v>
      </c>
      <c r="D413" s="19" t="s">
        <v>632</v>
      </c>
      <c r="E413" s="19">
        <v>3</v>
      </c>
      <c r="F413" s="19" t="s">
        <v>1</v>
      </c>
      <c r="G413" s="20" t="s">
        <v>3</v>
      </c>
      <c r="H413" s="36">
        <v>61900</v>
      </c>
      <c r="I413" s="36">
        <v>58900</v>
      </c>
      <c r="J413" s="25">
        <v>318900</v>
      </c>
    </row>
    <row r="414" spans="1:10" ht="16" x14ac:dyDescent="0.45">
      <c r="A414" s="153" t="str">
        <f>B414&amp;C414&amp;E414&amp;G414</f>
        <v>청정기노블청정기5자가관리</v>
      </c>
      <c r="B414" s="17" t="s">
        <v>143</v>
      </c>
      <c r="C414" s="18" t="s">
        <v>549</v>
      </c>
      <c r="D414" s="19" t="s">
        <v>632</v>
      </c>
      <c r="E414" s="19">
        <v>5</v>
      </c>
      <c r="F414" s="19" t="s">
        <v>0</v>
      </c>
      <c r="G414" s="20" t="s">
        <v>3</v>
      </c>
      <c r="H414" s="36">
        <v>58900</v>
      </c>
      <c r="I414" s="36">
        <v>55900</v>
      </c>
      <c r="J414" s="25">
        <v>318900</v>
      </c>
    </row>
    <row r="415" spans="1:10" ht="16" x14ac:dyDescent="0.45">
      <c r="A415" s="153" t="str">
        <f>B415&amp;C415&amp;E415&amp;G415</f>
        <v>청정기노블청정기6자가관리</v>
      </c>
      <c r="B415" s="17" t="s">
        <v>143</v>
      </c>
      <c r="C415" s="18" t="s">
        <v>549</v>
      </c>
      <c r="D415" s="19" t="s">
        <v>632</v>
      </c>
      <c r="E415" s="19">
        <v>6</v>
      </c>
      <c r="F415" s="19" t="s">
        <v>0</v>
      </c>
      <c r="G415" s="20" t="s">
        <v>3</v>
      </c>
      <c r="H415" s="36">
        <v>56900</v>
      </c>
      <c r="I415" s="36">
        <v>53900</v>
      </c>
      <c r="J415" s="25">
        <v>366700</v>
      </c>
    </row>
    <row r="416" spans="1:10" ht="16" x14ac:dyDescent="0.45">
      <c r="A416" s="153" t="str">
        <f>B416&amp;C416&amp;E416&amp;G416</f>
        <v>청정기노블청정기7자가관리</v>
      </c>
      <c r="B416" s="17" t="s">
        <v>143</v>
      </c>
      <c r="C416" s="18" t="s">
        <v>549</v>
      </c>
      <c r="D416" s="19" t="s">
        <v>632</v>
      </c>
      <c r="E416" s="19">
        <v>7</v>
      </c>
      <c r="F416" s="19" t="s">
        <v>0</v>
      </c>
      <c r="G416" s="20" t="s">
        <v>3</v>
      </c>
      <c r="H416" s="36">
        <v>54900</v>
      </c>
      <c r="I416" s="36">
        <v>51900</v>
      </c>
      <c r="J416" s="25">
        <v>366700</v>
      </c>
    </row>
    <row r="417" spans="1:10" ht="16" x14ac:dyDescent="0.45">
      <c r="A417" s="153" t="str">
        <f>B417&amp;C417&amp;E417&amp;G417</f>
        <v>청정기듀얼클린 가습34M(4개월점검주기)</v>
      </c>
      <c r="B417" s="17" t="s">
        <v>143</v>
      </c>
      <c r="C417" s="18" t="s">
        <v>550</v>
      </c>
      <c r="D417" s="19" t="s">
        <v>178</v>
      </c>
      <c r="E417" s="19">
        <v>3</v>
      </c>
      <c r="F417" s="19" t="s">
        <v>1</v>
      </c>
      <c r="G417" s="20" t="s">
        <v>453</v>
      </c>
      <c r="H417" s="36">
        <v>37400</v>
      </c>
      <c r="I417" s="36">
        <v>37400</v>
      </c>
      <c r="J417" s="25">
        <v>273900</v>
      </c>
    </row>
    <row r="418" spans="1:10" ht="16" x14ac:dyDescent="0.45">
      <c r="A418" s="153" t="str">
        <f>B418&amp;C418&amp;E418&amp;G418</f>
        <v>청정기듀얼클린 가습54M(4개월점검주기)</v>
      </c>
      <c r="B418" s="17" t="s">
        <v>143</v>
      </c>
      <c r="C418" s="18" t="s">
        <v>550</v>
      </c>
      <c r="D418" s="19" t="s">
        <v>178</v>
      </c>
      <c r="E418" s="19">
        <v>5</v>
      </c>
      <c r="F418" s="19" t="s">
        <v>0</v>
      </c>
      <c r="G418" s="20" t="s">
        <v>453</v>
      </c>
      <c r="H418" s="36">
        <v>35400</v>
      </c>
      <c r="I418" s="36">
        <v>35400</v>
      </c>
      <c r="J418" s="25">
        <v>273900</v>
      </c>
    </row>
    <row r="419" spans="1:10" ht="16" x14ac:dyDescent="0.45">
      <c r="A419" s="153" t="str">
        <f>B419&amp;C419&amp;E419&amp;G419</f>
        <v>청정기듀얼클린 가습64M(4개월점검주기)</v>
      </c>
      <c r="B419" s="17" t="s">
        <v>143</v>
      </c>
      <c r="C419" s="18" t="s">
        <v>550</v>
      </c>
      <c r="D419" s="19" t="s">
        <v>178</v>
      </c>
      <c r="E419" s="19">
        <v>6</v>
      </c>
      <c r="F419" s="19" t="s">
        <v>0</v>
      </c>
      <c r="G419" s="20" t="s">
        <v>453</v>
      </c>
      <c r="H419" s="36">
        <v>34400</v>
      </c>
      <c r="I419" s="36">
        <v>34400</v>
      </c>
      <c r="J419" s="25">
        <v>315000</v>
      </c>
    </row>
    <row r="420" spans="1:10" ht="16" x14ac:dyDescent="0.45">
      <c r="A420" s="153" t="str">
        <f>B420&amp;C420&amp;E420&amp;G420</f>
        <v>청정기듀얼클린 가습74M(4개월점검주기)</v>
      </c>
      <c r="B420" s="17" t="s">
        <v>143</v>
      </c>
      <c r="C420" s="18" t="s">
        <v>550</v>
      </c>
      <c r="D420" s="19" t="s">
        <v>178</v>
      </c>
      <c r="E420" s="19">
        <v>7</v>
      </c>
      <c r="F420" s="19" t="s">
        <v>0</v>
      </c>
      <c r="G420" s="20" t="s">
        <v>453</v>
      </c>
      <c r="H420" s="36">
        <v>33400</v>
      </c>
      <c r="I420" s="36">
        <v>33400</v>
      </c>
      <c r="J420" s="25">
        <v>315000</v>
      </c>
    </row>
    <row r="421" spans="1:10" ht="16" x14ac:dyDescent="0.45">
      <c r="A421" s="153" t="str">
        <f>B421&amp;C421&amp;E421&amp;G421</f>
        <v>청정기듀얼클린 가습3자가관리</v>
      </c>
      <c r="B421" s="17" t="s">
        <v>143</v>
      </c>
      <c r="C421" s="18" t="s">
        <v>550</v>
      </c>
      <c r="D421" s="19" t="s">
        <v>178</v>
      </c>
      <c r="E421" s="19">
        <v>3</v>
      </c>
      <c r="F421" s="19" t="s">
        <v>1</v>
      </c>
      <c r="G421" s="20" t="s">
        <v>3</v>
      </c>
      <c r="H421" s="36">
        <v>30400</v>
      </c>
      <c r="I421" s="36">
        <v>30400</v>
      </c>
      <c r="J421" s="25">
        <v>240200</v>
      </c>
    </row>
    <row r="422" spans="1:10" ht="16" x14ac:dyDescent="0.45">
      <c r="A422" s="153" t="str">
        <f>B422&amp;C422&amp;E422&amp;G422</f>
        <v>청정기듀얼클린 가습5자가관리</v>
      </c>
      <c r="B422" s="17" t="s">
        <v>143</v>
      </c>
      <c r="C422" s="18" t="s">
        <v>550</v>
      </c>
      <c r="D422" s="19" t="s">
        <v>178</v>
      </c>
      <c r="E422" s="19">
        <v>5</v>
      </c>
      <c r="F422" s="19" t="s">
        <v>0</v>
      </c>
      <c r="G422" s="20" t="s">
        <v>3</v>
      </c>
      <c r="H422" s="36">
        <v>28400</v>
      </c>
      <c r="I422" s="36">
        <v>28400</v>
      </c>
      <c r="J422" s="25">
        <v>240200</v>
      </c>
    </row>
    <row r="423" spans="1:10" ht="16" x14ac:dyDescent="0.45">
      <c r="A423" s="153" t="str">
        <f>B423&amp;C423&amp;E423&amp;G423</f>
        <v>청정기듀얼클린 가습6자가관리</v>
      </c>
      <c r="B423" s="17" t="s">
        <v>143</v>
      </c>
      <c r="C423" s="18" t="s">
        <v>550</v>
      </c>
      <c r="D423" s="19" t="s">
        <v>178</v>
      </c>
      <c r="E423" s="19">
        <v>6</v>
      </c>
      <c r="F423" s="19" t="s">
        <v>0</v>
      </c>
      <c r="G423" s="20" t="s">
        <v>3</v>
      </c>
      <c r="H423" s="36">
        <v>27400</v>
      </c>
      <c r="I423" s="36">
        <v>27400</v>
      </c>
      <c r="J423" s="25">
        <v>276200</v>
      </c>
    </row>
    <row r="424" spans="1:10" ht="16" x14ac:dyDescent="0.45">
      <c r="A424" s="153" t="str">
        <f>B424&amp;C424&amp;E424&amp;G424</f>
        <v>청정기듀얼클린 가습7자가관리</v>
      </c>
      <c r="B424" s="17" t="s">
        <v>143</v>
      </c>
      <c r="C424" s="18" t="s">
        <v>550</v>
      </c>
      <c r="D424" s="19" t="s">
        <v>178</v>
      </c>
      <c r="E424" s="19">
        <v>7</v>
      </c>
      <c r="F424" s="19" t="s">
        <v>0</v>
      </c>
      <c r="G424" s="20" t="s">
        <v>3</v>
      </c>
      <c r="H424" s="36">
        <v>26400</v>
      </c>
      <c r="I424" s="36">
        <v>26400</v>
      </c>
      <c r="J424" s="25">
        <v>276200</v>
      </c>
    </row>
    <row r="425" spans="1:10" ht="16" x14ac:dyDescent="0.45">
      <c r="A425" s="153" t="str">
        <f>B425&amp;C425&amp;E425&amp;G425</f>
        <v>청정기듀얼클린 가습234M(4개월점검주기)</v>
      </c>
      <c r="B425" s="17" t="s">
        <v>917</v>
      </c>
      <c r="C425" s="18" t="s">
        <v>1332</v>
      </c>
      <c r="D425" s="19" t="s">
        <v>1334</v>
      </c>
      <c r="E425" s="19">
        <v>3</v>
      </c>
      <c r="F425" s="19" t="s">
        <v>1</v>
      </c>
      <c r="G425" s="20" t="s">
        <v>453</v>
      </c>
      <c r="H425" s="36">
        <v>37900</v>
      </c>
      <c r="I425" s="36"/>
      <c r="J425" s="25">
        <v>273900</v>
      </c>
    </row>
    <row r="426" spans="1:10" ht="16" x14ac:dyDescent="0.45">
      <c r="A426" s="153" t="str">
        <f>B426&amp;C426&amp;E426&amp;G426</f>
        <v>청정기듀얼클린 가습254M(4개월점검주기)</v>
      </c>
      <c r="B426" s="17" t="s">
        <v>917</v>
      </c>
      <c r="C426" s="18" t="s">
        <v>1332</v>
      </c>
      <c r="D426" s="19" t="s">
        <v>1333</v>
      </c>
      <c r="E426" s="19">
        <v>5</v>
      </c>
      <c r="F426" s="19" t="s">
        <v>0</v>
      </c>
      <c r="G426" s="20" t="s">
        <v>453</v>
      </c>
      <c r="H426" s="36">
        <v>35400</v>
      </c>
      <c r="I426" s="36"/>
      <c r="J426" s="25">
        <v>273900</v>
      </c>
    </row>
    <row r="427" spans="1:10" ht="16" x14ac:dyDescent="0.45">
      <c r="A427" s="153" t="str">
        <f>B427&amp;C427&amp;E427&amp;G427</f>
        <v>청정기듀얼클린 가습264M(4개월점검주기)</v>
      </c>
      <c r="B427" s="17" t="s">
        <v>917</v>
      </c>
      <c r="C427" s="18" t="s">
        <v>1332</v>
      </c>
      <c r="D427" s="19" t="s">
        <v>1333</v>
      </c>
      <c r="E427" s="19">
        <v>6</v>
      </c>
      <c r="F427" s="19" t="s">
        <v>0</v>
      </c>
      <c r="G427" s="20" t="s">
        <v>453</v>
      </c>
      <c r="H427" s="36">
        <v>33400</v>
      </c>
      <c r="I427" s="36"/>
      <c r="J427" s="25">
        <v>315000</v>
      </c>
    </row>
    <row r="428" spans="1:10" ht="16" x14ac:dyDescent="0.45">
      <c r="A428" s="153" t="str">
        <f>B428&amp;C428&amp;E428&amp;G428</f>
        <v>청정기듀얼클린 가습274M(4개월점검주기)</v>
      </c>
      <c r="B428" s="17" t="s">
        <v>917</v>
      </c>
      <c r="C428" s="18" t="s">
        <v>1332</v>
      </c>
      <c r="D428" s="19" t="s">
        <v>1333</v>
      </c>
      <c r="E428" s="19">
        <v>7</v>
      </c>
      <c r="F428" s="19" t="s">
        <v>0</v>
      </c>
      <c r="G428" s="20" t="s">
        <v>453</v>
      </c>
      <c r="H428" s="36">
        <v>31900</v>
      </c>
      <c r="I428" s="36"/>
      <c r="J428" s="25">
        <v>315000</v>
      </c>
    </row>
    <row r="429" spans="1:10" ht="16" x14ac:dyDescent="0.45">
      <c r="A429" s="153" t="str">
        <f>B429&amp;C429&amp;E429&amp;G429</f>
        <v>청정기듀얼클린 가습23자가관리</v>
      </c>
      <c r="B429" s="17" t="s">
        <v>917</v>
      </c>
      <c r="C429" s="18" t="s">
        <v>1332</v>
      </c>
      <c r="D429" s="19" t="s">
        <v>1333</v>
      </c>
      <c r="E429" s="19">
        <v>3</v>
      </c>
      <c r="F429" s="19" t="s">
        <v>1</v>
      </c>
      <c r="G429" s="20" t="s">
        <v>3</v>
      </c>
      <c r="H429" s="36">
        <v>33900</v>
      </c>
      <c r="I429" s="36"/>
      <c r="J429" s="25">
        <v>251500</v>
      </c>
    </row>
    <row r="430" spans="1:10" ht="16" x14ac:dyDescent="0.45">
      <c r="A430" s="153" t="str">
        <f>B430&amp;C430&amp;E430&amp;G430</f>
        <v>청정기듀얼클린 가습25자가관리</v>
      </c>
      <c r="B430" s="17" t="s">
        <v>917</v>
      </c>
      <c r="C430" s="18" t="s">
        <v>1332</v>
      </c>
      <c r="D430" s="19" t="s">
        <v>1333</v>
      </c>
      <c r="E430" s="19">
        <v>5</v>
      </c>
      <c r="F430" s="19" t="s">
        <v>0</v>
      </c>
      <c r="G430" s="20" t="s">
        <v>3</v>
      </c>
      <c r="H430" s="36">
        <v>31400</v>
      </c>
      <c r="I430" s="36"/>
      <c r="J430" s="25">
        <v>251500</v>
      </c>
    </row>
    <row r="431" spans="1:10" ht="16" x14ac:dyDescent="0.45">
      <c r="A431" s="153" t="str">
        <f>B431&amp;C431&amp;E431&amp;G431</f>
        <v>청정기듀얼클린 가습26자가관리</v>
      </c>
      <c r="B431" s="17" t="s">
        <v>917</v>
      </c>
      <c r="C431" s="18" t="s">
        <v>1332</v>
      </c>
      <c r="D431" s="19" t="s">
        <v>1333</v>
      </c>
      <c r="E431" s="19">
        <v>6</v>
      </c>
      <c r="F431" s="19" t="s">
        <v>0</v>
      </c>
      <c r="G431" s="20" t="s">
        <v>3</v>
      </c>
      <c r="H431" s="36">
        <v>29400</v>
      </c>
      <c r="I431" s="36"/>
      <c r="J431" s="25">
        <v>289200</v>
      </c>
    </row>
    <row r="432" spans="1:10" ht="16" x14ac:dyDescent="0.45">
      <c r="A432" s="153" t="str">
        <f>B432&amp;C432&amp;E432&amp;G432</f>
        <v>청정기듀얼클린 가습27자가관리</v>
      </c>
      <c r="B432" s="17" t="s">
        <v>917</v>
      </c>
      <c r="C432" s="18" t="s">
        <v>1332</v>
      </c>
      <c r="D432" s="19" t="s">
        <v>1333</v>
      </c>
      <c r="E432" s="19">
        <v>7</v>
      </c>
      <c r="F432" s="19" t="s">
        <v>0</v>
      </c>
      <c r="G432" s="20" t="s">
        <v>3</v>
      </c>
      <c r="H432" s="36">
        <v>27900</v>
      </c>
      <c r="I432" s="36"/>
      <c r="J432" s="25">
        <v>289200</v>
      </c>
    </row>
    <row r="433" spans="1:10" ht="16" x14ac:dyDescent="0.45">
      <c r="A433" s="153" t="str">
        <f>B433&amp;C433&amp;E433&amp;G433</f>
        <v>청정기듀얼클린 제습32M(2개월점검주기)</v>
      </c>
      <c r="B433" s="17" t="s">
        <v>143</v>
      </c>
      <c r="C433" s="18" t="s">
        <v>763</v>
      </c>
      <c r="D433" s="19" t="s">
        <v>179</v>
      </c>
      <c r="E433" s="19">
        <v>3</v>
      </c>
      <c r="F433" s="19" t="s">
        <v>1</v>
      </c>
      <c r="G433" s="20" t="s">
        <v>452</v>
      </c>
      <c r="H433" s="36">
        <v>40900</v>
      </c>
      <c r="I433" s="36">
        <v>40900</v>
      </c>
      <c r="J433" s="25">
        <v>273900</v>
      </c>
    </row>
    <row r="434" spans="1:10" ht="16" x14ac:dyDescent="0.45">
      <c r="A434" s="153" t="str">
        <f>B434&amp;C434&amp;E434&amp;G434</f>
        <v>청정기듀얼클린 제습52M(2개월점검주기)</v>
      </c>
      <c r="B434" s="17" t="s">
        <v>143</v>
      </c>
      <c r="C434" s="18" t="s">
        <v>763</v>
      </c>
      <c r="D434" s="19" t="s">
        <v>179</v>
      </c>
      <c r="E434" s="19">
        <v>5</v>
      </c>
      <c r="F434" s="19" t="s">
        <v>0</v>
      </c>
      <c r="G434" s="20" t="s">
        <v>452</v>
      </c>
      <c r="H434" s="36">
        <v>39900</v>
      </c>
      <c r="I434" s="36">
        <v>39900</v>
      </c>
      <c r="J434" s="25">
        <v>273900</v>
      </c>
    </row>
    <row r="435" spans="1:10" ht="16" x14ac:dyDescent="0.45">
      <c r="A435" s="153" t="str">
        <f>B435&amp;C435&amp;E435&amp;G435</f>
        <v>청정기듀얼클린 제습62M(2개월점검주기)</v>
      </c>
      <c r="B435" s="17" t="s">
        <v>143</v>
      </c>
      <c r="C435" s="18" t="s">
        <v>763</v>
      </c>
      <c r="D435" s="19" t="s">
        <v>179</v>
      </c>
      <c r="E435" s="19">
        <v>6</v>
      </c>
      <c r="F435" s="19" t="s">
        <v>0</v>
      </c>
      <c r="G435" s="20" t="s">
        <v>452</v>
      </c>
      <c r="H435" s="36">
        <v>38900</v>
      </c>
      <c r="I435" s="36">
        <v>38900</v>
      </c>
      <c r="J435" s="25">
        <v>315000</v>
      </c>
    </row>
    <row r="436" spans="1:10" ht="16" x14ac:dyDescent="0.45">
      <c r="A436" s="153" t="str">
        <f>B436&amp;C436&amp;E436&amp;G436</f>
        <v>청정기듀얼클린 제습72M(2개월점검주기)</v>
      </c>
      <c r="B436" s="17" t="s">
        <v>143</v>
      </c>
      <c r="C436" s="18" t="s">
        <v>763</v>
      </c>
      <c r="D436" s="19" t="s">
        <v>179</v>
      </c>
      <c r="E436" s="19">
        <v>7</v>
      </c>
      <c r="F436" s="19" t="s">
        <v>0</v>
      </c>
      <c r="G436" s="20" t="s">
        <v>452</v>
      </c>
      <c r="H436" s="36">
        <v>37900</v>
      </c>
      <c r="I436" s="36">
        <v>37900</v>
      </c>
      <c r="J436" s="25">
        <v>315000</v>
      </c>
    </row>
    <row r="437" spans="1:10" ht="16" x14ac:dyDescent="0.45">
      <c r="A437" s="153" t="str">
        <f>B437&amp;C437&amp;E437&amp;G437</f>
        <v>청정기듀얼클린 제습34M(4개월점검주기)</v>
      </c>
      <c r="B437" s="17" t="s">
        <v>143</v>
      </c>
      <c r="C437" s="18" t="s">
        <v>763</v>
      </c>
      <c r="D437" s="19" t="s">
        <v>179</v>
      </c>
      <c r="E437" s="19">
        <v>3</v>
      </c>
      <c r="F437" s="19" t="s">
        <v>1</v>
      </c>
      <c r="G437" s="20" t="s">
        <v>453</v>
      </c>
      <c r="H437" s="36">
        <v>38900</v>
      </c>
      <c r="I437" s="36">
        <v>38900</v>
      </c>
      <c r="J437" s="25">
        <v>273900</v>
      </c>
    </row>
    <row r="438" spans="1:10" ht="16" x14ac:dyDescent="0.45">
      <c r="A438" s="153" t="str">
        <f>B438&amp;C438&amp;E438&amp;G438</f>
        <v>청정기듀얼클린 제습54M(4개월점검주기)</v>
      </c>
      <c r="B438" s="17" t="s">
        <v>143</v>
      </c>
      <c r="C438" s="18" t="s">
        <v>763</v>
      </c>
      <c r="D438" s="19" t="s">
        <v>179</v>
      </c>
      <c r="E438" s="19">
        <v>5</v>
      </c>
      <c r="F438" s="19" t="s">
        <v>0</v>
      </c>
      <c r="G438" s="20" t="s">
        <v>453</v>
      </c>
      <c r="H438" s="36">
        <v>37900</v>
      </c>
      <c r="I438" s="36">
        <v>37900</v>
      </c>
      <c r="J438" s="25">
        <v>273900</v>
      </c>
    </row>
    <row r="439" spans="1:10" ht="16" x14ac:dyDescent="0.45">
      <c r="A439" s="153" t="str">
        <f>B439&amp;C439&amp;E439&amp;G439</f>
        <v>청정기듀얼클린 제습64M(4개월점검주기)</v>
      </c>
      <c r="B439" s="17" t="s">
        <v>143</v>
      </c>
      <c r="C439" s="18" t="s">
        <v>763</v>
      </c>
      <c r="D439" s="19" t="s">
        <v>179</v>
      </c>
      <c r="E439" s="19">
        <v>6</v>
      </c>
      <c r="F439" s="19" t="s">
        <v>0</v>
      </c>
      <c r="G439" s="20" t="s">
        <v>453</v>
      </c>
      <c r="H439" s="36">
        <v>36900</v>
      </c>
      <c r="I439" s="36">
        <v>36900</v>
      </c>
      <c r="J439" s="25">
        <v>315000</v>
      </c>
    </row>
    <row r="440" spans="1:10" ht="16" x14ac:dyDescent="0.45">
      <c r="A440" s="153" t="str">
        <f>B440&amp;C440&amp;E440&amp;G440</f>
        <v>청정기듀얼클린 제습74M(4개월점검주기)</v>
      </c>
      <c r="B440" s="17" t="s">
        <v>143</v>
      </c>
      <c r="C440" s="18" t="s">
        <v>763</v>
      </c>
      <c r="D440" s="19" t="s">
        <v>179</v>
      </c>
      <c r="E440" s="19">
        <v>7</v>
      </c>
      <c r="F440" s="19" t="s">
        <v>0</v>
      </c>
      <c r="G440" s="20" t="s">
        <v>453</v>
      </c>
      <c r="H440" s="36">
        <v>35900</v>
      </c>
      <c r="I440" s="36">
        <v>35900</v>
      </c>
      <c r="J440" s="25">
        <v>315000</v>
      </c>
    </row>
    <row r="441" spans="1:10" ht="16" x14ac:dyDescent="0.45">
      <c r="A441" s="153" t="str">
        <f>B441&amp;C441&amp;E441&amp;G441</f>
        <v>청정기듀얼클린 제습3자가관리</v>
      </c>
      <c r="B441" s="17" t="s">
        <v>143</v>
      </c>
      <c r="C441" s="18" t="s">
        <v>763</v>
      </c>
      <c r="D441" s="19" t="s">
        <v>179</v>
      </c>
      <c r="E441" s="19">
        <v>3</v>
      </c>
      <c r="F441" s="19" t="s">
        <v>1</v>
      </c>
      <c r="G441" s="20" t="s">
        <v>3</v>
      </c>
      <c r="H441" s="36">
        <v>36900</v>
      </c>
      <c r="I441" s="36">
        <v>36900</v>
      </c>
      <c r="J441" s="25">
        <v>273900</v>
      </c>
    </row>
    <row r="442" spans="1:10" ht="16" x14ac:dyDescent="0.45">
      <c r="A442" s="153" t="str">
        <f>B442&amp;C442&amp;E442&amp;G442</f>
        <v>청정기듀얼클린 제습5자가관리</v>
      </c>
      <c r="B442" s="17" t="s">
        <v>143</v>
      </c>
      <c r="C442" s="18" t="s">
        <v>763</v>
      </c>
      <c r="D442" s="19" t="s">
        <v>179</v>
      </c>
      <c r="E442" s="19">
        <v>5</v>
      </c>
      <c r="F442" s="19" t="s">
        <v>0</v>
      </c>
      <c r="G442" s="20" t="s">
        <v>3</v>
      </c>
      <c r="H442" s="36">
        <v>35900</v>
      </c>
      <c r="I442" s="36">
        <v>35900</v>
      </c>
      <c r="J442" s="25">
        <v>273900</v>
      </c>
    </row>
    <row r="443" spans="1:10" ht="16" x14ac:dyDescent="0.45">
      <c r="A443" s="153" t="str">
        <f>B443&amp;C443&amp;E443&amp;G443</f>
        <v>청정기듀얼클린 제습6자가관리</v>
      </c>
      <c r="B443" s="17" t="s">
        <v>143</v>
      </c>
      <c r="C443" s="18" t="s">
        <v>763</v>
      </c>
      <c r="D443" s="19" t="s">
        <v>179</v>
      </c>
      <c r="E443" s="19">
        <v>6</v>
      </c>
      <c r="F443" s="19" t="s">
        <v>0</v>
      </c>
      <c r="G443" s="20" t="s">
        <v>3</v>
      </c>
      <c r="H443" s="36">
        <v>34900</v>
      </c>
      <c r="I443" s="36">
        <v>34900</v>
      </c>
      <c r="J443" s="25">
        <v>315000</v>
      </c>
    </row>
    <row r="444" spans="1:10" ht="16" x14ac:dyDescent="0.45">
      <c r="A444" s="153" t="str">
        <f>B444&amp;C444&amp;E444&amp;G444</f>
        <v>청정기듀얼클린 제습7자가관리</v>
      </c>
      <c r="B444" s="17" t="s">
        <v>143</v>
      </c>
      <c r="C444" s="18" t="s">
        <v>763</v>
      </c>
      <c r="D444" s="19" t="s">
        <v>179</v>
      </c>
      <c r="E444" s="19">
        <v>7</v>
      </c>
      <c r="F444" s="19" t="s">
        <v>0</v>
      </c>
      <c r="G444" s="20" t="s">
        <v>3</v>
      </c>
      <c r="H444" s="36">
        <v>33900</v>
      </c>
      <c r="I444" s="36">
        <v>33900</v>
      </c>
      <c r="J444" s="25">
        <v>315000</v>
      </c>
    </row>
    <row r="445" spans="1:10" ht="16" x14ac:dyDescent="0.45">
      <c r="A445" s="153" t="str">
        <f>B445&amp;C445&amp;E445&amp;G445</f>
        <v>청정기멀티액션32M(2개월점검주기)</v>
      </c>
      <c r="B445" s="17" t="s">
        <v>143</v>
      </c>
      <c r="C445" s="18" t="s">
        <v>759</v>
      </c>
      <c r="D445" s="19" t="s">
        <v>154</v>
      </c>
      <c r="E445" s="19">
        <v>3</v>
      </c>
      <c r="F445" s="19" t="s">
        <v>1</v>
      </c>
      <c r="G445" s="20" t="s">
        <v>452</v>
      </c>
      <c r="H445" s="36">
        <v>39900</v>
      </c>
      <c r="I445" s="36">
        <v>36900</v>
      </c>
      <c r="J445" s="25">
        <v>262700</v>
      </c>
    </row>
    <row r="446" spans="1:10" ht="16" x14ac:dyDescent="0.45">
      <c r="A446" s="153" t="str">
        <f>B446&amp;C446&amp;E446&amp;G446</f>
        <v>청정기멀티액션52M(2개월점검주기)</v>
      </c>
      <c r="B446" s="17" t="s">
        <v>143</v>
      </c>
      <c r="C446" s="18" t="s">
        <v>759</v>
      </c>
      <c r="D446" s="19" t="s">
        <v>154</v>
      </c>
      <c r="E446" s="19">
        <v>5</v>
      </c>
      <c r="F446" s="19" t="s">
        <v>0</v>
      </c>
      <c r="G446" s="20" t="s">
        <v>452</v>
      </c>
      <c r="H446" s="36">
        <v>37900</v>
      </c>
      <c r="I446" s="36">
        <v>34900</v>
      </c>
      <c r="J446" s="25">
        <v>262700</v>
      </c>
    </row>
    <row r="447" spans="1:10" ht="16" x14ac:dyDescent="0.45">
      <c r="A447" s="153" t="str">
        <f>B447&amp;C447&amp;E447&amp;G447</f>
        <v>청정기멀티액션62M(2개월점검주기)</v>
      </c>
      <c r="B447" s="17" t="s">
        <v>143</v>
      </c>
      <c r="C447" s="18" t="s">
        <v>759</v>
      </c>
      <c r="D447" s="19" t="s">
        <v>154</v>
      </c>
      <c r="E447" s="19">
        <v>6</v>
      </c>
      <c r="F447" s="19" t="s">
        <v>0</v>
      </c>
      <c r="G447" s="20" t="s">
        <v>452</v>
      </c>
      <c r="H447" s="36">
        <v>36900</v>
      </c>
      <c r="I447" s="36">
        <v>33900</v>
      </c>
      <c r="J447" s="25">
        <v>302100</v>
      </c>
    </row>
    <row r="448" spans="1:10" ht="16" x14ac:dyDescent="0.45">
      <c r="A448" s="153" t="str">
        <f>B448&amp;C448&amp;E448&amp;G448</f>
        <v>청정기멀티액션72M(2개월점검주기)</v>
      </c>
      <c r="B448" s="17" t="s">
        <v>143</v>
      </c>
      <c r="C448" s="18" t="s">
        <v>759</v>
      </c>
      <c r="D448" s="19" t="s">
        <v>154</v>
      </c>
      <c r="E448" s="19">
        <v>7</v>
      </c>
      <c r="F448" s="19" t="s">
        <v>0</v>
      </c>
      <c r="G448" s="20" t="s">
        <v>452</v>
      </c>
      <c r="H448" s="36">
        <v>35900</v>
      </c>
      <c r="I448" s="36">
        <v>32900</v>
      </c>
      <c r="J448" s="25">
        <v>302100</v>
      </c>
    </row>
    <row r="449" spans="1:10" ht="16" x14ac:dyDescent="0.45">
      <c r="A449" s="153" t="str">
        <f>B449&amp;C449&amp;E449&amp;G449</f>
        <v>청정기멀티액션34M(4개월점검주기)</v>
      </c>
      <c r="B449" s="17" t="s">
        <v>143</v>
      </c>
      <c r="C449" s="18" t="s">
        <v>759</v>
      </c>
      <c r="D449" s="19" t="s">
        <v>154</v>
      </c>
      <c r="E449" s="19">
        <v>3</v>
      </c>
      <c r="F449" s="19" t="s">
        <v>1</v>
      </c>
      <c r="G449" s="20" t="s">
        <v>453</v>
      </c>
      <c r="H449" s="36">
        <v>37900</v>
      </c>
      <c r="I449" s="36">
        <v>34900</v>
      </c>
      <c r="J449" s="25">
        <v>251500</v>
      </c>
    </row>
    <row r="450" spans="1:10" ht="16" x14ac:dyDescent="0.45">
      <c r="A450" s="153" t="str">
        <f>B450&amp;C450&amp;E450&amp;G450</f>
        <v>청정기멀티액션54M(4개월점검주기)</v>
      </c>
      <c r="B450" s="17" t="s">
        <v>143</v>
      </c>
      <c r="C450" s="18" t="s">
        <v>759</v>
      </c>
      <c r="D450" s="19" t="s">
        <v>154</v>
      </c>
      <c r="E450" s="19">
        <v>5</v>
      </c>
      <c r="F450" s="19" t="s">
        <v>0</v>
      </c>
      <c r="G450" s="20" t="s">
        <v>453</v>
      </c>
      <c r="H450" s="36">
        <v>35900</v>
      </c>
      <c r="I450" s="36">
        <v>32900</v>
      </c>
      <c r="J450" s="25">
        <v>251500</v>
      </c>
    </row>
    <row r="451" spans="1:10" ht="16" x14ac:dyDescent="0.45">
      <c r="A451" s="153" t="str">
        <f>B451&amp;C451&amp;E451&amp;G451</f>
        <v>청정기멀티액션64M(4개월점검주기)</v>
      </c>
      <c r="B451" s="17" t="s">
        <v>143</v>
      </c>
      <c r="C451" s="18" t="s">
        <v>759</v>
      </c>
      <c r="D451" s="19" t="s">
        <v>154</v>
      </c>
      <c r="E451" s="19">
        <v>6</v>
      </c>
      <c r="F451" s="19" t="s">
        <v>0</v>
      </c>
      <c r="G451" s="20" t="s">
        <v>453</v>
      </c>
      <c r="H451" s="36">
        <v>34900</v>
      </c>
      <c r="I451" s="36">
        <v>31900</v>
      </c>
      <c r="J451" s="25">
        <v>289200</v>
      </c>
    </row>
    <row r="452" spans="1:10" ht="16" x14ac:dyDescent="0.45">
      <c r="A452" s="153" t="str">
        <f>B452&amp;C452&amp;E452&amp;G452</f>
        <v>청정기멀티액션74M(4개월점검주기)</v>
      </c>
      <c r="B452" s="17" t="s">
        <v>143</v>
      </c>
      <c r="C452" s="18" t="s">
        <v>759</v>
      </c>
      <c r="D452" s="19" t="s">
        <v>154</v>
      </c>
      <c r="E452" s="19">
        <v>7</v>
      </c>
      <c r="F452" s="19" t="s">
        <v>0</v>
      </c>
      <c r="G452" s="20" t="s">
        <v>453</v>
      </c>
      <c r="H452" s="36">
        <v>33900</v>
      </c>
      <c r="I452" s="36">
        <v>30900</v>
      </c>
      <c r="J452" s="25">
        <v>289200</v>
      </c>
    </row>
    <row r="453" spans="1:10" ht="16" x14ac:dyDescent="0.45">
      <c r="A453" s="153" t="str">
        <f>B453&amp;C453&amp;E453&amp;G453</f>
        <v>청정기멀티액션3자가관리</v>
      </c>
      <c r="B453" s="17" t="s">
        <v>143</v>
      </c>
      <c r="C453" s="18" t="s">
        <v>759</v>
      </c>
      <c r="D453" s="19" t="s">
        <v>154</v>
      </c>
      <c r="E453" s="19">
        <v>3</v>
      </c>
      <c r="F453" s="19" t="s">
        <v>1</v>
      </c>
      <c r="G453" s="20" t="s">
        <v>3</v>
      </c>
      <c r="H453" s="36">
        <v>34900</v>
      </c>
      <c r="I453" s="36">
        <v>31900</v>
      </c>
      <c r="J453" s="25">
        <v>240200</v>
      </c>
    </row>
    <row r="454" spans="1:10" ht="16" x14ac:dyDescent="0.45">
      <c r="A454" s="153" t="str">
        <f>B454&amp;C454&amp;E454&amp;G454</f>
        <v>청정기멀티액션5자가관리</v>
      </c>
      <c r="B454" s="17" t="s">
        <v>143</v>
      </c>
      <c r="C454" s="18" t="s">
        <v>759</v>
      </c>
      <c r="D454" s="19" t="s">
        <v>154</v>
      </c>
      <c r="E454" s="19">
        <v>5</v>
      </c>
      <c r="F454" s="19" t="s">
        <v>0</v>
      </c>
      <c r="G454" s="20" t="s">
        <v>3</v>
      </c>
      <c r="H454" s="36">
        <v>32900</v>
      </c>
      <c r="I454" s="36">
        <v>29900</v>
      </c>
      <c r="J454" s="25">
        <v>240200</v>
      </c>
    </row>
    <row r="455" spans="1:10" ht="16" x14ac:dyDescent="0.45">
      <c r="A455" s="153" t="str">
        <f>B455&amp;C455&amp;E455&amp;G455</f>
        <v>청정기멀티액션6자가관리</v>
      </c>
      <c r="B455" s="17" t="s">
        <v>143</v>
      </c>
      <c r="C455" s="18" t="s">
        <v>759</v>
      </c>
      <c r="D455" s="19" t="s">
        <v>154</v>
      </c>
      <c r="E455" s="19">
        <v>6</v>
      </c>
      <c r="F455" s="19" t="s">
        <v>0</v>
      </c>
      <c r="G455" s="20" t="s">
        <v>3</v>
      </c>
      <c r="H455" s="36">
        <v>31900</v>
      </c>
      <c r="I455" s="36">
        <v>28900</v>
      </c>
      <c r="J455" s="25">
        <v>276200</v>
      </c>
    </row>
    <row r="456" spans="1:10" ht="16" x14ac:dyDescent="0.45">
      <c r="A456" s="153" t="str">
        <f>B456&amp;C456&amp;E456&amp;G456</f>
        <v>청정기멀티액션7자가관리</v>
      </c>
      <c r="B456" s="17" t="s">
        <v>143</v>
      </c>
      <c r="C456" s="18" t="s">
        <v>759</v>
      </c>
      <c r="D456" s="19" t="s">
        <v>154</v>
      </c>
      <c r="E456" s="19">
        <v>7</v>
      </c>
      <c r="F456" s="19" t="s">
        <v>0</v>
      </c>
      <c r="G456" s="20" t="s">
        <v>3</v>
      </c>
      <c r="H456" s="36">
        <v>30900</v>
      </c>
      <c r="I456" s="36">
        <v>27900</v>
      </c>
      <c r="J456" s="25">
        <v>276200</v>
      </c>
    </row>
    <row r="457" spans="1:10" ht="16" x14ac:dyDescent="0.45">
      <c r="A457" s="153" t="str">
        <f>B457&amp;C457&amp;E457&amp;G457</f>
        <v>청정기벽걸이32M(2개월점검주기)</v>
      </c>
      <c r="B457" s="17" t="s">
        <v>143</v>
      </c>
      <c r="C457" s="18" t="s">
        <v>551</v>
      </c>
      <c r="D457" s="19" t="s">
        <v>148</v>
      </c>
      <c r="E457" s="19">
        <v>3</v>
      </c>
      <c r="F457" s="19" t="s">
        <v>1</v>
      </c>
      <c r="G457" s="20" t="s">
        <v>452</v>
      </c>
      <c r="H457" s="36">
        <v>30900</v>
      </c>
      <c r="I457" s="36">
        <v>30900</v>
      </c>
      <c r="J457" s="25">
        <v>240200</v>
      </c>
    </row>
    <row r="458" spans="1:10" ht="16" x14ac:dyDescent="0.45">
      <c r="A458" s="153" t="str">
        <f>B458&amp;C458&amp;E458&amp;G458</f>
        <v>청정기벽걸이52M(2개월점검주기)</v>
      </c>
      <c r="B458" s="17" t="s">
        <v>143</v>
      </c>
      <c r="C458" s="18" t="s">
        <v>551</v>
      </c>
      <c r="D458" s="19" t="s">
        <v>148</v>
      </c>
      <c r="E458" s="19">
        <v>5</v>
      </c>
      <c r="F458" s="19" t="s">
        <v>0</v>
      </c>
      <c r="G458" s="20" t="s">
        <v>452</v>
      </c>
      <c r="H458" s="36">
        <v>28900</v>
      </c>
      <c r="I458" s="36">
        <v>28900</v>
      </c>
      <c r="J458" s="25">
        <v>240200</v>
      </c>
    </row>
    <row r="459" spans="1:10" ht="16" x14ac:dyDescent="0.45">
      <c r="A459" s="153" t="str">
        <f>B459&amp;C459&amp;E459&amp;G459</f>
        <v>청정기벽걸이32M(2개월점검주기)</v>
      </c>
      <c r="B459" s="17" t="s">
        <v>143</v>
      </c>
      <c r="C459" s="18" t="s">
        <v>551</v>
      </c>
      <c r="D459" s="19" t="s">
        <v>468</v>
      </c>
      <c r="E459" s="19">
        <v>3</v>
      </c>
      <c r="F459" s="19" t="s">
        <v>1</v>
      </c>
      <c r="G459" s="20" t="s">
        <v>452</v>
      </c>
      <c r="H459" s="36">
        <v>30900</v>
      </c>
      <c r="I459" s="36">
        <v>29900</v>
      </c>
      <c r="J459" s="25">
        <v>231600</v>
      </c>
    </row>
    <row r="460" spans="1:10" ht="16" x14ac:dyDescent="0.45">
      <c r="A460" s="153" t="str">
        <f>B460&amp;C460&amp;E460&amp;G460</f>
        <v>청정기벽걸이52M(2개월점검주기)</v>
      </c>
      <c r="B460" s="17" t="s">
        <v>143</v>
      </c>
      <c r="C460" s="18" t="s">
        <v>551</v>
      </c>
      <c r="D460" s="19" t="s">
        <v>468</v>
      </c>
      <c r="E460" s="19">
        <v>5</v>
      </c>
      <c r="F460" s="19" t="s">
        <v>0</v>
      </c>
      <c r="G460" s="20" t="s">
        <v>452</v>
      </c>
      <c r="H460" s="36">
        <v>28900</v>
      </c>
      <c r="I460" s="36">
        <v>27900</v>
      </c>
      <c r="J460" s="25">
        <v>231600</v>
      </c>
    </row>
    <row r="461" spans="1:10" ht="16" x14ac:dyDescent="0.45">
      <c r="A461" s="153" t="str">
        <f>B461&amp;C461&amp;E461&amp;G461</f>
        <v>청정기벽걸이32M(2개월점검주기)</v>
      </c>
      <c r="B461" s="17" t="s">
        <v>143</v>
      </c>
      <c r="C461" s="18" t="s">
        <v>551</v>
      </c>
      <c r="D461" s="19" t="s">
        <v>145</v>
      </c>
      <c r="E461" s="19">
        <v>3</v>
      </c>
      <c r="F461" s="19" t="s">
        <v>1</v>
      </c>
      <c r="G461" s="20" t="s">
        <v>452</v>
      </c>
      <c r="H461" s="36">
        <v>53900</v>
      </c>
      <c r="I461" s="36">
        <v>53900</v>
      </c>
      <c r="J461" s="25">
        <v>307700</v>
      </c>
    </row>
    <row r="462" spans="1:10" ht="16" x14ac:dyDescent="0.45">
      <c r="A462" s="153" t="str">
        <f>B462&amp;C462&amp;E462&amp;G462</f>
        <v>청정기벽걸이52M(2개월점검주기)</v>
      </c>
      <c r="B462" s="17" t="s">
        <v>143</v>
      </c>
      <c r="C462" s="18" t="s">
        <v>551</v>
      </c>
      <c r="D462" s="19" t="s">
        <v>145</v>
      </c>
      <c r="E462" s="19">
        <v>5</v>
      </c>
      <c r="F462" s="19" t="s">
        <v>0</v>
      </c>
      <c r="G462" s="20" t="s">
        <v>452</v>
      </c>
      <c r="H462" s="36">
        <v>51900</v>
      </c>
      <c r="I462" s="36">
        <v>51900</v>
      </c>
      <c r="J462" s="25">
        <v>307700</v>
      </c>
    </row>
    <row r="463" spans="1:10" ht="16" x14ac:dyDescent="0.45">
      <c r="A463" s="153" t="str">
        <f>B463&amp;C463&amp;E463&amp;G463</f>
        <v>청정기스퀘어핏32M(2개월점검주기)</v>
      </c>
      <c r="B463" s="17" t="s">
        <v>917</v>
      </c>
      <c r="C463" s="18" t="s">
        <v>918</v>
      </c>
      <c r="D463" s="19" t="s">
        <v>921</v>
      </c>
      <c r="E463" s="19">
        <v>3</v>
      </c>
      <c r="F463" s="19" t="s">
        <v>1</v>
      </c>
      <c r="G463" s="20" t="s">
        <v>452</v>
      </c>
      <c r="H463" s="36">
        <v>28900</v>
      </c>
      <c r="I463" s="36">
        <v>25900</v>
      </c>
      <c r="J463" s="25">
        <v>220300</v>
      </c>
    </row>
    <row r="464" spans="1:10" ht="16" x14ac:dyDescent="0.45">
      <c r="A464" s="153" t="str">
        <f>B464&amp;C464&amp;E464&amp;G464</f>
        <v>청정기스퀘어핏52M(2개월점검주기)</v>
      </c>
      <c r="B464" s="17" t="s">
        <v>917</v>
      </c>
      <c r="C464" s="18" t="s">
        <v>918</v>
      </c>
      <c r="D464" s="19" t="s">
        <v>921</v>
      </c>
      <c r="E464" s="19">
        <v>5</v>
      </c>
      <c r="F464" s="19" t="s">
        <v>0</v>
      </c>
      <c r="G464" s="20" t="s">
        <v>452</v>
      </c>
      <c r="H464" s="36">
        <v>26400</v>
      </c>
      <c r="I464" s="36">
        <v>23400</v>
      </c>
      <c r="J464" s="25">
        <v>220300</v>
      </c>
    </row>
    <row r="465" spans="1:10" ht="16" x14ac:dyDescent="0.45">
      <c r="A465" s="153" t="str">
        <f>B465&amp;C465&amp;E465&amp;G465</f>
        <v>청정기스퀘어핏62M(2개월점검주기)</v>
      </c>
      <c r="B465" s="17" t="s">
        <v>917</v>
      </c>
      <c r="C465" s="18" t="s">
        <v>918</v>
      </c>
      <c r="D465" s="19" t="s">
        <v>921</v>
      </c>
      <c r="E465" s="19">
        <v>6</v>
      </c>
      <c r="F465" s="19" t="s">
        <v>0</v>
      </c>
      <c r="G465" s="20" t="s">
        <v>452</v>
      </c>
      <c r="H465" s="36">
        <v>24900</v>
      </c>
      <c r="I465" s="36">
        <v>21900</v>
      </c>
      <c r="J465" s="25">
        <v>253300</v>
      </c>
    </row>
    <row r="466" spans="1:10" ht="16" x14ac:dyDescent="0.45">
      <c r="A466" s="153" t="str">
        <f>B466&amp;C466&amp;E466&amp;G466</f>
        <v>청정기스퀘어핏72M(2개월점검주기)</v>
      </c>
      <c r="B466" s="17" t="s">
        <v>917</v>
      </c>
      <c r="C466" s="18" t="s">
        <v>918</v>
      </c>
      <c r="D466" s="19" t="s">
        <v>921</v>
      </c>
      <c r="E466" s="19">
        <v>7</v>
      </c>
      <c r="F466" s="19" t="s">
        <v>0</v>
      </c>
      <c r="G466" s="20" t="s">
        <v>452</v>
      </c>
      <c r="H466" s="36">
        <v>23400</v>
      </c>
      <c r="I466" s="36">
        <v>20400</v>
      </c>
      <c r="J466" s="25">
        <v>253300</v>
      </c>
    </row>
    <row r="467" spans="1:10" ht="16" x14ac:dyDescent="0.45">
      <c r="A467" s="153" t="str">
        <f>B467&amp;C467&amp;E467&amp;G467</f>
        <v>청정기스퀘어핏34M(4개월점검주기)</v>
      </c>
      <c r="B467" s="17" t="s">
        <v>917</v>
      </c>
      <c r="C467" s="18" t="s">
        <v>918</v>
      </c>
      <c r="D467" s="19" t="s">
        <v>921</v>
      </c>
      <c r="E467" s="19">
        <v>3</v>
      </c>
      <c r="F467" s="19" t="s">
        <v>1</v>
      </c>
      <c r="G467" s="20" t="s">
        <v>453</v>
      </c>
      <c r="H467" s="36">
        <v>26900</v>
      </c>
      <c r="I467" s="36">
        <v>23900</v>
      </c>
      <c r="J467" s="25">
        <v>209100</v>
      </c>
    </row>
    <row r="468" spans="1:10" ht="16" x14ac:dyDescent="0.45">
      <c r="A468" s="153" t="str">
        <f>B468&amp;C468&amp;E468&amp;G468</f>
        <v>청정기스퀘어핏54M(4개월점검주기)</v>
      </c>
      <c r="B468" s="17" t="s">
        <v>917</v>
      </c>
      <c r="C468" s="18" t="s">
        <v>918</v>
      </c>
      <c r="D468" s="19" t="s">
        <v>921</v>
      </c>
      <c r="E468" s="19">
        <v>5</v>
      </c>
      <c r="F468" s="19" t="s">
        <v>0</v>
      </c>
      <c r="G468" s="20" t="s">
        <v>453</v>
      </c>
      <c r="H468" s="36">
        <v>24400</v>
      </c>
      <c r="I468" s="36">
        <v>21400</v>
      </c>
      <c r="J468" s="25">
        <v>209100</v>
      </c>
    </row>
    <row r="469" spans="1:10" ht="16" x14ac:dyDescent="0.45">
      <c r="A469" s="153" t="str">
        <f>B469&amp;C469&amp;E469&amp;G469</f>
        <v>청정기스퀘어핏64M(4개월점검주기)</v>
      </c>
      <c r="B469" s="17" t="s">
        <v>917</v>
      </c>
      <c r="C469" s="18" t="s">
        <v>918</v>
      </c>
      <c r="D469" s="19" t="s">
        <v>921</v>
      </c>
      <c r="E469" s="19">
        <v>6</v>
      </c>
      <c r="F469" s="19" t="s">
        <v>0</v>
      </c>
      <c r="G469" s="20" t="s">
        <v>453</v>
      </c>
      <c r="H469" s="36">
        <v>22900</v>
      </c>
      <c r="I469" s="36">
        <v>19900</v>
      </c>
      <c r="J469" s="25">
        <v>240500</v>
      </c>
    </row>
    <row r="470" spans="1:10" ht="16" x14ac:dyDescent="0.45">
      <c r="A470" s="153" t="str">
        <f>B470&amp;C470&amp;E470&amp;G470</f>
        <v>청정기스퀘어핏74M(4개월점검주기)</v>
      </c>
      <c r="B470" s="17" t="s">
        <v>917</v>
      </c>
      <c r="C470" s="18" t="s">
        <v>918</v>
      </c>
      <c r="D470" s="19" t="s">
        <v>921</v>
      </c>
      <c r="E470" s="19">
        <v>7</v>
      </c>
      <c r="F470" s="19" t="s">
        <v>0</v>
      </c>
      <c r="G470" s="20" t="s">
        <v>453</v>
      </c>
      <c r="H470" s="36">
        <v>21400</v>
      </c>
      <c r="I470" s="36">
        <v>18400</v>
      </c>
      <c r="J470" s="25">
        <v>240500</v>
      </c>
    </row>
    <row r="471" spans="1:10" ht="16" x14ac:dyDescent="0.45">
      <c r="A471" s="153" t="str">
        <f>B471&amp;C471&amp;E471&amp;G471</f>
        <v>청정기스퀘어핏3자가관리</v>
      </c>
      <c r="B471" s="17" t="s">
        <v>917</v>
      </c>
      <c r="C471" s="18" t="s">
        <v>918</v>
      </c>
      <c r="D471" s="19" t="s">
        <v>921</v>
      </c>
      <c r="E471" s="19">
        <v>3</v>
      </c>
      <c r="F471" s="19" t="s">
        <v>1</v>
      </c>
      <c r="G471" s="20" t="s">
        <v>3</v>
      </c>
      <c r="H471" s="36">
        <v>24900</v>
      </c>
      <c r="I471" s="36">
        <v>21900</v>
      </c>
      <c r="J471" s="25">
        <v>197900</v>
      </c>
    </row>
    <row r="472" spans="1:10" ht="16" x14ac:dyDescent="0.45">
      <c r="A472" s="153" t="str">
        <f>B472&amp;C472&amp;E472&amp;G472</f>
        <v>청정기스퀘어핏5자가관리</v>
      </c>
      <c r="B472" s="17" t="s">
        <v>917</v>
      </c>
      <c r="C472" s="18" t="s">
        <v>918</v>
      </c>
      <c r="D472" s="19" t="s">
        <v>921</v>
      </c>
      <c r="E472" s="19">
        <v>5</v>
      </c>
      <c r="F472" s="19" t="s">
        <v>0</v>
      </c>
      <c r="G472" s="20" t="s">
        <v>3</v>
      </c>
      <c r="H472" s="36">
        <v>22400</v>
      </c>
      <c r="I472" s="36">
        <v>19400</v>
      </c>
      <c r="J472" s="25">
        <v>197900</v>
      </c>
    </row>
    <row r="473" spans="1:10" ht="16" x14ac:dyDescent="0.45">
      <c r="A473" s="153" t="str">
        <f>B473&amp;C473&amp;E473&amp;G473</f>
        <v>청정기스퀘어핏6자가관리</v>
      </c>
      <c r="B473" s="17" t="s">
        <v>917</v>
      </c>
      <c r="C473" s="18" t="s">
        <v>918</v>
      </c>
      <c r="D473" s="19" t="s">
        <v>921</v>
      </c>
      <c r="E473" s="19">
        <v>6</v>
      </c>
      <c r="F473" s="19" t="s">
        <v>0</v>
      </c>
      <c r="G473" s="20" t="s">
        <v>3</v>
      </c>
      <c r="H473" s="36">
        <v>20900</v>
      </c>
      <c r="I473" s="36">
        <v>17900</v>
      </c>
      <c r="J473" s="25">
        <v>227600</v>
      </c>
    </row>
    <row r="474" spans="1:10" ht="16" x14ac:dyDescent="0.45">
      <c r="A474" s="153" t="str">
        <f>B474&amp;C474&amp;E474&amp;G474</f>
        <v>청정기스퀘어핏7자가관리</v>
      </c>
      <c r="B474" s="17" t="s">
        <v>917</v>
      </c>
      <c r="C474" s="18" t="s">
        <v>918</v>
      </c>
      <c r="D474" s="19" t="s">
        <v>921</v>
      </c>
      <c r="E474" s="19">
        <v>7</v>
      </c>
      <c r="F474" s="19" t="s">
        <v>0</v>
      </c>
      <c r="G474" s="20" t="s">
        <v>3</v>
      </c>
      <c r="H474" s="36">
        <v>19400</v>
      </c>
      <c r="I474" s="36">
        <v>16400</v>
      </c>
      <c r="J474" s="25">
        <v>227600</v>
      </c>
    </row>
    <row r="475" spans="1:10" ht="16" x14ac:dyDescent="0.45">
      <c r="A475" s="153" t="str">
        <f>B475&amp;C475&amp;E475&amp;G475</f>
        <v>청정기스퀘어핏32M(2개월점검주기)</v>
      </c>
      <c r="B475" s="17" t="s">
        <v>143</v>
      </c>
      <c r="C475" s="18" t="s">
        <v>918</v>
      </c>
      <c r="D475" s="19" t="s">
        <v>1068</v>
      </c>
      <c r="E475" s="19">
        <v>3</v>
      </c>
      <c r="F475" s="19" t="s">
        <v>1</v>
      </c>
      <c r="G475" s="20" t="s">
        <v>452</v>
      </c>
      <c r="H475" s="36">
        <v>31900</v>
      </c>
      <c r="I475" s="36">
        <v>28900</v>
      </c>
      <c r="J475" s="25">
        <v>231600</v>
      </c>
    </row>
    <row r="476" spans="1:10" ht="16" x14ac:dyDescent="0.45">
      <c r="A476" s="153" t="str">
        <f>B476&amp;C476&amp;E476&amp;G476</f>
        <v>청정기스퀘어핏52M(2개월점검주기)</v>
      </c>
      <c r="B476" s="17" t="s">
        <v>143</v>
      </c>
      <c r="C476" s="18" t="s">
        <v>918</v>
      </c>
      <c r="D476" s="19" t="s">
        <v>1068</v>
      </c>
      <c r="E476" s="19">
        <v>5</v>
      </c>
      <c r="F476" s="19" t="s">
        <v>0</v>
      </c>
      <c r="G476" s="20" t="s">
        <v>452</v>
      </c>
      <c r="H476" s="36">
        <v>29400</v>
      </c>
      <c r="I476" s="36">
        <v>26400</v>
      </c>
      <c r="J476" s="25">
        <v>231600</v>
      </c>
    </row>
    <row r="477" spans="1:10" ht="16" x14ac:dyDescent="0.45">
      <c r="A477" s="153" t="str">
        <f>B477&amp;C477&amp;E477&amp;G477</f>
        <v>청정기스퀘어핏62M(2개월점검주기)</v>
      </c>
      <c r="B477" s="17" t="s">
        <v>143</v>
      </c>
      <c r="C477" s="18" t="s">
        <v>918</v>
      </c>
      <c r="D477" s="19" t="s">
        <v>1068</v>
      </c>
      <c r="E477" s="19">
        <v>6</v>
      </c>
      <c r="F477" s="19" t="s">
        <v>0</v>
      </c>
      <c r="G477" s="20" t="s">
        <v>452</v>
      </c>
      <c r="H477" s="36">
        <v>27900</v>
      </c>
      <c r="I477" s="36">
        <v>24900</v>
      </c>
      <c r="J477" s="25">
        <v>266300</v>
      </c>
    </row>
    <row r="478" spans="1:10" ht="16" x14ac:dyDescent="0.45">
      <c r="A478" s="153" t="str">
        <f>B478&amp;C478&amp;E478&amp;G478</f>
        <v>청정기스퀘어핏72M(2개월점검주기)</v>
      </c>
      <c r="B478" s="17" t="s">
        <v>143</v>
      </c>
      <c r="C478" s="18" t="s">
        <v>918</v>
      </c>
      <c r="D478" s="19" t="s">
        <v>1068</v>
      </c>
      <c r="E478" s="19">
        <v>7</v>
      </c>
      <c r="F478" s="19" t="s">
        <v>0</v>
      </c>
      <c r="G478" s="20" t="s">
        <v>452</v>
      </c>
      <c r="H478" s="36">
        <v>26400</v>
      </c>
      <c r="I478" s="36">
        <v>23400</v>
      </c>
      <c r="J478" s="25">
        <v>266300</v>
      </c>
    </row>
    <row r="479" spans="1:10" ht="15.65" customHeight="1" x14ac:dyDescent="0.45">
      <c r="A479" s="153" t="str">
        <f>B479&amp;C479&amp;E479&amp;G479</f>
        <v>청정기스퀘어핏34M(4개월점검주기)</v>
      </c>
      <c r="B479" s="17" t="s">
        <v>143</v>
      </c>
      <c r="C479" s="18" t="s">
        <v>918</v>
      </c>
      <c r="D479" s="19" t="s">
        <v>1068</v>
      </c>
      <c r="E479" s="19">
        <v>3</v>
      </c>
      <c r="F479" s="19" t="s">
        <v>1</v>
      </c>
      <c r="G479" s="20" t="s">
        <v>453</v>
      </c>
      <c r="H479" s="36">
        <v>29900</v>
      </c>
      <c r="I479" s="36">
        <v>26900</v>
      </c>
      <c r="J479" s="25">
        <v>220300</v>
      </c>
    </row>
    <row r="480" spans="1:10" ht="16" x14ac:dyDescent="0.45">
      <c r="A480" s="153" t="str">
        <f>B480&amp;C480&amp;E480&amp;G480</f>
        <v>청정기스퀘어핏54M(4개월점검주기)</v>
      </c>
      <c r="B480" s="17" t="s">
        <v>143</v>
      </c>
      <c r="C480" s="18" t="s">
        <v>918</v>
      </c>
      <c r="D480" s="19" t="s">
        <v>1068</v>
      </c>
      <c r="E480" s="19">
        <v>5</v>
      </c>
      <c r="F480" s="19" t="s">
        <v>0</v>
      </c>
      <c r="G480" s="20" t="s">
        <v>453</v>
      </c>
      <c r="H480" s="36">
        <v>27400</v>
      </c>
      <c r="I480" s="36">
        <v>24400</v>
      </c>
      <c r="J480" s="25">
        <v>220300</v>
      </c>
    </row>
    <row r="481" spans="1:10" ht="16" x14ac:dyDescent="0.45">
      <c r="A481" s="153" t="str">
        <f>B481&amp;C481&amp;E481&amp;G481</f>
        <v>청정기스퀘어핏64M(4개월점검주기)</v>
      </c>
      <c r="B481" s="17" t="s">
        <v>143</v>
      </c>
      <c r="C481" s="18" t="s">
        <v>918</v>
      </c>
      <c r="D481" s="19" t="s">
        <v>1068</v>
      </c>
      <c r="E481" s="19">
        <v>6</v>
      </c>
      <c r="F481" s="19" t="s">
        <v>0</v>
      </c>
      <c r="G481" s="20" t="s">
        <v>453</v>
      </c>
      <c r="H481" s="36">
        <v>25900</v>
      </c>
      <c r="I481" s="36">
        <v>22900</v>
      </c>
      <c r="J481" s="25">
        <v>253300</v>
      </c>
    </row>
    <row r="482" spans="1:10" ht="16" x14ac:dyDescent="0.45">
      <c r="A482" s="153" t="str">
        <f>B482&amp;C482&amp;E482&amp;G482</f>
        <v>청정기스퀘어핏74M(4개월점검주기)</v>
      </c>
      <c r="B482" s="17" t="s">
        <v>143</v>
      </c>
      <c r="C482" s="18" t="s">
        <v>918</v>
      </c>
      <c r="D482" s="19" t="s">
        <v>1068</v>
      </c>
      <c r="E482" s="19">
        <v>7</v>
      </c>
      <c r="F482" s="19" t="s">
        <v>0</v>
      </c>
      <c r="G482" s="20" t="s">
        <v>453</v>
      </c>
      <c r="H482" s="36">
        <v>24400</v>
      </c>
      <c r="I482" s="36">
        <v>21400</v>
      </c>
      <c r="J482" s="25">
        <v>253300</v>
      </c>
    </row>
    <row r="483" spans="1:10" ht="16" x14ac:dyDescent="0.45">
      <c r="A483" s="153" t="str">
        <f>B483&amp;C483&amp;E483&amp;G483</f>
        <v>청정기스퀘어핏3자가관리</v>
      </c>
      <c r="B483" s="17" t="s">
        <v>143</v>
      </c>
      <c r="C483" s="18" t="s">
        <v>918</v>
      </c>
      <c r="D483" s="19" t="s">
        <v>1068</v>
      </c>
      <c r="E483" s="19">
        <v>3</v>
      </c>
      <c r="F483" s="19" t="s">
        <v>1</v>
      </c>
      <c r="G483" s="20" t="s">
        <v>3</v>
      </c>
      <c r="H483" s="36">
        <v>27900</v>
      </c>
      <c r="I483" s="36">
        <v>24900</v>
      </c>
      <c r="J483" s="25">
        <v>209100</v>
      </c>
    </row>
    <row r="484" spans="1:10" ht="16" x14ac:dyDescent="0.45">
      <c r="A484" s="153" t="str">
        <f>B484&amp;C484&amp;E484&amp;G484</f>
        <v>청정기스퀘어핏5자가관리</v>
      </c>
      <c r="B484" s="17" t="s">
        <v>143</v>
      </c>
      <c r="C484" s="18" t="s">
        <v>918</v>
      </c>
      <c r="D484" s="19" t="s">
        <v>1068</v>
      </c>
      <c r="E484" s="19">
        <v>5</v>
      </c>
      <c r="F484" s="19" t="s">
        <v>0</v>
      </c>
      <c r="G484" s="20" t="s">
        <v>3</v>
      </c>
      <c r="H484" s="36">
        <v>25400</v>
      </c>
      <c r="I484" s="36">
        <v>22400</v>
      </c>
      <c r="J484" s="25">
        <v>209100</v>
      </c>
    </row>
    <row r="485" spans="1:10" ht="16" x14ac:dyDescent="0.45">
      <c r="A485" s="153" t="str">
        <f>B485&amp;C485&amp;E485&amp;G485</f>
        <v>청정기스퀘어핏6자가관리</v>
      </c>
      <c r="B485" s="17" t="s">
        <v>143</v>
      </c>
      <c r="C485" s="18" t="s">
        <v>918</v>
      </c>
      <c r="D485" s="19" t="s">
        <v>1068</v>
      </c>
      <c r="E485" s="19">
        <v>6</v>
      </c>
      <c r="F485" s="19" t="s">
        <v>0</v>
      </c>
      <c r="G485" s="20" t="s">
        <v>3</v>
      </c>
      <c r="H485" s="36">
        <v>23900</v>
      </c>
      <c r="I485" s="36">
        <v>20900</v>
      </c>
      <c r="J485" s="25">
        <v>240500</v>
      </c>
    </row>
    <row r="486" spans="1:10" ht="16" x14ac:dyDescent="0.45">
      <c r="A486" s="153" t="str">
        <f>B486&amp;C486&amp;E486&amp;G486</f>
        <v>청정기스퀘어핏7자가관리</v>
      </c>
      <c r="B486" s="17" t="s">
        <v>143</v>
      </c>
      <c r="C486" s="18" t="s">
        <v>918</v>
      </c>
      <c r="D486" s="19" t="s">
        <v>1068</v>
      </c>
      <c r="E486" s="19">
        <v>7</v>
      </c>
      <c r="F486" s="19" t="s">
        <v>0</v>
      </c>
      <c r="G486" s="20" t="s">
        <v>3</v>
      </c>
      <c r="H486" s="36">
        <v>22400</v>
      </c>
      <c r="I486" s="36">
        <v>19400</v>
      </c>
      <c r="J486" s="25">
        <v>240500</v>
      </c>
    </row>
    <row r="487" spans="1:10" ht="16" x14ac:dyDescent="0.45">
      <c r="A487" s="153" t="str">
        <f>B487&amp;C487&amp;E487&amp;G487</f>
        <v>청정기스퀘어핏32M(2개월점검주기)</v>
      </c>
      <c r="B487" s="17" t="s">
        <v>143</v>
      </c>
      <c r="C487" s="18" t="s">
        <v>918</v>
      </c>
      <c r="D487" s="19" t="s">
        <v>1069</v>
      </c>
      <c r="E487" s="19">
        <v>3</v>
      </c>
      <c r="F487" s="19" t="s">
        <v>1</v>
      </c>
      <c r="G487" s="20" t="s">
        <v>452</v>
      </c>
      <c r="H487" s="36">
        <v>34900</v>
      </c>
      <c r="I487" s="36">
        <v>31900</v>
      </c>
      <c r="J487" s="25">
        <v>240200</v>
      </c>
    </row>
    <row r="488" spans="1:10" ht="16" x14ac:dyDescent="0.45">
      <c r="A488" s="153" t="str">
        <f>B488&amp;C488&amp;E488&amp;G488</f>
        <v>청정기스퀘어핏52M(2개월점검주기)</v>
      </c>
      <c r="B488" s="17" t="s">
        <v>143</v>
      </c>
      <c r="C488" s="18" t="s">
        <v>918</v>
      </c>
      <c r="D488" s="19" t="s">
        <v>1069</v>
      </c>
      <c r="E488" s="19">
        <v>5</v>
      </c>
      <c r="F488" s="19" t="s">
        <v>0</v>
      </c>
      <c r="G488" s="20" t="s">
        <v>452</v>
      </c>
      <c r="H488" s="36">
        <v>32400</v>
      </c>
      <c r="I488" s="36">
        <v>29400</v>
      </c>
      <c r="J488" s="25">
        <v>240200</v>
      </c>
    </row>
    <row r="489" spans="1:10" ht="16" x14ac:dyDescent="0.45">
      <c r="A489" s="153" t="str">
        <f>B489&amp;C489&amp;E489&amp;G489</f>
        <v>청정기스퀘어핏62M(2개월점검주기)</v>
      </c>
      <c r="B489" s="17" t="s">
        <v>143</v>
      </c>
      <c r="C489" s="18" t="s">
        <v>918</v>
      </c>
      <c r="D489" s="19" t="s">
        <v>1069</v>
      </c>
      <c r="E489" s="19">
        <v>6</v>
      </c>
      <c r="F489" s="19" t="s">
        <v>0</v>
      </c>
      <c r="G489" s="20" t="s">
        <v>452</v>
      </c>
      <c r="H489" s="36">
        <v>30900</v>
      </c>
      <c r="I489" s="36">
        <v>27900</v>
      </c>
      <c r="J489" s="25">
        <v>276200</v>
      </c>
    </row>
    <row r="490" spans="1:10" ht="16" x14ac:dyDescent="0.45">
      <c r="A490" s="153" t="str">
        <f>B490&amp;C490&amp;E490&amp;G490</f>
        <v>청정기스퀘어핏72M(2개월점검주기)</v>
      </c>
      <c r="B490" s="17" t="s">
        <v>143</v>
      </c>
      <c r="C490" s="18" t="s">
        <v>918</v>
      </c>
      <c r="D490" s="19" t="s">
        <v>1069</v>
      </c>
      <c r="E490" s="19">
        <v>7</v>
      </c>
      <c r="F490" s="19" t="s">
        <v>0</v>
      </c>
      <c r="G490" s="20" t="s">
        <v>452</v>
      </c>
      <c r="H490" s="36">
        <v>29400</v>
      </c>
      <c r="I490" s="36">
        <v>26400</v>
      </c>
      <c r="J490" s="25">
        <v>276200</v>
      </c>
    </row>
    <row r="491" spans="1:10" ht="16" x14ac:dyDescent="0.45">
      <c r="A491" s="153" t="str">
        <f>B491&amp;C491&amp;E491&amp;G491</f>
        <v>청정기스퀘어핏34M(4개월점검주기)</v>
      </c>
      <c r="B491" s="17" t="s">
        <v>143</v>
      </c>
      <c r="C491" s="18" t="s">
        <v>918</v>
      </c>
      <c r="D491" s="19" t="s">
        <v>1069</v>
      </c>
      <c r="E491" s="19">
        <v>3</v>
      </c>
      <c r="F491" s="19" t="s">
        <v>1</v>
      </c>
      <c r="G491" s="20" t="s">
        <v>453</v>
      </c>
      <c r="H491" s="36">
        <v>32900</v>
      </c>
      <c r="I491" s="36">
        <v>29900</v>
      </c>
      <c r="J491" s="25">
        <v>231600</v>
      </c>
    </row>
    <row r="492" spans="1:10" ht="16" x14ac:dyDescent="0.45">
      <c r="A492" s="153" t="str">
        <f>B492&amp;C492&amp;E492&amp;G492</f>
        <v>청정기스퀘어핏54M(4개월점검주기)</v>
      </c>
      <c r="B492" s="17" t="s">
        <v>143</v>
      </c>
      <c r="C492" s="18" t="s">
        <v>918</v>
      </c>
      <c r="D492" s="19" t="s">
        <v>1069</v>
      </c>
      <c r="E492" s="19">
        <v>5</v>
      </c>
      <c r="F492" s="19" t="s">
        <v>0</v>
      </c>
      <c r="G492" s="20" t="s">
        <v>453</v>
      </c>
      <c r="H492" s="36">
        <v>30400</v>
      </c>
      <c r="I492" s="36">
        <v>27400</v>
      </c>
      <c r="J492" s="25">
        <v>231600</v>
      </c>
    </row>
    <row r="493" spans="1:10" ht="16" x14ac:dyDescent="0.45">
      <c r="A493" s="153" t="str">
        <f>B493&amp;C493&amp;E493&amp;G493</f>
        <v>청정기스퀘어핏64M(4개월점검주기)</v>
      </c>
      <c r="B493" s="17" t="s">
        <v>143</v>
      </c>
      <c r="C493" s="18" t="s">
        <v>918</v>
      </c>
      <c r="D493" s="19" t="s">
        <v>1069</v>
      </c>
      <c r="E493" s="19">
        <v>6</v>
      </c>
      <c r="F493" s="19" t="s">
        <v>0</v>
      </c>
      <c r="G493" s="20" t="s">
        <v>453</v>
      </c>
      <c r="H493" s="36">
        <v>28900</v>
      </c>
      <c r="I493" s="36">
        <v>25900</v>
      </c>
      <c r="J493" s="25">
        <v>266300</v>
      </c>
    </row>
    <row r="494" spans="1:10" ht="16" x14ac:dyDescent="0.45">
      <c r="A494" s="153" t="str">
        <f>B494&amp;C494&amp;E494&amp;G494</f>
        <v>청정기스퀘어핏74M(4개월점검주기)</v>
      </c>
      <c r="B494" s="17" t="s">
        <v>143</v>
      </c>
      <c r="C494" s="18" t="s">
        <v>918</v>
      </c>
      <c r="D494" s="19" t="s">
        <v>1069</v>
      </c>
      <c r="E494" s="19">
        <v>7</v>
      </c>
      <c r="F494" s="19" t="s">
        <v>0</v>
      </c>
      <c r="G494" s="20" t="s">
        <v>453</v>
      </c>
      <c r="H494" s="36">
        <v>27400</v>
      </c>
      <c r="I494" s="36">
        <v>24400</v>
      </c>
      <c r="J494" s="25">
        <v>266300</v>
      </c>
    </row>
    <row r="495" spans="1:10" ht="16" x14ac:dyDescent="0.45">
      <c r="A495" s="153" t="str">
        <f>B495&amp;C495&amp;E495&amp;G495</f>
        <v>청정기스퀘어핏3자가관리</v>
      </c>
      <c r="B495" s="17" t="s">
        <v>143</v>
      </c>
      <c r="C495" s="18" t="s">
        <v>918</v>
      </c>
      <c r="D495" s="19" t="s">
        <v>1069</v>
      </c>
      <c r="E495" s="19">
        <v>3</v>
      </c>
      <c r="F495" s="19" t="s">
        <v>1</v>
      </c>
      <c r="G495" s="20" t="s">
        <v>3</v>
      </c>
      <c r="H495" s="36">
        <v>30900</v>
      </c>
      <c r="I495" s="36">
        <v>27900</v>
      </c>
      <c r="J495" s="25">
        <v>231600</v>
      </c>
    </row>
    <row r="496" spans="1:10" ht="16" x14ac:dyDescent="0.45">
      <c r="A496" s="153" t="str">
        <f>B496&amp;C496&amp;E496&amp;G496</f>
        <v>청정기스퀘어핏5자가관리</v>
      </c>
      <c r="B496" s="17" t="s">
        <v>143</v>
      </c>
      <c r="C496" s="18" t="s">
        <v>918</v>
      </c>
      <c r="D496" s="19" t="s">
        <v>1069</v>
      </c>
      <c r="E496" s="19">
        <v>5</v>
      </c>
      <c r="F496" s="19" t="s">
        <v>0</v>
      </c>
      <c r="G496" s="20" t="s">
        <v>3</v>
      </c>
      <c r="H496" s="36">
        <v>28400</v>
      </c>
      <c r="I496" s="36">
        <v>25400</v>
      </c>
      <c r="J496" s="25">
        <v>231600</v>
      </c>
    </row>
    <row r="497" spans="1:10" ht="16" x14ac:dyDescent="0.45">
      <c r="A497" s="153" t="str">
        <f>B497&amp;C497&amp;E497&amp;G497</f>
        <v>청정기스퀘어핏6자가관리</v>
      </c>
      <c r="B497" s="17" t="s">
        <v>143</v>
      </c>
      <c r="C497" s="18" t="s">
        <v>918</v>
      </c>
      <c r="D497" s="19" t="s">
        <v>1069</v>
      </c>
      <c r="E497" s="19">
        <v>6</v>
      </c>
      <c r="F497" s="19" t="s">
        <v>0</v>
      </c>
      <c r="G497" s="20" t="s">
        <v>3</v>
      </c>
      <c r="H497" s="36">
        <v>26900</v>
      </c>
      <c r="I497" s="36">
        <v>23900</v>
      </c>
      <c r="J497" s="25">
        <v>266300</v>
      </c>
    </row>
    <row r="498" spans="1:10" ht="16" x14ac:dyDescent="0.45">
      <c r="A498" s="153" t="str">
        <f>B498&amp;C498&amp;E498&amp;G498</f>
        <v>청정기스퀘어핏7자가관리</v>
      </c>
      <c r="B498" s="17" t="s">
        <v>143</v>
      </c>
      <c r="C498" s="18" t="s">
        <v>918</v>
      </c>
      <c r="D498" s="19" t="s">
        <v>1069</v>
      </c>
      <c r="E498" s="19">
        <v>7</v>
      </c>
      <c r="F498" s="19" t="s">
        <v>0</v>
      </c>
      <c r="G498" s="20" t="s">
        <v>3</v>
      </c>
      <c r="H498" s="36">
        <v>25400</v>
      </c>
      <c r="I498" s="36">
        <v>22400</v>
      </c>
      <c r="J498" s="25">
        <v>266300</v>
      </c>
    </row>
    <row r="499" spans="1:10" ht="16" x14ac:dyDescent="0.45">
      <c r="A499" s="153" t="str">
        <f>B499&amp;C499&amp;E499&amp;G499</f>
        <v>청정기스퀘어핏32M(2개월점검주기)</v>
      </c>
      <c r="B499" s="17" t="s">
        <v>917</v>
      </c>
      <c r="C499" s="18" t="s">
        <v>918</v>
      </c>
      <c r="D499" s="19" t="s">
        <v>920</v>
      </c>
      <c r="E499" s="19">
        <v>3</v>
      </c>
      <c r="F499" s="19" t="s">
        <v>1</v>
      </c>
      <c r="G499" s="20" t="s">
        <v>452</v>
      </c>
      <c r="H499" s="36">
        <v>37900</v>
      </c>
      <c r="I499" s="36">
        <v>34900</v>
      </c>
      <c r="J499" s="25">
        <v>251500</v>
      </c>
    </row>
    <row r="500" spans="1:10" ht="16" x14ac:dyDescent="0.45">
      <c r="A500" s="153" t="str">
        <f>B500&amp;C500&amp;E500&amp;G500</f>
        <v>청정기스퀘어핏52M(2개월점검주기)</v>
      </c>
      <c r="B500" s="17" t="s">
        <v>917</v>
      </c>
      <c r="C500" s="18" t="s">
        <v>918</v>
      </c>
      <c r="D500" s="19" t="s">
        <v>920</v>
      </c>
      <c r="E500" s="19">
        <v>5</v>
      </c>
      <c r="F500" s="19" t="s">
        <v>0</v>
      </c>
      <c r="G500" s="20" t="s">
        <v>452</v>
      </c>
      <c r="H500" s="36">
        <v>35400</v>
      </c>
      <c r="I500" s="36">
        <v>32400</v>
      </c>
      <c r="J500" s="25">
        <v>251500</v>
      </c>
    </row>
    <row r="501" spans="1:10" ht="16" x14ac:dyDescent="0.45">
      <c r="A501" s="153" t="str">
        <f>B501&amp;C501&amp;E501&amp;G501</f>
        <v>청정기스퀘어핏62M(2개월점검주기)</v>
      </c>
      <c r="B501" s="17" t="s">
        <v>917</v>
      </c>
      <c r="C501" s="18" t="s">
        <v>918</v>
      </c>
      <c r="D501" s="19" t="s">
        <v>920</v>
      </c>
      <c r="E501" s="19">
        <v>6</v>
      </c>
      <c r="F501" s="19" t="s">
        <v>0</v>
      </c>
      <c r="G501" s="20" t="s">
        <v>452</v>
      </c>
      <c r="H501" s="36">
        <v>33900</v>
      </c>
      <c r="I501" s="36">
        <v>30900</v>
      </c>
      <c r="J501" s="25">
        <v>289200</v>
      </c>
    </row>
    <row r="502" spans="1:10" ht="16" x14ac:dyDescent="0.45">
      <c r="A502" s="153" t="str">
        <f>B502&amp;C502&amp;E502&amp;G502</f>
        <v>청정기스퀘어핏72M(2개월점검주기)</v>
      </c>
      <c r="B502" s="17" t="s">
        <v>917</v>
      </c>
      <c r="C502" s="18" t="s">
        <v>918</v>
      </c>
      <c r="D502" s="19" t="s">
        <v>920</v>
      </c>
      <c r="E502" s="19">
        <v>7</v>
      </c>
      <c r="F502" s="19" t="s">
        <v>0</v>
      </c>
      <c r="G502" s="20" t="s">
        <v>452</v>
      </c>
      <c r="H502" s="36">
        <v>32400</v>
      </c>
      <c r="I502" s="36">
        <v>29400</v>
      </c>
      <c r="J502" s="25">
        <v>289200</v>
      </c>
    </row>
    <row r="503" spans="1:10" ht="16" x14ac:dyDescent="0.45">
      <c r="A503" s="153" t="str">
        <f>B503&amp;C503&amp;E503&amp;G503</f>
        <v>청정기스퀘어핏34M(4개월점검주기)</v>
      </c>
      <c r="B503" s="17" t="s">
        <v>917</v>
      </c>
      <c r="C503" s="18" t="s">
        <v>918</v>
      </c>
      <c r="D503" s="19" t="s">
        <v>920</v>
      </c>
      <c r="E503" s="19">
        <v>3</v>
      </c>
      <c r="F503" s="19" t="s">
        <v>1</v>
      </c>
      <c r="G503" s="20" t="s">
        <v>453</v>
      </c>
      <c r="H503" s="36">
        <v>35900</v>
      </c>
      <c r="I503" s="36">
        <v>32900</v>
      </c>
      <c r="J503" s="25">
        <v>251500</v>
      </c>
    </row>
    <row r="504" spans="1:10" ht="16" x14ac:dyDescent="0.45">
      <c r="A504" s="153" t="str">
        <f>B504&amp;C504&amp;E504&amp;G504</f>
        <v>청정기스퀘어핏54M(4개월점검주기)</v>
      </c>
      <c r="B504" s="17" t="s">
        <v>917</v>
      </c>
      <c r="C504" s="18" t="s">
        <v>918</v>
      </c>
      <c r="D504" s="19" t="s">
        <v>920</v>
      </c>
      <c r="E504" s="19">
        <v>5</v>
      </c>
      <c r="F504" s="19" t="s">
        <v>0</v>
      </c>
      <c r="G504" s="20" t="s">
        <v>453</v>
      </c>
      <c r="H504" s="36">
        <v>33400</v>
      </c>
      <c r="I504" s="36">
        <v>30400</v>
      </c>
      <c r="J504" s="25">
        <v>251500</v>
      </c>
    </row>
    <row r="505" spans="1:10" ht="16" x14ac:dyDescent="0.45">
      <c r="A505" s="153" t="str">
        <f>B505&amp;C505&amp;E505&amp;G505</f>
        <v>청정기스퀘어핏64M(4개월점검주기)</v>
      </c>
      <c r="B505" s="17" t="s">
        <v>917</v>
      </c>
      <c r="C505" s="18" t="s">
        <v>918</v>
      </c>
      <c r="D505" s="19" t="s">
        <v>920</v>
      </c>
      <c r="E505" s="19">
        <v>6</v>
      </c>
      <c r="F505" s="19" t="s">
        <v>0</v>
      </c>
      <c r="G505" s="20" t="s">
        <v>453</v>
      </c>
      <c r="H505" s="36">
        <v>31900</v>
      </c>
      <c r="I505" s="36">
        <v>28900</v>
      </c>
      <c r="J505" s="25">
        <v>289200</v>
      </c>
    </row>
    <row r="506" spans="1:10" ht="16" x14ac:dyDescent="0.45">
      <c r="A506" s="153" t="str">
        <f>B506&amp;C506&amp;E506&amp;G506</f>
        <v>청정기스퀘어핏74M(4개월점검주기)</v>
      </c>
      <c r="B506" s="17" t="s">
        <v>917</v>
      </c>
      <c r="C506" s="18" t="s">
        <v>918</v>
      </c>
      <c r="D506" s="19" t="s">
        <v>920</v>
      </c>
      <c r="E506" s="19">
        <v>7</v>
      </c>
      <c r="F506" s="19" t="s">
        <v>0</v>
      </c>
      <c r="G506" s="20" t="s">
        <v>453</v>
      </c>
      <c r="H506" s="36">
        <v>30400</v>
      </c>
      <c r="I506" s="36">
        <v>27400</v>
      </c>
      <c r="J506" s="25">
        <v>289200</v>
      </c>
    </row>
    <row r="507" spans="1:10" ht="16" x14ac:dyDescent="0.45">
      <c r="A507" s="153" t="str">
        <f>B507&amp;C507&amp;E507&amp;G507</f>
        <v>청정기스퀘어핏3자가관리</v>
      </c>
      <c r="B507" s="17" t="s">
        <v>917</v>
      </c>
      <c r="C507" s="18" t="s">
        <v>918</v>
      </c>
      <c r="D507" s="19" t="s">
        <v>920</v>
      </c>
      <c r="E507" s="19">
        <v>3</v>
      </c>
      <c r="F507" s="19" t="s">
        <v>1</v>
      </c>
      <c r="G507" s="20" t="s">
        <v>3</v>
      </c>
      <c r="H507" s="36">
        <v>33900</v>
      </c>
      <c r="I507" s="36">
        <v>30900</v>
      </c>
      <c r="J507" s="25">
        <v>240200</v>
      </c>
    </row>
    <row r="508" spans="1:10" ht="16" x14ac:dyDescent="0.45">
      <c r="A508" s="153" t="str">
        <f>B508&amp;C508&amp;E508&amp;G508</f>
        <v>청정기스퀘어핏5자가관리</v>
      </c>
      <c r="B508" s="17" t="s">
        <v>917</v>
      </c>
      <c r="C508" s="18" t="s">
        <v>918</v>
      </c>
      <c r="D508" s="19" t="s">
        <v>920</v>
      </c>
      <c r="E508" s="19">
        <v>5</v>
      </c>
      <c r="F508" s="19" t="s">
        <v>0</v>
      </c>
      <c r="G508" s="20" t="s">
        <v>3</v>
      </c>
      <c r="H508" s="36">
        <v>31400</v>
      </c>
      <c r="I508" s="36">
        <v>28400</v>
      </c>
      <c r="J508" s="25">
        <v>240200</v>
      </c>
    </row>
    <row r="509" spans="1:10" ht="16" x14ac:dyDescent="0.45">
      <c r="A509" s="153" t="str">
        <f>B509&amp;C509&amp;E509&amp;G509</f>
        <v>청정기스퀘어핏6자가관리</v>
      </c>
      <c r="B509" s="17" t="s">
        <v>917</v>
      </c>
      <c r="C509" s="18" t="s">
        <v>918</v>
      </c>
      <c r="D509" s="19" t="s">
        <v>920</v>
      </c>
      <c r="E509" s="19">
        <v>6</v>
      </c>
      <c r="F509" s="19" t="s">
        <v>0</v>
      </c>
      <c r="G509" s="20" t="s">
        <v>3</v>
      </c>
      <c r="H509" s="36">
        <v>29900</v>
      </c>
      <c r="I509" s="36">
        <v>26900</v>
      </c>
      <c r="J509" s="25">
        <v>276200</v>
      </c>
    </row>
    <row r="510" spans="1:10" ht="16" x14ac:dyDescent="0.45">
      <c r="A510" s="153" t="str">
        <f>B510&amp;C510&amp;E510&amp;G510</f>
        <v>청정기스퀘어핏7자가관리</v>
      </c>
      <c r="B510" s="17" t="s">
        <v>917</v>
      </c>
      <c r="C510" s="18" t="s">
        <v>918</v>
      </c>
      <c r="D510" s="19" t="s">
        <v>920</v>
      </c>
      <c r="E510" s="19">
        <v>7</v>
      </c>
      <c r="F510" s="19" t="s">
        <v>0</v>
      </c>
      <c r="G510" s="20" t="s">
        <v>3</v>
      </c>
      <c r="H510" s="36">
        <v>28400</v>
      </c>
      <c r="I510" s="36">
        <v>25400</v>
      </c>
      <c r="J510" s="25">
        <v>276200</v>
      </c>
    </row>
    <row r="511" spans="1:10" ht="16" x14ac:dyDescent="0.45">
      <c r="A511" s="153" t="str">
        <f>B511&amp;C511&amp;E511&amp;G511</f>
        <v>청정기싱글파워32M(2개월점검주기)</v>
      </c>
      <c r="B511" s="17" t="s">
        <v>143</v>
      </c>
      <c r="C511" s="18" t="s">
        <v>760</v>
      </c>
      <c r="D511" s="19" t="s">
        <v>155</v>
      </c>
      <c r="E511" s="19">
        <v>3</v>
      </c>
      <c r="F511" s="19" t="s">
        <v>1</v>
      </c>
      <c r="G511" s="20" t="s">
        <v>452</v>
      </c>
      <c r="H511" s="36">
        <v>28900</v>
      </c>
      <c r="I511" s="36">
        <v>25900</v>
      </c>
      <c r="J511" s="25">
        <v>220300</v>
      </c>
    </row>
    <row r="512" spans="1:10" ht="16" x14ac:dyDescent="0.45">
      <c r="A512" s="153" t="str">
        <f>B512&amp;C512&amp;E512&amp;G512</f>
        <v>청정기싱글파워52M(2개월점검주기)</v>
      </c>
      <c r="B512" s="17" t="s">
        <v>143</v>
      </c>
      <c r="C512" s="18" t="s">
        <v>760</v>
      </c>
      <c r="D512" s="19" t="s">
        <v>155</v>
      </c>
      <c r="E512" s="19">
        <v>5</v>
      </c>
      <c r="F512" s="19" t="s">
        <v>0</v>
      </c>
      <c r="G512" s="20" t="s">
        <v>452</v>
      </c>
      <c r="H512" s="36">
        <v>26900</v>
      </c>
      <c r="I512" s="36">
        <v>23900</v>
      </c>
      <c r="J512" s="25">
        <v>220300</v>
      </c>
    </row>
    <row r="513" spans="1:10" ht="16" x14ac:dyDescent="0.45">
      <c r="A513" s="153" t="str">
        <f>B513&amp;C513&amp;E513&amp;G513</f>
        <v>청정기싱글파워62M(2개월점검주기)</v>
      </c>
      <c r="B513" s="17" t="s">
        <v>143</v>
      </c>
      <c r="C513" s="18" t="s">
        <v>760</v>
      </c>
      <c r="D513" s="19" t="s">
        <v>155</v>
      </c>
      <c r="E513" s="19">
        <v>6</v>
      </c>
      <c r="F513" s="19" t="s">
        <v>0</v>
      </c>
      <c r="G513" s="20" t="s">
        <v>452</v>
      </c>
      <c r="H513" s="36">
        <v>25900</v>
      </c>
      <c r="I513" s="36">
        <v>22900</v>
      </c>
      <c r="J513" s="25">
        <v>253300</v>
      </c>
    </row>
    <row r="514" spans="1:10" ht="16" x14ac:dyDescent="0.45">
      <c r="A514" s="153" t="str">
        <f>B514&amp;C514&amp;E514&amp;G514</f>
        <v>청정기싱글파워72M(2개월점검주기)</v>
      </c>
      <c r="B514" s="17" t="s">
        <v>143</v>
      </c>
      <c r="C514" s="18" t="s">
        <v>760</v>
      </c>
      <c r="D514" s="19" t="s">
        <v>155</v>
      </c>
      <c r="E514" s="19">
        <v>7</v>
      </c>
      <c r="F514" s="19" t="s">
        <v>0</v>
      </c>
      <c r="G514" s="20" t="s">
        <v>452</v>
      </c>
      <c r="H514" s="36">
        <v>24900</v>
      </c>
      <c r="I514" s="36">
        <v>21900</v>
      </c>
      <c r="J514" s="25">
        <v>253300</v>
      </c>
    </row>
    <row r="515" spans="1:10" ht="16" x14ac:dyDescent="0.45">
      <c r="A515" s="153" t="str">
        <f>B515&amp;C515&amp;E515&amp;G515</f>
        <v>청정기싱글파워3자가관리</v>
      </c>
      <c r="B515" s="17" t="s">
        <v>143</v>
      </c>
      <c r="C515" s="18" t="s">
        <v>760</v>
      </c>
      <c r="D515" s="19" t="s">
        <v>155</v>
      </c>
      <c r="E515" s="19">
        <v>3</v>
      </c>
      <c r="F515" s="19" t="s">
        <v>1</v>
      </c>
      <c r="G515" s="20" t="s">
        <v>3</v>
      </c>
      <c r="H515" s="36">
        <v>25400</v>
      </c>
      <c r="I515" s="36">
        <v>22400</v>
      </c>
      <c r="J515" s="25">
        <v>209100</v>
      </c>
    </row>
    <row r="516" spans="1:10" ht="16" x14ac:dyDescent="0.45">
      <c r="A516" s="153" t="str">
        <f>B516&amp;C516&amp;E516&amp;G516</f>
        <v>청정기싱글파워5자가관리</v>
      </c>
      <c r="B516" s="17" t="s">
        <v>143</v>
      </c>
      <c r="C516" s="18" t="s">
        <v>760</v>
      </c>
      <c r="D516" s="19" t="s">
        <v>155</v>
      </c>
      <c r="E516" s="19">
        <v>5</v>
      </c>
      <c r="F516" s="19" t="s">
        <v>0</v>
      </c>
      <c r="G516" s="20" t="s">
        <v>3</v>
      </c>
      <c r="H516" s="36">
        <v>23400</v>
      </c>
      <c r="I516" s="36">
        <v>20400</v>
      </c>
      <c r="J516" s="25">
        <v>209100</v>
      </c>
    </row>
    <row r="517" spans="1:10" ht="16" x14ac:dyDescent="0.45">
      <c r="A517" s="153" t="str">
        <f>B517&amp;C517&amp;E517&amp;G517</f>
        <v>청정기싱글파워6자가관리</v>
      </c>
      <c r="B517" s="17" t="s">
        <v>143</v>
      </c>
      <c r="C517" s="18" t="s">
        <v>760</v>
      </c>
      <c r="D517" s="19" t="s">
        <v>155</v>
      </c>
      <c r="E517" s="19">
        <v>6</v>
      </c>
      <c r="F517" s="19" t="s">
        <v>0</v>
      </c>
      <c r="G517" s="20" t="s">
        <v>3</v>
      </c>
      <c r="H517" s="36">
        <v>22400</v>
      </c>
      <c r="I517" s="36">
        <v>19400</v>
      </c>
      <c r="J517" s="25">
        <v>240500</v>
      </c>
    </row>
    <row r="518" spans="1:10" ht="16" x14ac:dyDescent="0.45">
      <c r="A518" s="153" t="str">
        <f>B518&amp;C518&amp;E518&amp;G518</f>
        <v>청정기싱글파워7자가관리</v>
      </c>
      <c r="B518" s="17" t="s">
        <v>143</v>
      </c>
      <c r="C518" s="18" t="s">
        <v>760</v>
      </c>
      <c r="D518" s="19" t="s">
        <v>155</v>
      </c>
      <c r="E518" s="19">
        <v>7</v>
      </c>
      <c r="F518" s="19" t="s">
        <v>0</v>
      </c>
      <c r="G518" s="20" t="s">
        <v>3</v>
      </c>
      <c r="H518" s="36">
        <v>21400</v>
      </c>
      <c r="I518" s="36">
        <v>18400</v>
      </c>
      <c r="J518" s="25">
        <v>240500</v>
      </c>
    </row>
    <row r="519" spans="1:10" ht="16" x14ac:dyDescent="0.45">
      <c r="A519" s="153" t="str">
        <f>B519&amp;C519&amp;E519&amp;G519</f>
        <v>청정기아이콘 공기청정기32M(2개월점검주기)</v>
      </c>
      <c r="B519" s="17" t="s">
        <v>143</v>
      </c>
      <c r="C519" s="18" t="s">
        <v>552</v>
      </c>
      <c r="D519" s="19" t="s">
        <v>627</v>
      </c>
      <c r="E519" s="19">
        <v>3</v>
      </c>
      <c r="F519" s="19" t="s">
        <v>1</v>
      </c>
      <c r="G519" s="20" t="s">
        <v>452</v>
      </c>
      <c r="H519" s="36">
        <v>34900</v>
      </c>
      <c r="I519" s="36">
        <v>31900</v>
      </c>
      <c r="J519" s="25">
        <v>240200</v>
      </c>
    </row>
    <row r="520" spans="1:10" ht="16" x14ac:dyDescent="0.45">
      <c r="A520" s="153" t="str">
        <f>B520&amp;C520&amp;E520&amp;G520</f>
        <v>청정기아이콘 공기청정기52M(2개월점검주기)</v>
      </c>
      <c r="B520" s="17" t="s">
        <v>143</v>
      </c>
      <c r="C520" s="18" t="s">
        <v>552</v>
      </c>
      <c r="D520" s="19" t="s">
        <v>627</v>
      </c>
      <c r="E520" s="19">
        <v>5</v>
      </c>
      <c r="F520" s="19" t="s">
        <v>0</v>
      </c>
      <c r="G520" s="20" t="s">
        <v>452</v>
      </c>
      <c r="H520" s="36">
        <v>32900</v>
      </c>
      <c r="I520" s="36">
        <v>29900</v>
      </c>
      <c r="J520" s="25">
        <v>240200</v>
      </c>
    </row>
    <row r="521" spans="1:10" ht="16" x14ac:dyDescent="0.45">
      <c r="A521" s="153" t="str">
        <f>B521&amp;C521&amp;E521&amp;G521</f>
        <v>청정기아이콘 공기청정기62M(2개월점검주기)</v>
      </c>
      <c r="B521" s="17" t="s">
        <v>143</v>
      </c>
      <c r="C521" s="18" t="s">
        <v>552</v>
      </c>
      <c r="D521" s="19" t="s">
        <v>627</v>
      </c>
      <c r="E521" s="19">
        <v>6</v>
      </c>
      <c r="F521" s="19" t="s">
        <v>0</v>
      </c>
      <c r="G521" s="20" t="s">
        <v>452</v>
      </c>
      <c r="H521" s="36">
        <v>31900</v>
      </c>
      <c r="I521" s="36">
        <v>28900</v>
      </c>
      <c r="J521" s="25">
        <v>276200</v>
      </c>
    </row>
    <row r="522" spans="1:10" ht="16" x14ac:dyDescent="0.45">
      <c r="A522" s="153" t="str">
        <f>B522&amp;C522&amp;E522&amp;G522</f>
        <v>청정기아이콘 공기청정기72M(2개월점검주기)</v>
      </c>
      <c r="B522" s="17" t="s">
        <v>143</v>
      </c>
      <c r="C522" s="18" t="s">
        <v>552</v>
      </c>
      <c r="D522" s="19" t="s">
        <v>627</v>
      </c>
      <c r="E522" s="19">
        <v>7</v>
      </c>
      <c r="F522" s="19" t="s">
        <v>0</v>
      </c>
      <c r="G522" s="20" t="s">
        <v>452</v>
      </c>
      <c r="H522" s="36">
        <v>30900</v>
      </c>
      <c r="I522" s="36">
        <v>27900</v>
      </c>
      <c r="J522" s="25">
        <v>276200</v>
      </c>
    </row>
    <row r="523" spans="1:10" ht="16" x14ac:dyDescent="0.45">
      <c r="A523" s="153" t="str">
        <f>B523&amp;C523&amp;E523&amp;G523</f>
        <v>청정기제습청정기34M(4개월점검주기)</v>
      </c>
      <c r="B523" s="17" t="s">
        <v>143</v>
      </c>
      <c r="C523" s="18" t="s">
        <v>610</v>
      </c>
      <c r="D523" s="19" t="s">
        <v>687</v>
      </c>
      <c r="E523" s="19">
        <v>3</v>
      </c>
      <c r="F523" s="19" t="s">
        <v>1</v>
      </c>
      <c r="G523" s="20" t="s">
        <v>453</v>
      </c>
      <c r="H523" s="36">
        <v>52400</v>
      </c>
      <c r="I523" s="36">
        <v>49400</v>
      </c>
      <c r="J523" s="25">
        <v>296400</v>
      </c>
    </row>
    <row r="524" spans="1:10" ht="16" x14ac:dyDescent="0.45">
      <c r="A524" s="153" t="str">
        <f>B524&amp;C524&amp;E524&amp;G524</f>
        <v>청정기제습청정기54M(4개월점검주기)</v>
      </c>
      <c r="B524" s="17" t="s">
        <v>143</v>
      </c>
      <c r="C524" s="18" t="s">
        <v>610</v>
      </c>
      <c r="D524" s="19" t="s">
        <v>687</v>
      </c>
      <c r="E524" s="19">
        <v>5</v>
      </c>
      <c r="F524" s="19" t="s">
        <v>0</v>
      </c>
      <c r="G524" s="20" t="s">
        <v>453</v>
      </c>
      <c r="H524" s="36">
        <v>49400</v>
      </c>
      <c r="I524" s="36">
        <v>46400</v>
      </c>
      <c r="J524" s="25">
        <v>296400</v>
      </c>
    </row>
    <row r="525" spans="1:10" ht="16" x14ac:dyDescent="0.45">
      <c r="A525" s="153" t="str">
        <f>B525&amp;C525&amp;E525&amp;G525</f>
        <v>청정기제습청정기64M(4개월점검주기)</v>
      </c>
      <c r="B525" s="17" t="s">
        <v>143</v>
      </c>
      <c r="C525" s="18" t="s">
        <v>610</v>
      </c>
      <c r="D525" s="19" t="s">
        <v>687</v>
      </c>
      <c r="E525" s="19">
        <v>6</v>
      </c>
      <c r="F525" s="19" t="s">
        <v>0</v>
      </c>
      <c r="G525" s="20" t="s">
        <v>453</v>
      </c>
      <c r="H525" s="36">
        <v>47400</v>
      </c>
      <c r="I525" s="36">
        <v>44400</v>
      </c>
      <c r="J525" s="25">
        <v>340900</v>
      </c>
    </row>
    <row r="526" spans="1:10" ht="16" x14ac:dyDescent="0.45">
      <c r="A526" s="153" t="str">
        <f>B526&amp;C526&amp;E526&amp;G526</f>
        <v>청정기제습청정기74M(4개월점검주기)</v>
      </c>
      <c r="B526" s="17" t="s">
        <v>143</v>
      </c>
      <c r="C526" s="18" t="s">
        <v>610</v>
      </c>
      <c r="D526" s="19" t="s">
        <v>687</v>
      </c>
      <c r="E526" s="19">
        <v>7</v>
      </c>
      <c r="F526" s="19" t="s">
        <v>0</v>
      </c>
      <c r="G526" s="20" t="s">
        <v>453</v>
      </c>
      <c r="H526" s="36">
        <v>45400</v>
      </c>
      <c r="I526" s="36">
        <v>42400</v>
      </c>
      <c r="J526" s="25">
        <v>340900</v>
      </c>
    </row>
    <row r="527" spans="1:10" ht="16" x14ac:dyDescent="0.45">
      <c r="A527" s="153" t="str">
        <f>B527&amp;C527&amp;E527&amp;G527</f>
        <v>청정기제습청정기36M(6개월점검주기)</v>
      </c>
      <c r="B527" s="17" t="s">
        <v>143</v>
      </c>
      <c r="C527" s="18" t="s">
        <v>610</v>
      </c>
      <c r="D527" s="19" t="s">
        <v>687</v>
      </c>
      <c r="E527" s="19">
        <v>3</v>
      </c>
      <c r="F527" s="19" t="s">
        <v>1</v>
      </c>
      <c r="G527" s="20" t="s">
        <v>454</v>
      </c>
      <c r="H527" s="36">
        <v>50900</v>
      </c>
      <c r="I527" s="36">
        <v>47900</v>
      </c>
      <c r="J527" s="25">
        <v>285200</v>
      </c>
    </row>
    <row r="528" spans="1:10" ht="16" x14ac:dyDescent="0.45">
      <c r="A528" s="153" t="str">
        <f>B528&amp;C528&amp;E528&amp;G528</f>
        <v>청정기제습청정기56M(6개월점검주기)</v>
      </c>
      <c r="B528" s="17" t="s">
        <v>143</v>
      </c>
      <c r="C528" s="18" t="s">
        <v>610</v>
      </c>
      <c r="D528" s="19" t="s">
        <v>687</v>
      </c>
      <c r="E528" s="19">
        <v>5</v>
      </c>
      <c r="F528" s="19" t="s">
        <v>0</v>
      </c>
      <c r="G528" s="20" t="s">
        <v>454</v>
      </c>
      <c r="H528" s="36">
        <v>47900</v>
      </c>
      <c r="I528" s="36">
        <v>44900</v>
      </c>
      <c r="J528" s="25">
        <v>285200</v>
      </c>
    </row>
    <row r="529" spans="1:10" ht="16" x14ac:dyDescent="0.45">
      <c r="A529" s="153" t="str">
        <f>B529&amp;C529&amp;E529&amp;G529</f>
        <v>청정기제습청정기66M(6개월점검주기)</v>
      </c>
      <c r="B529" s="17" t="s">
        <v>143</v>
      </c>
      <c r="C529" s="18" t="s">
        <v>610</v>
      </c>
      <c r="D529" s="19" t="s">
        <v>687</v>
      </c>
      <c r="E529" s="19">
        <v>6</v>
      </c>
      <c r="F529" s="19" t="s">
        <v>0</v>
      </c>
      <c r="G529" s="20" t="s">
        <v>454</v>
      </c>
      <c r="H529" s="36">
        <v>45900</v>
      </c>
      <c r="I529" s="36">
        <v>42900</v>
      </c>
      <c r="J529" s="25">
        <v>328000</v>
      </c>
    </row>
    <row r="530" spans="1:10" ht="16" x14ac:dyDescent="0.45">
      <c r="A530" s="153" t="str">
        <f>B530&amp;C530&amp;E530&amp;G530</f>
        <v>청정기제습청정기76M(6개월점검주기)</v>
      </c>
      <c r="B530" s="17" t="s">
        <v>143</v>
      </c>
      <c r="C530" s="18" t="s">
        <v>610</v>
      </c>
      <c r="D530" s="19" t="s">
        <v>687</v>
      </c>
      <c r="E530" s="19">
        <v>7</v>
      </c>
      <c r="F530" s="19" t="s">
        <v>0</v>
      </c>
      <c r="G530" s="20" t="s">
        <v>454</v>
      </c>
      <c r="H530" s="36">
        <v>43900</v>
      </c>
      <c r="I530" s="36">
        <v>40900</v>
      </c>
      <c r="J530" s="25">
        <v>328000</v>
      </c>
    </row>
    <row r="531" spans="1:10" ht="16" x14ac:dyDescent="0.45">
      <c r="A531" s="153" t="str">
        <f>B531&amp;C531&amp;E531&amp;G531</f>
        <v>청정기제습청정기3자가관리</v>
      </c>
      <c r="B531" s="17" t="s">
        <v>143</v>
      </c>
      <c r="C531" s="18" t="s">
        <v>610</v>
      </c>
      <c r="D531" s="19" t="s">
        <v>687</v>
      </c>
      <c r="E531" s="19">
        <v>3</v>
      </c>
      <c r="F531" s="19" t="s">
        <v>1</v>
      </c>
      <c r="G531" s="20" t="s">
        <v>3</v>
      </c>
      <c r="H531" s="36">
        <v>47900</v>
      </c>
      <c r="I531" s="36">
        <v>44900</v>
      </c>
      <c r="J531" s="25">
        <v>285200</v>
      </c>
    </row>
    <row r="532" spans="1:10" ht="16" x14ac:dyDescent="0.45">
      <c r="A532" s="153" t="str">
        <f>B532&amp;C532&amp;E532&amp;G532</f>
        <v>청정기제습청정기5자가관리</v>
      </c>
      <c r="B532" s="17" t="s">
        <v>143</v>
      </c>
      <c r="C532" s="18" t="s">
        <v>610</v>
      </c>
      <c r="D532" s="19" t="s">
        <v>687</v>
      </c>
      <c r="E532" s="19">
        <v>5</v>
      </c>
      <c r="F532" s="19" t="s">
        <v>0</v>
      </c>
      <c r="G532" s="20" t="s">
        <v>3</v>
      </c>
      <c r="H532" s="36">
        <v>44900</v>
      </c>
      <c r="I532" s="36">
        <v>41900</v>
      </c>
      <c r="J532" s="25">
        <v>285200</v>
      </c>
    </row>
    <row r="533" spans="1:10" ht="16" x14ac:dyDescent="0.45">
      <c r="A533" s="153" t="str">
        <f>B533&amp;C533&amp;E533&amp;G533</f>
        <v>청정기제습청정기6자가관리</v>
      </c>
      <c r="B533" s="17" t="s">
        <v>143</v>
      </c>
      <c r="C533" s="18" t="s">
        <v>610</v>
      </c>
      <c r="D533" s="19" t="s">
        <v>687</v>
      </c>
      <c r="E533" s="19">
        <v>6</v>
      </c>
      <c r="F533" s="19" t="s">
        <v>0</v>
      </c>
      <c r="G533" s="20" t="s">
        <v>3</v>
      </c>
      <c r="H533" s="36">
        <v>42900</v>
      </c>
      <c r="I533" s="36">
        <v>39900</v>
      </c>
      <c r="J533" s="25">
        <v>328000</v>
      </c>
    </row>
    <row r="534" spans="1:10" ht="16" x14ac:dyDescent="0.45">
      <c r="A534" s="153" t="str">
        <f>B534&amp;C534&amp;E534&amp;G534</f>
        <v>청정기제습청정기7자가관리</v>
      </c>
      <c r="B534" s="17" t="s">
        <v>143</v>
      </c>
      <c r="C534" s="18" t="s">
        <v>610</v>
      </c>
      <c r="D534" s="19" t="s">
        <v>687</v>
      </c>
      <c r="E534" s="19">
        <v>7</v>
      </c>
      <c r="F534" s="19" t="s">
        <v>0</v>
      </c>
      <c r="G534" s="20" t="s">
        <v>3</v>
      </c>
      <c r="H534" s="36">
        <v>40900</v>
      </c>
      <c r="I534" s="36">
        <v>37900</v>
      </c>
      <c r="J534" s="25">
        <v>328000</v>
      </c>
    </row>
    <row r="535" spans="1:10" ht="16" x14ac:dyDescent="0.45">
      <c r="A535" s="153" t="str">
        <f>B535&amp;C535&amp;E535&amp;G535</f>
        <v>청정기청정기_리퍼브32M(2개월점검주기)</v>
      </c>
      <c r="B535" s="17" t="s">
        <v>143</v>
      </c>
      <c r="C535" s="18" t="s">
        <v>479</v>
      </c>
      <c r="D535" s="19" t="s">
        <v>180</v>
      </c>
      <c r="E535" s="19">
        <v>3</v>
      </c>
      <c r="F535" s="19" t="s">
        <v>1</v>
      </c>
      <c r="G535" s="20" t="s">
        <v>452</v>
      </c>
      <c r="H535" s="36">
        <v>18900</v>
      </c>
      <c r="I535" s="36">
        <v>18900</v>
      </c>
      <c r="J535" s="25">
        <v>178100</v>
      </c>
    </row>
    <row r="536" spans="1:10" ht="16" x14ac:dyDescent="0.45">
      <c r="A536" s="153" t="str">
        <f>B536&amp;C536&amp;E536&amp;G536</f>
        <v>청정기청정기_리퍼브32M(2개월점검주기)</v>
      </c>
      <c r="B536" s="17" t="s">
        <v>143</v>
      </c>
      <c r="C536" s="18" t="s">
        <v>479</v>
      </c>
      <c r="D536" s="19" t="s">
        <v>181</v>
      </c>
      <c r="E536" s="19">
        <v>3</v>
      </c>
      <c r="F536" s="19" t="s">
        <v>1</v>
      </c>
      <c r="G536" s="20" t="s">
        <v>452</v>
      </c>
      <c r="H536" s="36">
        <v>19900</v>
      </c>
      <c r="I536" s="36">
        <v>19900</v>
      </c>
      <c r="J536" s="25">
        <v>178100</v>
      </c>
    </row>
    <row r="537" spans="1:10" ht="16" x14ac:dyDescent="0.45">
      <c r="A537" s="153" t="str">
        <f>B537&amp;C537&amp;E537&amp;G537</f>
        <v>청정기청정기_리퍼브32M(2개월점검주기)</v>
      </c>
      <c r="B537" s="17" t="s">
        <v>143</v>
      </c>
      <c r="C537" s="18" t="s">
        <v>479</v>
      </c>
      <c r="D537" s="19" t="s">
        <v>154</v>
      </c>
      <c r="E537" s="19">
        <v>3</v>
      </c>
      <c r="F537" s="19" t="s">
        <v>1</v>
      </c>
      <c r="G537" s="20" t="s">
        <v>452</v>
      </c>
      <c r="H537" s="36">
        <v>31900</v>
      </c>
      <c r="I537" s="36">
        <v>31900</v>
      </c>
      <c r="J537" s="25">
        <v>226400</v>
      </c>
    </row>
    <row r="538" spans="1:10" ht="16" x14ac:dyDescent="0.45">
      <c r="A538" s="153" t="str">
        <f>B538&amp;C538&amp;E538&amp;G538</f>
        <v>청정기청정기_리퍼브32M(2개월점검주기)</v>
      </c>
      <c r="B538" s="17" t="s">
        <v>143</v>
      </c>
      <c r="C538" s="18" t="s">
        <v>479</v>
      </c>
      <c r="D538" s="19" t="s">
        <v>154</v>
      </c>
      <c r="E538" s="19">
        <v>3</v>
      </c>
      <c r="F538" s="19" t="s">
        <v>1</v>
      </c>
      <c r="G538" s="20" t="s">
        <v>452</v>
      </c>
      <c r="H538" s="36">
        <v>29900</v>
      </c>
      <c r="I538" s="36">
        <v>29900</v>
      </c>
      <c r="J538" s="25">
        <v>216200</v>
      </c>
    </row>
    <row r="539" spans="1:10" ht="16" x14ac:dyDescent="0.45">
      <c r="A539" s="153" t="str">
        <f>B539&amp;C539&amp;E539&amp;G539</f>
        <v>청정기청정기_리퍼브34M(4개월점검주기)</v>
      </c>
      <c r="B539" s="17" t="s">
        <v>143</v>
      </c>
      <c r="C539" s="18" t="s">
        <v>479</v>
      </c>
      <c r="D539" s="19" t="s">
        <v>157</v>
      </c>
      <c r="E539" s="19">
        <v>3</v>
      </c>
      <c r="F539" s="19" t="s">
        <v>1</v>
      </c>
      <c r="G539" s="20" t="s">
        <v>453</v>
      </c>
      <c r="H539" s="36">
        <v>33900</v>
      </c>
      <c r="I539" s="36">
        <v>33900</v>
      </c>
      <c r="J539" s="25">
        <v>236400</v>
      </c>
    </row>
    <row r="540" spans="1:10" ht="16" x14ac:dyDescent="0.45">
      <c r="A540" s="153" t="str">
        <f>B540&amp;C540&amp;E540&amp;G540</f>
        <v>청정기청정기_리퍼브34M(4개월점검주기)</v>
      </c>
      <c r="B540" s="17" t="s">
        <v>143</v>
      </c>
      <c r="C540" s="18" t="s">
        <v>479</v>
      </c>
      <c r="D540" s="19" t="s">
        <v>157</v>
      </c>
      <c r="E540" s="19">
        <v>3</v>
      </c>
      <c r="F540" s="19" t="s">
        <v>1</v>
      </c>
      <c r="G540" s="20" t="s">
        <v>453</v>
      </c>
      <c r="H540" s="36">
        <v>31800</v>
      </c>
      <c r="I540" s="36">
        <v>31800</v>
      </c>
      <c r="J540" s="25">
        <v>226400</v>
      </c>
    </row>
    <row r="541" spans="1:10" ht="16" x14ac:dyDescent="0.45">
      <c r="A541" s="153" t="str">
        <f>B541&amp;C541&amp;E541&amp;G541</f>
        <v>청정기청정기_리퍼브34M(4개월점검주기)</v>
      </c>
      <c r="B541" s="17" t="s">
        <v>143</v>
      </c>
      <c r="C541" s="18" t="s">
        <v>479</v>
      </c>
      <c r="D541" s="19" t="s">
        <v>156</v>
      </c>
      <c r="E541" s="19">
        <v>3</v>
      </c>
      <c r="F541" s="19" t="s">
        <v>1</v>
      </c>
      <c r="G541" s="20" t="s">
        <v>453</v>
      </c>
      <c r="H541" s="36">
        <v>35500</v>
      </c>
      <c r="I541" s="36">
        <v>35500</v>
      </c>
      <c r="J541" s="25">
        <v>246500</v>
      </c>
    </row>
    <row r="542" spans="1:10" ht="16" x14ac:dyDescent="0.45">
      <c r="A542" s="153" t="str">
        <f>B542&amp;C542&amp;E542&amp;G542</f>
        <v>청정기청정기_리퍼브34M(4개월점검주기)</v>
      </c>
      <c r="B542" s="17" t="s">
        <v>143</v>
      </c>
      <c r="C542" s="18" t="s">
        <v>479</v>
      </c>
      <c r="D542" s="19" t="s">
        <v>156</v>
      </c>
      <c r="E542" s="19">
        <v>3</v>
      </c>
      <c r="F542" s="19" t="s">
        <v>1</v>
      </c>
      <c r="G542" s="20" t="s">
        <v>453</v>
      </c>
      <c r="H542" s="36">
        <v>33300</v>
      </c>
      <c r="I542" s="36">
        <v>33300</v>
      </c>
      <c r="J542" s="25">
        <v>236400</v>
      </c>
    </row>
    <row r="543" spans="1:10" ht="16" x14ac:dyDescent="0.45">
      <c r="A543" s="153" t="str">
        <f>B543&amp;C543&amp;E543&amp;G543</f>
        <v>청정기콰트로 파워32M(2개월점검주기)</v>
      </c>
      <c r="B543" s="17" t="s">
        <v>143</v>
      </c>
      <c r="C543" s="18" t="s">
        <v>553</v>
      </c>
      <c r="D543" s="19" t="s">
        <v>144</v>
      </c>
      <c r="E543" s="19">
        <v>3</v>
      </c>
      <c r="F543" s="19" t="s">
        <v>1</v>
      </c>
      <c r="G543" s="20" t="s">
        <v>452</v>
      </c>
      <c r="H543" s="36">
        <v>58900</v>
      </c>
      <c r="I543" s="36">
        <v>55900</v>
      </c>
      <c r="J543" s="25">
        <v>307700</v>
      </c>
    </row>
    <row r="544" spans="1:10" ht="16" x14ac:dyDescent="0.45">
      <c r="A544" s="153" t="str">
        <f>B544&amp;C544&amp;E544&amp;G544</f>
        <v>청정기콰트로 파워52M(2개월점검주기)</v>
      </c>
      <c r="B544" s="17" t="s">
        <v>143</v>
      </c>
      <c r="C544" s="18" t="s">
        <v>553</v>
      </c>
      <c r="D544" s="19" t="s">
        <v>144</v>
      </c>
      <c r="E544" s="19">
        <v>5</v>
      </c>
      <c r="F544" s="19" t="s">
        <v>0</v>
      </c>
      <c r="G544" s="20" t="s">
        <v>452</v>
      </c>
      <c r="H544" s="36">
        <v>56900</v>
      </c>
      <c r="I544" s="36">
        <v>53900</v>
      </c>
      <c r="J544" s="25">
        <v>307700</v>
      </c>
    </row>
    <row r="545" spans="1:10" ht="16" x14ac:dyDescent="0.45">
      <c r="A545" s="153" t="str">
        <f>B545&amp;C545&amp;E545&amp;G545</f>
        <v>청정기콰트로 파워62M(2개월점검주기)</v>
      </c>
      <c r="B545" s="17" t="s">
        <v>143</v>
      </c>
      <c r="C545" s="18" t="s">
        <v>553</v>
      </c>
      <c r="D545" s="19" t="s">
        <v>144</v>
      </c>
      <c r="E545" s="19">
        <v>6</v>
      </c>
      <c r="F545" s="19" t="s">
        <v>0</v>
      </c>
      <c r="G545" s="20" t="s">
        <v>452</v>
      </c>
      <c r="H545" s="36">
        <v>55900</v>
      </c>
      <c r="I545" s="36">
        <v>52900</v>
      </c>
      <c r="J545" s="25">
        <v>353900</v>
      </c>
    </row>
    <row r="546" spans="1:10" ht="16" x14ac:dyDescent="0.45">
      <c r="A546" s="153" t="str">
        <f>B546&amp;C546&amp;E546&amp;G546</f>
        <v>청정기콰트로 파워72M(2개월점검주기)</v>
      </c>
      <c r="B546" s="17" t="s">
        <v>143</v>
      </c>
      <c r="C546" s="18" t="s">
        <v>553</v>
      </c>
      <c r="D546" s="19" t="s">
        <v>144</v>
      </c>
      <c r="E546" s="19">
        <v>7</v>
      </c>
      <c r="F546" s="19" t="s">
        <v>0</v>
      </c>
      <c r="G546" s="20" t="s">
        <v>452</v>
      </c>
      <c r="H546" s="36">
        <v>54900</v>
      </c>
      <c r="I546" s="36">
        <v>51900</v>
      </c>
      <c r="J546" s="25">
        <v>353900</v>
      </c>
    </row>
    <row r="547" spans="1:10" ht="16" x14ac:dyDescent="0.45">
      <c r="A547" s="153" t="str">
        <f>B547&amp;C547&amp;E547&amp;G547</f>
        <v>청정기파워업32M(2개월점검주기)</v>
      </c>
      <c r="B547" s="17" t="s">
        <v>143</v>
      </c>
      <c r="C547" s="18" t="s">
        <v>554</v>
      </c>
      <c r="D547" s="19" t="s">
        <v>153</v>
      </c>
      <c r="E547" s="19">
        <v>3</v>
      </c>
      <c r="F547" s="19" t="s">
        <v>1</v>
      </c>
      <c r="G547" s="20" t="s">
        <v>452</v>
      </c>
      <c r="H547" s="36">
        <v>57900</v>
      </c>
      <c r="I547" s="36">
        <v>52900</v>
      </c>
      <c r="J547" s="25">
        <v>296400</v>
      </c>
    </row>
    <row r="548" spans="1:10" ht="16" x14ac:dyDescent="0.45">
      <c r="A548" s="153" t="str">
        <f>B548&amp;C548&amp;E548&amp;G548</f>
        <v>청정기파워업52M(2개월점검주기)</v>
      </c>
      <c r="B548" s="17" t="s">
        <v>143</v>
      </c>
      <c r="C548" s="18" t="s">
        <v>554</v>
      </c>
      <c r="D548" s="19" t="s">
        <v>153</v>
      </c>
      <c r="E548" s="19">
        <v>5</v>
      </c>
      <c r="F548" s="19" t="s">
        <v>0</v>
      </c>
      <c r="G548" s="20" t="s">
        <v>452</v>
      </c>
      <c r="H548" s="36">
        <v>54900</v>
      </c>
      <c r="I548" s="36">
        <v>49900</v>
      </c>
      <c r="J548" s="25">
        <v>296400</v>
      </c>
    </row>
    <row r="549" spans="1:10" ht="16" x14ac:dyDescent="0.45">
      <c r="A549" s="153" t="str">
        <f>B549&amp;C549&amp;E549&amp;G549</f>
        <v>청정기파워업62M(2개월점검주기)</v>
      </c>
      <c r="B549" s="17" t="s">
        <v>143</v>
      </c>
      <c r="C549" s="18" t="s">
        <v>554</v>
      </c>
      <c r="D549" s="19" t="s">
        <v>153</v>
      </c>
      <c r="E549" s="19">
        <v>6</v>
      </c>
      <c r="F549" s="19" t="s">
        <v>0</v>
      </c>
      <c r="G549" s="20" t="s">
        <v>452</v>
      </c>
      <c r="H549" s="36">
        <v>52900</v>
      </c>
      <c r="I549" s="36">
        <v>47900</v>
      </c>
      <c r="J549" s="25">
        <v>340900</v>
      </c>
    </row>
    <row r="550" spans="1:10" ht="16" x14ac:dyDescent="0.45">
      <c r="A550" s="153" t="str">
        <f>B550&amp;C550&amp;E550&amp;G550</f>
        <v>청정기파워업72M(2개월점검주기)</v>
      </c>
      <c r="B550" s="17" t="s">
        <v>143</v>
      </c>
      <c r="C550" s="18" t="s">
        <v>554</v>
      </c>
      <c r="D550" s="19" t="s">
        <v>153</v>
      </c>
      <c r="E550" s="19">
        <v>7</v>
      </c>
      <c r="F550" s="19" t="s">
        <v>0</v>
      </c>
      <c r="G550" s="20" t="s">
        <v>452</v>
      </c>
      <c r="H550" s="36">
        <v>50900</v>
      </c>
      <c r="I550" s="36">
        <v>45900</v>
      </c>
      <c r="J550" s="25">
        <v>340900</v>
      </c>
    </row>
    <row r="551" spans="1:10" ht="16" x14ac:dyDescent="0.45">
      <c r="A551" s="153" t="str">
        <f>B551&amp;C551&amp;E551&amp;G551</f>
        <v>청정기파워업32M(2개월점검주기)</v>
      </c>
      <c r="B551" s="17" t="s">
        <v>143</v>
      </c>
      <c r="C551" s="18" t="s">
        <v>554</v>
      </c>
      <c r="D551" s="19" t="s">
        <v>691</v>
      </c>
      <c r="E551" s="19">
        <v>3</v>
      </c>
      <c r="F551" s="19" t="s">
        <v>1</v>
      </c>
      <c r="G551" s="20" t="s">
        <v>452</v>
      </c>
      <c r="H551" s="36">
        <v>57900</v>
      </c>
      <c r="I551" s="36">
        <v>52900</v>
      </c>
      <c r="J551" s="25">
        <v>296400</v>
      </c>
    </row>
    <row r="552" spans="1:10" ht="16" x14ac:dyDescent="0.45">
      <c r="A552" s="153" t="str">
        <f>B552&amp;C552&amp;E552&amp;G552</f>
        <v>청정기파워업52M(2개월점검주기)</v>
      </c>
      <c r="B552" s="17" t="s">
        <v>143</v>
      </c>
      <c r="C552" s="18" t="s">
        <v>554</v>
      </c>
      <c r="D552" s="19" t="s">
        <v>691</v>
      </c>
      <c r="E552" s="19">
        <v>5</v>
      </c>
      <c r="F552" s="19" t="s">
        <v>0</v>
      </c>
      <c r="G552" s="20" t="s">
        <v>452</v>
      </c>
      <c r="H552" s="36">
        <v>54900</v>
      </c>
      <c r="I552" s="36">
        <v>49900</v>
      </c>
      <c r="J552" s="25">
        <v>296400</v>
      </c>
    </row>
    <row r="553" spans="1:10" ht="16" x14ac:dyDescent="0.45">
      <c r="A553" s="153" t="str">
        <f>B553&amp;C553&amp;E553&amp;G553</f>
        <v>청정기파워업62M(2개월점검주기)</v>
      </c>
      <c r="B553" s="17" t="s">
        <v>143</v>
      </c>
      <c r="C553" s="18" t="s">
        <v>554</v>
      </c>
      <c r="D553" s="19" t="s">
        <v>691</v>
      </c>
      <c r="E553" s="19">
        <v>6</v>
      </c>
      <c r="F553" s="19" t="s">
        <v>0</v>
      </c>
      <c r="G553" s="20" t="s">
        <v>452</v>
      </c>
      <c r="H553" s="36">
        <v>52900</v>
      </c>
      <c r="I553" s="36">
        <v>47900</v>
      </c>
      <c r="J553" s="25">
        <v>340900</v>
      </c>
    </row>
    <row r="554" spans="1:10" ht="16" x14ac:dyDescent="0.45">
      <c r="A554" s="153" t="str">
        <f>B554&amp;C554&amp;E554&amp;G554</f>
        <v>청정기파워업72M(2개월점검주기)</v>
      </c>
      <c r="B554" s="17" t="s">
        <v>143</v>
      </c>
      <c r="C554" s="18" t="s">
        <v>554</v>
      </c>
      <c r="D554" s="19" t="s">
        <v>691</v>
      </c>
      <c r="E554" s="19">
        <v>7</v>
      </c>
      <c r="F554" s="19" t="s">
        <v>0</v>
      </c>
      <c r="G554" s="20" t="s">
        <v>452</v>
      </c>
      <c r="H554" s="36">
        <v>50900</v>
      </c>
      <c r="I554" s="36">
        <v>45900</v>
      </c>
      <c r="J554" s="25">
        <v>340900</v>
      </c>
    </row>
    <row r="555" spans="1:10" ht="16" x14ac:dyDescent="0.45">
      <c r="A555" s="153" t="str">
        <f>B555&amp;C555&amp;E555&amp;G555</f>
        <v>청정기히티브 온풍청정기34M(4개월점검주기)</v>
      </c>
      <c r="B555" s="17" t="s">
        <v>143</v>
      </c>
      <c r="C555" s="18" t="s">
        <v>1007</v>
      </c>
      <c r="D555" s="19" t="s">
        <v>1008</v>
      </c>
      <c r="E555" s="19">
        <v>3</v>
      </c>
      <c r="F555" s="19" t="s">
        <v>1</v>
      </c>
      <c r="G555" s="20" t="s">
        <v>453</v>
      </c>
      <c r="H555" s="36">
        <v>40900</v>
      </c>
      <c r="I555" s="36">
        <v>37900</v>
      </c>
      <c r="J555" s="25">
        <v>262700</v>
      </c>
    </row>
    <row r="556" spans="1:10" ht="16" x14ac:dyDescent="0.45">
      <c r="A556" s="153" t="str">
        <f>B556&amp;C556&amp;E556&amp;G556</f>
        <v>청정기히티브 온풍청정기54M(4개월점검주기)</v>
      </c>
      <c r="B556" s="17" t="s">
        <v>143</v>
      </c>
      <c r="C556" s="18" t="s">
        <v>1007</v>
      </c>
      <c r="D556" s="19" t="s">
        <v>1008</v>
      </c>
      <c r="E556" s="19">
        <v>5</v>
      </c>
      <c r="F556" s="19" t="s">
        <v>0</v>
      </c>
      <c r="G556" s="20" t="s">
        <v>453</v>
      </c>
      <c r="H556" s="36">
        <v>36400</v>
      </c>
      <c r="I556" s="36">
        <v>33400</v>
      </c>
      <c r="J556" s="25">
        <v>262700</v>
      </c>
    </row>
    <row r="557" spans="1:10" ht="16" x14ac:dyDescent="0.45">
      <c r="A557" s="153" t="str">
        <f>B557&amp;C557&amp;E557&amp;G557</f>
        <v>청정기히티브 온풍청정기64M(4개월점검주기)</v>
      </c>
      <c r="B557" s="17" t="s">
        <v>143</v>
      </c>
      <c r="C557" s="18" t="s">
        <v>1007</v>
      </c>
      <c r="D557" s="19" t="s">
        <v>1008</v>
      </c>
      <c r="E557" s="19">
        <v>6</v>
      </c>
      <c r="F557" s="19" t="s">
        <v>0</v>
      </c>
      <c r="G557" s="20" t="s">
        <v>453</v>
      </c>
      <c r="H557" s="36">
        <v>34400</v>
      </c>
      <c r="I557" s="36">
        <v>31400</v>
      </c>
      <c r="J557" s="25">
        <v>302100</v>
      </c>
    </row>
    <row r="558" spans="1:10" ht="16" x14ac:dyDescent="0.45">
      <c r="A558" s="153" t="str">
        <f>B558&amp;C558&amp;E558&amp;G558</f>
        <v>청정기히티브 온풍청정기74M(4개월점검주기)</v>
      </c>
      <c r="B558" s="17" t="s">
        <v>143</v>
      </c>
      <c r="C558" s="18" t="s">
        <v>1007</v>
      </c>
      <c r="D558" s="19" t="s">
        <v>1008</v>
      </c>
      <c r="E558" s="19">
        <v>7</v>
      </c>
      <c r="F558" s="19" t="s">
        <v>0</v>
      </c>
      <c r="G558" s="20" t="s">
        <v>453</v>
      </c>
      <c r="H558" s="36">
        <v>32400</v>
      </c>
      <c r="I558" s="36">
        <v>29400</v>
      </c>
      <c r="J558" s="25">
        <v>302100</v>
      </c>
    </row>
    <row r="559" spans="1:10" ht="16" x14ac:dyDescent="0.45">
      <c r="A559" s="153" t="str">
        <f>B559&amp;C559&amp;E559&amp;G559</f>
        <v>청정기히티브 온풍청정기36M(6개월점검주기)</v>
      </c>
      <c r="B559" s="17" t="s">
        <v>143</v>
      </c>
      <c r="C559" s="18" t="s">
        <v>1007</v>
      </c>
      <c r="D559" s="19" t="s">
        <v>1008</v>
      </c>
      <c r="E559" s="19">
        <v>3</v>
      </c>
      <c r="F559" s="19" t="s">
        <v>1</v>
      </c>
      <c r="G559" s="20" t="s">
        <v>454</v>
      </c>
      <c r="H559" s="36">
        <v>38900</v>
      </c>
      <c r="I559" s="36">
        <v>35900</v>
      </c>
      <c r="J559" s="25">
        <v>251500</v>
      </c>
    </row>
    <row r="560" spans="1:10" ht="16" x14ac:dyDescent="0.45">
      <c r="A560" s="153" t="str">
        <f>B560&amp;C560&amp;E560&amp;G560</f>
        <v>청정기히티브 온풍청정기56M(6개월점검주기)</v>
      </c>
      <c r="B560" s="17" t="s">
        <v>143</v>
      </c>
      <c r="C560" s="18" t="s">
        <v>1007</v>
      </c>
      <c r="D560" s="19" t="s">
        <v>1008</v>
      </c>
      <c r="E560" s="19">
        <v>5</v>
      </c>
      <c r="F560" s="19" t="s">
        <v>0</v>
      </c>
      <c r="G560" s="20" t="s">
        <v>454</v>
      </c>
      <c r="H560" s="36">
        <v>34400</v>
      </c>
      <c r="I560" s="36">
        <v>31400</v>
      </c>
      <c r="J560" s="25">
        <v>251500</v>
      </c>
    </row>
    <row r="561" spans="1:10" ht="16" x14ac:dyDescent="0.45">
      <c r="A561" s="153" t="str">
        <f>B561&amp;C561&amp;E561&amp;G561</f>
        <v>청정기히티브 온풍청정기66M(6개월점검주기)</v>
      </c>
      <c r="B561" s="17" t="s">
        <v>143</v>
      </c>
      <c r="C561" s="18" t="s">
        <v>1007</v>
      </c>
      <c r="D561" s="19" t="s">
        <v>1008</v>
      </c>
      <c r="E561" s="19">
        <v>6</v>
      </c>
      <c r="F561" s="19" t="s">
        <v>0</v>
      </c>
      <c r="G561" s="20" t="s">
        <v>454</v>
      </c>
      <c r="H561" s="36">
        <v>32400</v>
      </c>
      <c r="I561" s="36">
        <v>29400</v>
      </c>
      <c r="J561" s="25">
        <v>289200</v>
      </c>
    </row>
    <row r="562" spans="1:10" ht="16" x14ac:dyDescent="0.45">
      <c r="A562" s="153" t="str">
        <f>B562&amp;C562&amp;E562&amp;G562</f>
        <v>청정기히티브 온풍청정기76M(6개월점검주기)</v>
      </c>
      <c r="B562" s="17" t="s">
        <v>143</v>
      </c>
      <c r="C562" s="18" t="s">
        <v>1007</v>
      </c>
      <c r="D562" s="19" t="s">
        <v>1008</v>
      </c>
      <c r="E562" s="19">
        <v>7</v>
      </c>
      <c r="F562" s="19" t="s">
        <v>0</v>
      </c>
      <c r="G562" s="20" t="s">
        <v>454</v>
      </c>
      <c r="H562" s="36">
        <v>30400</v>
      </c>
      <c r="I562" s="36">
        <v>27400</v>
      </c>
      <c r="J562" s="25">
        <v>289200</v>
      </c>
    </row>
    <row r="563" spans="1:10" ht="16" x14ac:dyDescent="0.45">
      <c r="A563" s="153" t="str">
        <f>B563&amp;C563&amp;E563&amp;G563</f>
        <v>청정기히티브 온풍청정기3자가관리</v>
      </c>
      <c r="B563" s="17" t="s">
        <v>143</v>
      </c>
      <c r="C563" s="18" t="s">
        <v>1007</v>
      </c>
      <c r="D563" s="19" t="s">
        <v>1008</v>
      </c>
      <c r="E563" s="19">
        <v>3</v>
      </c>
      <c r="F563" s="19" t="s">
        <v>1</v>
      </c>
      <c r="G563" s="20" t="s">
        <v>3</v>
      </c>
      <c r="H563" s="36">
        <v>35900</v>
      </c>
      <c r="I563" s="36">
        <v>32900</v>
      </c>
      <c r="J563" s="25">
        <v>240200</v>
      </c>
    </row>
    <row r="564" spans="1:10" ht="16" x14ac:dyDescent="0.45">
      <c r="A564" s="153" t="str">
        <f>B564&amp;C564&amp;E564&amp;G564</f>
        <v>청정기히티브 온풍청정기5자가관리</v>
      </c>
      <c r="B564" s="17" t="s">
        <v>143</v>
      </c>
      <c r="C564" s="18" t="s">
        <v>1007</v>
      </c>
      <c r="D564" s="19" t="s">
        <v>1008</v>
      </c>
      <c r="E564" s="19">
        <v>5</v>
      </c>
      <c r="F564" s="19" t="s">
        <v>0</v>
      </c>
      <c r="G564" s="20" t="s">
        <v>3</v>
      </c>
      <c r="H564" s="36">
        <v>31400</v>
      </c>
      <c r="I564" s="36">
        <v>28400</v>
      </c>
      <c r="J564" s="25">
        <v>240200</v>
      </c>
    </row>
    <row r="565" spans="1:10" ht="16" x14ac:dyDescent="0.45">
      <c r="A565" s="153" t="str">
        <f>B565&amp;C565&amp;E565&amp;G565</f>
        <v>청정기히티브 온풍청정기6자가관리</v>
      </c>
      <c r="B565" s="17" t="s">
        <v>143</v>
      </c>
      <c r="C565" s="18" t="s">
        <v>1007</v>
      </c>
      <c r="D565" s="19" t="s">
        <v>1008</v>
      </c>
      <c r="E565" s="19">
        <v>6</v>
      </c>
      <c r="F565" s="19" t="s">
        <v>0</v>
      </c>
      <c r="G565" s="20" t="s">
        <v>3</v>
      </c>
      <c r="H565" s="36">
        <v>29400</v>
      </c>
      <c r="I565" s="36">
        <v>26400</v>
      </c>
      <c r="J565" s="25">
        <v>276200</v>
      </c>
    </row>
    <row r="566" spans="1:10" ht="16" x14ac:dyDescent="0.45">
      <c r="A566" s="153" t="str">
        <f>B566&amp;C566&amp;E566&amp;G566</f>
        <v>청정기히티브 온풍청정기7자가관리</v>
      </c>
      <c r="B566" s="17" t="s">
        <v>143</v>
      </c>
      <c r="C566" s="18" t="s">
        <v>1007</v>
      </c>
      <c r="D566" s="19" t="s">
        <v>1008</v>
      </c>
      <c r="E566" s="19">
        <v>7</v>
      </c>
      <c r="F566" s="19" t="s">
        <v>0</v>
      </c>
      <c r="G566" s="20" t="s">
        <v>3</v>
      </c>
      <c r="H566" s="36">
        <v>27400</v>
      </c>
      <c r="I566" s="36">
        <v>24400</v>
      </c>
      <c r="J566" s="25">
        <v>276200</v>
      </c>
    </row>
    <row r="567" spans="1:10" ht="16" x14ac:dyDescent="0.45">
      <c r="A567" s="153" t="str">
        <f>B567&amp;C567&amp;E567&amp;G567</f>
        <v>제습기노블 제습기5방문관리(선택)</v>
      </c>
      <c r="B567" s="17" t="s">
        <v>602</v>
      </c>
      <c r="C567" s="18" t="s">
        <v>548</v>
      </c>
      <c r="D567" s="19" t="s">
        <v>182</v>
      </c>
      <c r="E567" s="19">
        <v>5</v>
      </c>
      <c r="F567" s="19" t="s">
        <v>0</v>
      </c>
      <c r="G567" s="20" t="s">
        <v>596</v>
      </c>
      <c r="H567" s="36">
        <v>22900</v>
      </c>
      <c r="I567" s="36">
        <v>20900</v>
      </c>
      <c r="J567" s="25">
        <v>209100</v>
      </c>
    </row>
    <row r="568" spans="1:10" ht="16" x14ac:dyDescent="0.45">
      <c r="A568" s="153" t="str">
        <f>B568&amp;C568&amp;E568&amp;G568</f>
        <v>제습기노블 제습기6방문관리(선택)</v>
      </c>
      <c r="B568" s="17" t="s">
        <v>602</v>
      </c>
      <c r="C568" s="18" t="s">
        <v>548</v>
      </c>
      <c r="D568" s="19" t="s">
        <v>182</v>
      </c>
      <c r="E568" s="19">
        <v>6</v>
      </c>
      <c r="F568" s="19" t="s">
        <v>0</v>
      </c>
      <c r="G568" s="20" t="s">
        <v>596</v>
      </c>
      <c r="H568" s="36">
        <v>20900</v>
      </c>
      <c r="I568" s="36">
        <v>18900</v>
      </c>
      <c r="J568" s="25">
        <v>240500</v>
      </c>
    </row>
    <row r="569" spans="1:10" ht="16" x14ac:dyDescent="0.45">
      <c r="A569" s="153" t="str">
        <f>B569&amp;C569&amp;E569&amp;G569</f>
        <v>제습기노블 제습기7방문관리(선택)</v>
      </c>
      <c r="B569" s="17" t="s">
        <v>602</v>
      </c>
      <c r="C569" s="18" t="s">
        <v>548</v>
      </c>
      <c r="D569" s="19" t="s">
        <v>182</v>
      </c>
      <c r="E569" s="19">
        <v>7</v>
      </c>
      <c r="F569" s="19" t="s">
        <v>0</v>
      </c>
      <c r="G569" s="20" t="s">
        <v>596</v>
      </c>
      <c r="H569" s="36">
        <v>18900</v>
      </c>
      <c r="I569" s="36">
        <v>16900</v>
      </c>
      <c r="J569" s="25">
        <v>240500</v>
      </c>
    </row>
    <row r="570" spans="1:10" ht="16" x14ac:dyDescent="0.45">
      <c r="A570" s="153" t="str">
        <f>B570&amp;C570&amp;E570&amp;G570</f>
        <v>제습기노블 제습기5서비스프리</v>
      </c>
      <c r="B570" s="17" t="s">
        <v>602</v>
      </c>
      <c r="C570" s="18" t="s">
        <v>548</v>
      </c>
      <c r="D570" s="19" t="s">
        <v>182</v>
      </c>
      <c r="E570" s="19">
        <v>5</v>
      </c>
      <c r="F570" s="19" t="s">
        <v>0</v>
      </c>
      <c r="G570" s="20" t="s">
        <v>183</v>
      </c>
      <c r="H570" s="36">
        <v>20900</v>
      </c>
      <c r="I570" s="36">
        <v>18900</v>
      </c>
      <c r="J570" s="25">
        <v>197900</v>
      </c>
    </row>
    <row r="571" spans="1:10" ht="16" x14ac:dyDescent="0.45">
      <c r="A571" s="153" t="str">
        <f>B571&amp;C571&amp;E571&amp;G571</f>
        <v>제습기노블 제습기6서비스프리</v>
      </c>
      <c r="B571" s="17" t="s">
        <v>602</v>
      </c>
      <c r="C571" s="18" t="s">
        <v>548</v>
      </c>
      <c r="D571" s="19" t="s">
        <v>182</v>
      </c>
      <c r="E571" s="19">
        <v>6</v>
      </c>
      <c r="F571" s="19" t="s">
        <v>0</v>
      </c>
      <c r="G571" s="20" t="s">
        <v>183</v>
      </c>
      <c r="H571" s="36">
        <v>18900</v>
      </c>
      <c r="I571" s="36">
        <v>16900</v>
      </c>
      <c r="J571" s="25">
        <v>227600</v>
      </c>
    </row>
    <row r="572" spans="1:10" ht="16" x14ac:dyDescent="0.45">
      <c r="A572" s="153" t="str">
        <f>B572&amp;C572&amp;E572&amp;G572</f>
        <v>제습기노블 제습기7서비스프리</v>
      </c>
      <c r="B572" s="17" t="s">
        <v>602</v>
      </c>
      <c r="C572" s="18" t="s">
        <v>548</v>
      </c>
      <c r="D572" s="19" t="s">
        <v>182</v>
      </c>
      <c r="E572" s="19">
        <v>7</v>
      </c>
      <c r="F572" s="19" t="s">
        <v>0</v>
      </c>
      <c r="G572" s="20" t="s">
        <v>183</v>
      </c>
      <c r="H572" s="36">
        <v>16900</v>
      </c>
      <c r="I572" s="36">
        <v>14900</v>
      </c>
      <c r="J572" s="25">
        <v>227600</v>
      </c>
    </row>
    <row r="573" spans="1:10" ht="16" x14ac:dyDescent="0.45">
      <c r="A573" s="153" t="str">
        <f>B573&amp;C573&amp;E573&amp;G573</f>
        <v>제습기인버터 제습기 20L5방문관리(선택)</v>
      </c>
      <c r="B573" s="17" t="s">
        <v>602</v>
      </c>
      <c r="C573" s="18" t="s">
        <v>1182</v>
      </c>
      <c r="D573" s="19" t="s">
        <v>1183</v>
      </c>
      <c r="E573" s="19">
        <v>5</v>
      </c>
      <c r="F573" s="19" t="s">
        <v>0</v>
      </c>
      <c r="G573" s="20" t="s">
        <v>596</v>
      </c>
      <c r="H573" s="36">
        <v>25400</v>
      </c>
      <c r="I573" s="36">
        <v>23400</v>
      </c>
      <c r="J573" s="25">
        <v>220300</v>
      </c>
    </row>
    <row r="574" spans="1:10" ht="16" x14ac:dyDescent="0.45">
      <c r="A574" s="153" t="str">
        <f>B574&amp;C574&amp;E574&amp;G574</f>
        <v>제습기인버터 제습기 20L6방문관리(선택)</v>
      </c>
      <c r="B574" s="17" t="s">
        <v>602</v>
      </c>
      <c r="C574" s="18" t="s">
        <v>1182</v>
      </c>
      <c r="D574" s="19" t="s">
        <v>1183</v>
      </c>
      <c r="E574" s="19">
        <v>6</v>
      </c>
      <c r="F574" s="19" t="s">
        <v>0</v>
      </c>
      <c r="G574" s="20" t="s">
        <v>596</v>
      </c>
      <c r="H574" s="36">
        <v>22400</v>
      </c>
      <c r="I574" s="36">
        <v>20400</v>
      </c>
      <c r="J574" s="25">
        <v>253300</v>
      </c>
    </row>
    <row r="575" spans="1:10" ht="16" x14ac:dyDescent="0.45">
      <c r="A575" s="153" t="str">
        <f>B575&amp;C575&amp;E575&amp;G575</f>
        <v>제습기인버터 제습기 20L7방문관리(선택)</v>
      </c>
      <c r="B575" s="17" t="s">
        <v>602</v>
      </c>
      <c r="C575" s="18" t="s">
        <v>1182</v>
      </c>
      <c r="D575" s="19" t="s">
        <v>1183</v>
      </c>
      <c r="E575" s="19">
        <v>7</v>
      </c>
      <c r="F575" s="19" t="s">
        <v>0</v>
      </c>
      <c r="G575" s="20" t="s">
        <v>596</v>
      </c>
      <c r="H575" s="36">
        <v>20400</v>
      </c>
      <c r="I575" s="36">
        <v>18400</v>
      </c>
      <c r="J575" s="25">
        <v>253300</v>
      </c>
    </row>
    <row r="576" spans="1:10" ht="16" x14ac:dyDescent="0.45">
      <c r="A576" s="153" t="str">
        <f>B576&amp;C576&amp;E576&amp;G576</f>
        <v>제습기인버터 제습기 20L5서비스프리</v>
      </c>
      <c r="B576" s="17" t="s">
        <v>602</v>
      </c>
      <c r="C576" s="18" t="s">
        <v>1182</v>
      </c>
      <c r="D576" s="19" t="s">
        <v>1183</v>
      </c>
      <c r="E576" s="19">
        <v>5</v>
      </c>
      <c r="F576" s="19" t="s">
        <v>0</v>
      </c>
      <c r="G576" s="20" t="s">
        <v>183</v>
      </c>
      <c r="H576" s="36">
        <v>23400</v>
      </c>
      <c r="I576" s="36">
        <v>21400</v>
      </c>
      <c r="J576" s="25">
        <v>209100</v>
      </c>
    </row>
    <row r="577" spans="1:10" ht="16" x14ac:dyDescent="0.45">
      <c r="A577" s="153" t="str">
        <f>B577&amp;C577&amp;E577&amp;G577</f>
        <v>제습기인버터 제습기 20L6서비스프리</v>
      </c>
      <c r="B577" s="17" t="s">
        <v>602</v>
      </c>
      <c r="C577" s="18" t="s">
        <v>1182</v>
      </c>
      <c r="D577" s="19" t="s">
        <v>1183</v>
      </c>
      <c r="E577" s="19">
        <v>6</v>
      </c>
      <c r="F577" s="19" t="s">
        <v>0</v>
      </c>
      <c r="G577" s="20" t="s">
        <v>183</v>
      </c>
      <c r="H577" s="36">
        <v>20400</v>
      </c>
      <c r="I577" s="36">
        <v>18400</v>
      </c>
      <c r="J577" s="25">
        <v>240500</v>
      </c>
    </row>
    <row r="578" spans="1:10" ht="16" x14ac:dyDescent="0.45">
      <c r="A578" s="153" t="str">
        <f>B578&amp;C578&amp;E578&amp;G578</f>
        <v>제습기인버터 제습기 20L7서비스프리</v>
      </c>
      <c r="B578" s="17" t="s">
        <v>602</v>
      </c>
      <c r="C578" s="18" t="s">
        <v>1182</v>
      </c>
      <c r="D578" s="19" t="s">
        <v>1183</v>
      </c>
      <c r="E578" s="19">
        <v>7</v>
      </c>
      <c r="F578" s="19" t="s">
        <v>0</v>
      </c>
      <c r="G578" s="20" t="s">
        <v>183</v>
      </c>
      <c r="H578" s="36">
        <v>18400</v>
      </c>
      <c r="I578" s="36">
        <v>16400</v>
      </c>
      <c r="J578" s="25">
        <v>240500</v>
      </c>
    </row>
    <row r="579" spans="1:10" ht="16" x14ac:dyDescent="0.45">
      <c r="A579" s="153" t="str">
        <f>B579&amp;C579&amp;E579&amp;G579</f>
        <v>제습기인버터 제습기 23L5방문관리(선택)</v>
      </c>
      <c r="B579" s="17" t="s">
        <v>602</v>
      </c>
      <c r="C579" s="18" t="s">
        <v>1181</v>
      </c>
      <c r="D579" s="19" t="s">
        <v>904</v>
      </c>
      <c r="E579" s="19">
        <v>5</v>
      </c>
      <c r="F579" s="19" t="s">
        <v>0</v>
      </c>
      <c r="G579" s="20" t="s">
        <v>596</v>
      </c>
      <c r="H579" s="36">
        <v>26900</v>
      </c>
      <c r="I579" s="36">
        <v>24900</v>
      </c>
      <c r="J579" s="25">
        <v>220300</v>
      </c>
    </row>
    <row r="580" spans="1:10" ht="16" x14ac:dyDescent="0.45">
      <c r="A580" s="153" t="str">
        <f>B580&amp;C580&amp;E580&amp;G580</f>
        <v>제습기인버터 제습기 23L6방문관리(선택)</v>
      </c>
      <c r="B580" s="17" t="s">
        <v>602</v>
      </c>
      <c r="C580" s="18" t="s">
        <v>1181</v>
      </c>
      <c r="D580" s="19" t="s">
        <v>904</v>
      </c>
      <c r="E580" s="19">
        <v>6</v>
      </c>
      <c r="F580" s="19" t="s">
        <v>0</v>
      </c>
      <c r="G580" s="20" t="s">
        <v>596</v>
      </c>
      <c r="H580" s="36">
        <v>23900</v>
      </c>
      <c r="I580" s="36">
        <v>21900</v>
      </c>
      <c r="J580" s="25">
        <v>253300</v>
      </c>
    </row>
    <row r="581" spans="1:10" ht="16" x14ac:dyDescent="0.45">
      <c r="A581" s="153" t="str">
        <f>B581&amp;C581&amp;E581&amp;G581</f>
        <v>제습기인버터 제습기 23L7방문관리(선택)</v>
      </c>
      <c r="B581" s="17" t="s">
        <v>602</v>
      </c>
      <c r="C581" s="18" t="s">
        <v>1181</v>
      </c>
      <c r="D581" s="19" t="s">
        <v>904</v>
      </c>
      <c r="E581" s="19">
        <v>7</v>
      </c>
      <c r="F581" s="19" t="s">
        <v>0</v>
      </c>
      <c r="G581" s="20" t="s">
        <v>596</v>
      </c>
      <c r="H581" s="36">
        <v>21900</v>
      </c>
      <c r="I581" s="36">
        <v>19900</v>
      </c>
      <c r="J581" s="25">
        <v>253300</v>
      </c>
    </row>
    <row r="582" spans="1:10" ht="16" x14ac:dyDescent="0.45">
      <c r="A582" s="153" t="str">
        <f>B582&amp;C582&amp;E582&amp;G582</f>
        <v>제습기인버터 제습기 23L5서비스프리</v>
      </c>
      <c r="B582" s="17" t="s">
        <v>602</v>
      </c>
      <c r="C582" s="18" t="s">
        <v>1181</v>
      </c>
      <c r="D582" s="19" t="s">
        <v>904</v>
      </c>
      <c r="E582" s="19">
        <v>5</v>
      </c>
      <c r="F582" s="19" t="s">
        <v>0</v>
      </c>
      <c r="G582" s="20" t="s">
        <v>183</v>
      </c>
      <c r="H582" s="36">
        <v>24900</v>
      </c>
      <c r="I582" s="36">
        <v>22900</v>
      </c>
      <c r="J582" s="25">
        <v>209100</v>
      </c>
    </row>
    <row r="583" spans="1:10" ht="16" x14ac:dyDescent="0.45">
      <c r="A583" s="153" t="str">
        <f>B583&amp;C583&amp;E583&amp;G583</f>
        <v>제습기인버터 제습기 23L6서비스프리</v>
      </c>
      <c r="B583" s="17" t="s">
        <v>602</v>
      </c>
      <c r="C583" s="18" t="s">
        <v>1181</v>
      </c>
      <c r="D583" s="19" t="s">
        <v>904</v>
      </c>
      <c r="E583" s="19">
        <v>6</v>
      </c>
      <c r="F583" s="19" t="s">
        <v>0</v>
      </c>
      <c r="G583" s="20" t="s">
        <v>183</v>
      </c>
      <c r="H583" s="36">
        <v>21900</v>
      </c>
      <c r="I583" s="36">
        <v>19900</v>
      </c>
      <c r="J583" s="25">
        <v>240500</v>
      </c>
    </row>
    <row r="584" spans="1:10" ht="16" x14ac:dyDescent="0.45">
      <c r="A584" s="153" t="str">
        <f>B584&amp;C584&amp;E584&amp;G584</f>
        <v>제습기인버터 제습기 23L7서비스프리</v>
      </c>
      <c r="B584" s="17" t="s">
        <v>602</v>
      </c>
      <c r="C584" s="18" t="s">
        <v>1181</v>
      </c>
      <c r="D584" s="19" t="s">
        <v>904</v>
      </c>
      <c r="E584" s="19">
        <v>7</v>
      </c>
      <c r="F584" s="19" t="s">
        <v>0</v>
      </c>
      <c r="G584" s="20" t="s">
        <v>183</v>
      </c>
      <c r="H584" s="36">
        <v>19900</v>
      </c>
      <c r="I584" s="36">
        <v>17900</v>
      </c>
      <c r="J584" s="25">
        <v>240500</v>
      </c>
    </row>
    <row r="585" spans="1:10" ht="16" x14ac:dyDescent="0.45">
      <c r="A585" s="153" t="str">
        <f>B585&amp;C585&amp;E585&amp;G585</f>
        <v>제습기제습기5방문관리(선택)</v>
      </c>
      <c r="B585" s="17" t="s">
        <v>602</v>
      </c>
      <c r="C585" s="18" t="s">
        <v>597</v>
      </c>
      <c r="D585" s="19" t="s">
        <v>598</v>
      </c>
      <c r="E585" s="19">
        <v>5</v>
      </c>
      <c r="F585" s="19" t="s">
        <v>0</v>
      </c>
      <c r="G585" s="20" t="s">
        <v>596</v>
      </c>
      <c r="H585" s="36">
        <v>26900</v>
      </c>
      <c r="I585" s="36">
        <v>24900</v>
      </c>
      <c r="J585" s="25">
        <v>220300</v>
      </c>
    </row>
    <row r="586" spans="1:10" ht="16" x14ac:dyDescent="0.45">
      <c r="A586" s="153" t="str">
        <f>B586&amp;C586&amp;E586&amp;G586</f>
        <v>제습기제습기6방문관리(선택)</v>
      </c>
      <c r="B586" s="17" t="s">
        <v>602</v>
      </c>
      <c r="C586" s="18" t="s">
        <v>597</v>
      </c>
      <c r="D586" s="19" t="s">
        <v>598</v>
      </c>
      <c r="E586" s="19">
        <v>6</v>
      </c>
      <c r="F586" s="19" t="s">
        <v>0</v>
      </c>
      <c r="G586" s="20" t="s">
        <v>596</v>
      </c>
      <c r="H586" s="36">
        <v>23900</v>
      </c>
      <c r="I586" s="36">
        <v>21900</v>
      </c>
      <c r="J586" s="25">
        <v>253300</v>
      </c>
    </row>
    <row r="587" spans="1:10" ht="16" x14ac:dyDescent="0.45">
      <c r="A587" s="153" t="str">
        <f>B587&amp;C587&amp;E587&amp;G587</f>
        <v>제습기제습기7방문관리(선택)</v>
      </c>
      <c r="B587" s="17" t="s">
        <v>602</v>
      </c>
      <c r="C587" s="18" t="s">
        <v>597</v>
      </c>
      <c r="D587" s="19" t="s">
        <v>598</v>
      </c>
      <c r="E587" s="19">
        <v>7</v>
      </c>
      <c r="F587" s="19" t="s">
        <v>0</v>
      </c>
      <c r="G587" s="20" t="s">
        <v>596</v>
      </c>
      <c r="H587" s="36">
        <v>21900</v>
      </c>
      <c r="I587" s="36">
        <v>19900</v>
      </c>
      <c r="J587" s="25">
        <v>253300</v>
      </c>
    </row>
    <row r="588" spans="1:10" ht="16" x14ac:dyDescent="0.45">
      <c r="A588" s="153" t="str">
        <f>B588&amp;C588&amp;E588&amp;G588</f>
        <v>제습기제습기5서비스프리</v>
      </c>
      <c r="B588" s="17" t="s">
        <v>602</v>
      </c>
      <c r="C588" s="18" t="s">
        <v>597</v>
      </c>
      <c r="D588" s="19" t="s">
        <v>598</v>
      </c>
      <c r="E588" s="19">
        <v>5</v>
      </c>
      <c r="F588" s="19" t="s">
        <v>0</v>
      </c>
      <c r="G588" s="20" t="s">
        <v>183</v>
      </c>
      <c r="H588" s="36">
        <v>24900</v>
      </c>
      <c r="I588" s="36">
        <v>22900</v>
      </c>
      <c r="J588" s="25">
        <v>209100</v>
      </c>
    </row>
    <row r="589" spans="1:10" ht="16" x14ac:dyDescent="0.45">
      <c r="A589" s="153" t="str">
        <f>B589&amp;C589&amp;E589&amp;G589</f>
        <v>제습기제습기6서비스프리</v>
      </c>
      <c r="B589" s="17" t="s">
        <v>602</v>
      </c>
      <c r="C589" s="18" t="s">
        <v>597</v>
      </c>
      <c r="D589" s="19" t="s">
        <v>598</v>
      </c>
      <c r="E589" s="19">
        <v>6</v>
      </c>
      <c r="F589" s="19" t="s">
        <v>0</v>
      </c>
      <c r="G589" s="20" t="s">
        <v>183</v>
      </c>
      <c r="H589" s="36">
        <v>21900</v>
      </c>
      <c r="I589" s="36">
        <v>19900</v>
      </c>
      <c r="J589" s="25">
        <v>240500</v>
      </c>
    </row>
    <row r="590" spans="1:10" ht="16" x14ac:dyDescent="0.45">
      <c r="A590" s="153" t="str">
        <f>B590&amp;C590&amp;E590&amp;G590</f>
        <v>제습기제습기7서비스프리</v>
      </c>
      <c r="B590" s="17" t="s">
        <v>602</v>
      </c>
      <c r="C590" s="18" t="s">
        <v>597</v>
      </c>
      <c r="D590" s="19" t="s">
        <v>598</v>
      </c>
      <c r="E590" s="19">
        <v>7</v>
      </c>
      <c r="F590" s="19" t="s">
        <v>0</v>
      </c>
      <c r="G590" s="20" t="s">
        <v>183</v>
      </c>
      <c r="H590" s="36">
        <v>19900</v>
      </c>
      <c r="I590" s="36">
        <v>17900</v>
      </c>
      <c r="J590" s="25">
        <v>240500</v>
      </c>
    </row>
    <row r="591" spans="1:10" ht="16" x14ac:dyDescent="0.45">
      <c r="A591" s="153" t="str">
        <f>B591&amp;C591&amp;E591&amp;G591</f>
        <v>비데더매너비데플러스32M(2개월점검주기)</v>
      </c>
      <c r="B591" s="17" t="s">
        <v>117</v>
      </c>
      <c r="C591" s="18" t="s">
        <v>1179</v>
      </c>
      <c r="D591" s="19" t="s">
        <v>1180</v>
      </c>
      <c r="E591" s="19">
        <v>3</v>
      </c>
      <c r="F591" s="19" t="s">
        <v>1</v>
      </c>
      <c r="G591" s="20" t="s">
        <v>452</v>
      </c>
      <c r="H591" s="36">
        <v>39400</v>
      </c>
      <c r="I591" s="36">
        <v>36400</v>
      </c>
      <c r="J591" s="25">
        <v>262700</v>
      </c>
    </row>
    <row r="592" spans="1:10" ht="16" x14ac:dyDescent="0.45">
      <c r="A592" s="153" t="str">
        <f>B592&amp;C592&amp;E592&amp;G592</f>
        <v>비데더매너비데플러스52M(2개월점검주기)</v>
      </c>
      <c r="B592" s="17" t="s">
        <v>117</v>
      </c>
      <c r="C592" s="18" t="s">
        <v>1179</v>
      </c>
      <c r="D592" s="19" t="s">
        <v>1180</v>
      </c>
      <c r="E592" s="19">
        <v>5</v>
      </c>
      <c r="F592" s="19" t="s">
        <v>0</v>
      </c>
      <c r="G592" s="20" t="s">
        <v>452</v>
      </c>
      <c r="H592" s="36">
        <v>37400</v>
      </c>
      <c r="I592" s="36">
        <v>34400</v>
      </c>
      <c r="J592" s="25">
        <v>262700</v>
      </c>
    </row>
    <row r="593" spans="1:10" ht="16" x14ac:dyDescent="0.45">
      <c r="A593" s="153" t="str">
        <f>B593&amp;C593&amp;E593&amp;G593</f>
        <v>비데더매너비데플러스62M(2개월점검주기)</v>
      </c>
      <c r="B593" s="17" t="s">
        <v>117</v>
      </c>
      <c r="C593" s="18" t="s">
        <v>1179</v>
      </c>
      <c r="D593" s="19" t="s">
        <v>1180</v>
      </c>
      <c r="E593" s="19">
        <v>6</v>
      </c>
      <c r="F593" s="19" t="s">
        <v>0</v>
      </c>
      <c r="G593" s="20" t="s">
        <v>452</v>
      </c>
      <c r="H593" s="36">
        <v>36400</v>
      </c>
      <c r="I593" s="36">
        <v>33400</v>
      </c>
      <c r="J593" s="25">
        <v>302100</v>
      </c>
    </row>
    <row r="594" spans="1:10" ht="16" x14ac:dyDescent="0.45">
      <c r="A594" s="153" t="str">
        <f>B594&amp;C594&amp;E594&amp;G594</f>
        <v>비데더매너비데플러스72M(2개월점검주기)</v>
      </c>
      <c r="B594" s="17" t="s">
        <v>117</v>
      </c>
      <c r="C594" s="18" t="s">
        <v>1179</v>
      </c>
      <c r="D594" s="19" t="s">
        <v>1180</v>
      </c>
      <c r="E594" s="19">
        <v>7</v>
      </c>
      <c r="F594" s="19" t="s">
        <v>0</v>
      </c>
      <c r="G594" s="20" t="s">
        <v>452</v>
      </c>
      <c r="H594" s="36">
        <v>35400</v>
      </c>
      <c r="I594" s="36">
        <v>32400</v>
      </c>
      <c r="J594" s="25">
        <v>302100</v>
      </c>
    </row>
    <row r="595" spans="1:10" ht="16" x14ac:dyDescent="0.45">
      <c r="A595" s="153" t="str">
        <f>B595&amp;C595&amp;E595&amp;G595</f>
        <v>비데더매너비데플러스34M(4개월점검주기)</v>
      </c>
      <c r="B595" s="17" t="s">
        <v>117</v>
      </c>
      <c r="C595" s="18" t="s">
        <v>1179</v>
      </c>
      <c r="D595" s="19" t="s">
        <v>1180</v>
      </c>
      <c r="E595" s="19">
        <v>3</v>
      </c>
      <c r="F595" s="19" t="s">
        <v>1</v>
      </c>
      <c r="G595" s="20" t="s">
        <v>453</v>
      </c>
      <c r="H595" s="36">
        <v>37400</v>
      </c>
      <c r="I595" s="36">
        <v>34400</v>
      </c>
      <c r="J595" s="25">
        <v>251500</v>
      </c>
    </row>
    <row r="596" spans="1:10" ht="16" x14ac:dyDescent="0.45">
      <c r="A596" s="153" t="str">
        <f>B596&amp;C596&amp;E596&amp;G596</f>
        <v>비데더매너비데플러스54M(4개월점검주기)</v>
      </c>
      <c r="B596" s="17" t="s">
        <v>117</v>
      </c>
      <c r="C596" s="18" t="s">
        <v>1179</v>
      </c>
      <c r="D596" s="19" t="s">
        <v>1180</v>
      </c>
      <c r="E596" s="19">
        <v>5</v>
      </c>
      <c r="F596" s="19" t="s">
        <v>0</v>
      </c>
      <c r="G596" s="20" t="s">
        <v>453</v>
      </c>
      <c r="H596" s="36">
        <v>35400</v>
      </c>
      <c r="I596" s="36">
        <v>32400</v>
      </c>
      <c r="J596" s="25">
        <v>251500</v>
      </c>
    </row>
    <row r="597" spans="1:10" ht="16" x14ac:dyDescent="0.45">
      <c r="A597" s="153" t="str">
        <f>B597&amp;C597&amp;E597&amp;G597</f>
        <v>비데더매너비데플러스64M(4개월점검주기)</v>
      </c>
      <c r="B597" s="17" t="s">
        <v>117</v>
      </c>
      <c r="C597" s="18" t="s">
        <v>1179</v>
      </c>
      <c r="D597" s="19" t="s">
        <v>1180</v>
      </c>
      <c r="E597" s="19">
        <v>6</v>
      </c>
      <c r="F597" s="19" t="s">
        <v>0</v>
      </c>
      <c r="G597" s="20" t="s">
        <v>453</v>
      </c>
      <c r="H597" s="36">
        <v>34400</v>
      </c>
      <c r="I597" s="36">
        <v>31400</v>
      </c>
      <c r="J597" s="25">
        <v>289200</v>
      </c>
    </row>
    <row r="598" spans="1:10" ht="16" x14ac:dyDescent="0.45">
      <c r="A598" s="153" t="str">
        <f>B598&amp;C598&amp;E598&amp;G598</f>
        <v>비데더매너비데플러스74M(4개월점검주기)</v>
      </c>
      <c r="B598" s="17" t="s">
        <v>117</v>
      </c>
      <c r="C598" s="18" t="s">
        <v>1179</v>
      </c>
      <c r="D598" s="19" t="s">
        <v>1180</v>
      </c>
      <c r="E598" s="19">
        <v>7</v>
      </c>
      <c r="F598" s="19" t="s">
        <v>0</v>
      </c>
      <c r="G598" s="20" t="s">
        <v>453</v>
      </c>
      <c r="H598" s="36">
        <v>33400</v>
      </c>
      <c r="I598" s="36">
        <v>30400</v>
      </c>
      <c r="J598" s="25">
        <v>289200</v>
      </c>
    </row>
    <row r="599" spans="1:10" ht="16" x14ac:dyDescent="0.45">
      <c r="A599" s="153" t="str">
        <f>B599&amp;C599&amp;E599&amp;G599</f>
        <v>비데더매너비데플러스3자가관리</v>
      </c>
      <c r="B599" s="17" t="s">
        <v>117</v>
      </c>
      <c r="C599" s="18" t="s">
        <v>1179</v>
      </c>
      <c r="D599" s="19" t="s">
        <v>1180</v>
      </c>
      <c r="E599" s="19">
        <v>3</v>
      </c>
      <c r="F599" s="19" t="s">
        <v>1</v>
      </c>
      <c r="G599" s="20" t="s">
        <v>3</v>
      </c>
      <c r="H599" s="36">
        <v>35400</v>
      </c>
      <c r="I599" s="36">
        <v>32400</v>
      </c>
      <c r="J599" s="25">
        <v>251500</v>
      </c>
    </row>
    <row r="600" spans="1:10" ht="16" x14ac:dyDescent="0.45">
      <c r="A600" s="153" t="str">
        <f>B600&amp;C600&amp;E600&amp;G600</f>
        <v>비데더매너비데플러스5자가관리</v>
      </c>
      <c r="B600" s="17" t="s">
        <v>117</v>
      </c>
      <c r="C600" s="18" t="s">
        <v>1179</v>
      </c>
      <c r="D600" s="19" t="s">
        <v>1180</v>
      </c>
      <c r="E600" s="19">
        <v>5</v>
      </c>
      <c r="F600" s="19" t="s">
        <v>0</v>
      </c>
      <c r="G600" s="20" t="s">
        <v>3</v>
      </c>
      <c r="H600" s="36">
        <v>33400</v>
      </c>
      <c r="I600" s="36">
        <v>30400</v>
      </c>
      <c r="J600" s="25">
        <v>251500</v>
      </c>
    </row>
    <row r="601" spans="1:10" ht="16" x14ac:dyDescent="0.45">
      <c r="A601" s="153" t="str">
        <f>B601&amp;C601&amp;E601&amp;G601</f>
        <v>비데더매너비데플러스6자가관리</v>
      </c>
      <c r="B601" s="17" t="s">
        <v>117</v>
      </c>
      <c r="C601" s="18" t="s">
        <v>1179</v>
      </c>
      <c r="D601" s="19" t="s">
        <v>1180</v>
      </c>
      <c r="E601" s="19">
        <v>6</v>
      </c>
      <c r="F601" s="19" t="s">
        <v>0</v>
      </c>
      <c r="G601" s="20" t="s">
        <v>3</v>
      </c>
      <c r="H601" s="36">
        <v>32400</v>
      </c>
      <c r="I601" s="36">
        <v>29400</v>
      </c>
      <c r="J601" s="25">
        <v>289200</v>
      </c>
    </row>
    <row r="602" spans="1:10" ht="16" x14ac:dyDescent="0.45">
      <c r="A602" s="153" t="str">
        <f>B602&amp;C602&amp;E602&amp;G602</f>
        <v>비데더매너비데플러스7자가관리</v>
      </c>
      <c r="B602" s="17" t="s">
        <v>117</v>
      </c>
      <c r="C602" s="18" t="s">
        <v>1179</v>
      </c>
      <c r="D602" s="19" t="s">
        <v>1180</v>
      </c>
      <c r="E602" s="19">
        <v>7</v>
      </c>
      <c r="F602" s="19" t="s">
        <v>0</v>
      </c>
      <c r="G602" s="20" t="s">
        <v>3</v>
      </c>
      <c r="H602" s="36">
        <v>31400</v>
      </c>
      <c r="I602" s="36">
        <v>28400</v>
      </c>
      <c r="J602" s="25">
        <v>289200</v>
      </c>
    </row>
    <row r="603" spans="1:10" ht="16" x14ac:dyDescent="0.45">
      <c r="A603" s="153" t="str">
        <f>B603&amp;C603&amp;E603&amp;G603</f>
        <v>비데더블케어32M(2개월점검주기)</v>
      </c>
      <c r="B603" s="17" t="s">
        <v>117</v>
      </c>
      <c r="C603" s="18" t="s">
        <v>506</v>
      </c>
      <c r="D603" s="19" t="s">
        <v>123</v>
      </c>
      <c r="E603" s="19">
        <v>3</v>
      </c>
      <c r="F603" s="19" t="s">
        <v>1</v>
      </c>
      <c r="G603" s="20" t="s">
        <v>452</v>
      </c>
      <c r="H603" s="36">
        <v>32400</v>
      </c>
      <c r="I603" s="36">
        <v>30900</v>
      </c>
      <c r="J603" s="25">
        <v>240200</v>
      </c>
    </row>
    <row r="604" spans="1:10" ht="16" x14ac:dyDescent="0.45">
      <c r="A604" s="153" t="str">
        <f>B604&amp;C604&amp;E604&amp;G604</f>
        <v>비데더블케어62M(2개월점검주기)</v>
      </c>
      <c r="B604" s="17" t="s">
        <v>117</v>
      </c>
      <c r="C604" s="18" t="s">
        <v>506</v>
      </c>
      <c r="D604" s="19" t="s">
        <v>123</v>
      </c>
      <c r="E604" s="19">
        <v>6</v>
      </c>
      <c r="F604" s="19" t="s">
        <v>0</v>
      </c>
      <c r="G604" s="20" t="s">
        <v>452</v>
      </c>
      <c r="H604" s="36">
        <v>30400</v>
      </c>
      <c r="I604" s="36">
        <v>28900</v>
      </c>
      <c r="J604" s="25">
        <v>276200</v>
      </c>
    </row>
    <row r="605" spans="1:10" ht="16" x14ac:dyDescent="0.45">
      <c r="A605" s="153" t="str">
        <f>B605&amp;C605&amp;E605&amp;G605</f>
        <v>비데더블케어34M(4개월점검주기)</v>
      </c>
      <c r="B605" s="17" t="s">
        <v>117</v>
      </c>
      <c r="C605" s="18" t="s">
        <v>506</v>
      </c>
      <c r="D605" s="19" t="s">
        <v>123</v>
      </c>
      <c r="E605" s="19">
        <v>3</v>
      </c>
      <c r="F605" s="19" t="s">
        <v>1</v>
      </c>
      <c r="G605" s="20" t="s">
        <v>453</v>
      </c>
      <c r="H605" s="36">
        <v>30400</v>
      </c>
      <c r="I605" s="36">
        <v>28900</v>
      </c>
      <c r="J605" s="25">
        <v>231600</v>
      </c>
    </row>
    <row r="606" spans="1:10" ht="16" x14ac:dyDescent="0.45">
      <c r="A606" s="153" t="str">
        <f>B606&amp;C606&amp;E606&amp;G606</f>
        <v>비데더블케어64M(4개월점검주기)</v>
      </c>
      <c r="B606" s="17" t="s">
        <v>117</v>
      </c>
      <c r="C606" s="18" t="s">
        <v>506</v>
      </c>
      <c r="D606" s="19" t="s">
        <v>123</v>
      </c>
      <c r="E606" s="19">
        <v>6</v>
      </c>
      <c r="F606" s="19" t="s">
        <v>0</v>
      </c>
      <c r="G606" s="20" t="s">
        <v>453</v>
      </c>
      <c r="H606" s="36">
        <v>28400</v>
      </c>
      <c r="I606" s="36">
        <v>26900</v>
      </c>
      <c r="J606" s="25">
        <v>266300</v>
      </c>
    </row>
    <row r="607" spans="1:10" ht="16" x14ac:dyDescent="0.45">
      <c r="A607" s="153" t="str">
        <f>B607&amp;C607&amp;E607&amp;G607</f>
        <v>비데더블케어3자가관리</v>
      </c>
      <c r="B607" s="17" t="s">
        <v>117</v>
      </c>
      <c r="C607" s="18" t="s">
        <v>506</v>
      </c>
      <c r="D607" s="19" t="s">
        <v>123</v>
      </c>
      <c r="E607" s="19">
        <v>3</v>
      </c>
      <c r="F607" s="19" t="s">
        <v>1</v>
      </c>
      <c r="G607" s="20" t="s">
        <v>3</v>
      </c>
      <c r="H607" s="36">
        <v>28400</v>
      </c>
      <c r="I607" s="36">
        <v>26900</v>
      </c>
      <c r="J607" s="25">
        <v>231600</v>
      </c>
    </row>
    <row r="608" spans="1:10" ht="16" x14ac:dyDescent="0.45">
      <c r="A608" s="153" t="str">
        <f>B608&amp;C608&amp;E608&amp;G608</f>
        <v>비데더블케어6자가관리</v>
      </c>
      <c r="B608" s="17" t="s">
        <v>117</v>
      </c>
      <c r="C608" s="18" t="s">
        <v>506</v>
      </c>
      <c r="D608" s="19" t="s">
        <v>123</v>
      </c>
      <c r="E608" s="19">
        <v>6</v>
      </c>
      <c r="F608" s="19" t="s">
        <v>0</v>
      </c>
      <c r="G608" s="20" t="s">
        <v>3</v>
      </c>
      <c r="H608" s="36">
        <v>26400</v>
      </c>
      <c r="I608" s="36">
        <v>24900</v>
      </c>
      <c r="J608" s="25">
        <v>266300</v>
      </c>
    </row>
    <row r="609" spans="1:10" ht="16" x14ac:dyDescent="0.45">
      <c r="A609" s="153" t="str">
        <f>B609&amp;C609&amp;E609&amp;G609</f>
        <v>비데더블케어32M(2개월점검주기)</v>
      </c>
      <c r="B609" s="17" t="s">
        <v>117</v>
      </c>
      <c r="C609" s="18" t="s">
        <v>506</v>
      </c>
      <c r="D609" s="19" t="s">
        <v>128</v>
      </c>
      <c r="E609" s="19">
        <v>3</v>
      </c>
      <c r="F609" s="19" t="s">
        <v>1</v>
      </c>
      <c r="G609" s="20" t="s">
        <v>452</v>
      </c>
      <c r="H609" s="36">
        <v>33400</v>
      </c>
      <c r="I609" s="36">
        <v>30900</v>
      </c>
      <c r="J609" s="25">
        <v>240200</v>
      </c>
    </row>
    <row r="610" spans="1:10" ht="16" x14ac:dyDescent="0.45">
      <c r="A610" s="153" t="str">
        <f>B610&amp;C610&amp;E610&amp;G610</f>
        <v>비데더블케어52M(2개월점검주기)</v>
      </c>
      <c r="B610" s="17" t="s">
        <v>117</v>
      </c>
      <c r="C610" s="18" t="s">
        <v>506</v>
      </c>
      <c r="D610" s="19" t="s">
        <v>128</v>
      </c>
      <c r="E610" s="19">
        <v>5</v>
      </c>
      <c r="F610" s="19" t="s">
        <v>0</v>
      </c>
      <c r="G610" s="20" t="s">
        <v>452</v>
      </c>
      <c r="H610" s="36">
        <v>31900</v>
      </c>
      <c r="I610" s="36">
        <v>29400</v>
      </c>
      <c r="J610" s="25">
        <v>240200</v>
      </c>
    </row>
    <row r="611" spans="1:10" ht="16" x14ac:dyDescent="0.45">
      <c r="A611" s="153" t="str">
        <f>B611&amp;C611&amp;E611&amp;G611</f>
        <v>비데더블케어62M(2개월점검주기)</v>
      </c>
      <c r="B611" s="17" t="s">
        <v>117</v>
      </c>
      <c r="C611" s="18" t="s">
        <v>506</v>
      </c>
      <c r="D611" s="19" t="s">
        <v>128</v>
      </c>
      <c r="E611" s="19">
        <v>6</v>
      </c>
      <c r="F611" s="19" t="s">
        <v>0</v>
      </c>
      <c r="G611" s="20" t="s">
        <v>452</v>
      </c>
      <c r="H611" s="36">
        <v>30900</v>
      </c>
      <c r="I611" s="36">
        <v>28400</v>
      </c>
      <c r="J611" s="25">
        <v>276200</v>
      </c>
    </row>
    <row r="612" spans="1:10" ht="16" x14ac:dyDescent="0.45">
      <c r="A612" s="153" t="str">
        <f>B612&amp;C612&amp;E612&amp;G612</f>
        <v>비데더블케어72M(2개월점검주기)</v>
      </c>
      <c r="B612" s="17" t="s">
        <v>1002</v>
      </c>
      <c r="C612" s="18" t="s">
        <v>506</v>
      </c>
      <c r="D612" s="19" t="s">
        <v>128</v>
      </c>
      <c r="E612" s="19">
        <v>7</v>
      </c>
      <c r="F612" s="19" t="s">
        <v>0</v>
      </c>
      <c r="G612" s="20" t="s">
        <v>452</v>
      </c>
      <c r="H612" s="36">
        <v>29900</v>
      </c>
      <c r="I612" s="36">
        <v>27400</v>
      </c>
      <c r="J612" s="25">
        <v>276200</v>
      </c>
    </row>
    <row r="613" spans="1:10" ht="16" x14ac:dyDescent="0.45">
      <c r="A613" s="153" t="str">
        <f>B613&amp;C613&amp;E613&amp;G613</f>
        <v>비데더블케어34M(4개월점검주기)</v>
      </c>
      <c r="B613" s="17" t="s">
        <v>117</v>
      </c>
      <c r="C613" s="18" t="s">
        <v>506</v>
      </c>
      <c r="D613" s="19" t="s">
        <v>128</v>
      </c>
      <c r="E613" s="19">
        <v>3</v>
      </c>
      <c r="F613" s="19" t="s">
        <v>1</v>
      </c>
      <c r="G613" s="20" t="s">
        <v>453</v>
      </c>
      <c r="H613" s="36">
        <v>31400</v>
      </c>
      <c r="I613" s="36">
        <v>28900</v>
      </c>
      <c r="J613" s="25">
        <v>231600</v>
      </c>
    </row>
    <row r="614" spans="1:10" ht="16" x14ac:dyDescent="0.45">
      <c r="A614" s="153" t="str">
        <f>B614&amp;C614&amp;E614&amp;G614</f>
        <v>비데더블케어54M(4개월점검주기)</v>
      </c>
      <c r="B614" s="17" t="s">
        <v>117</v>
      </c>
      <c r="C614" s="18" t="s">
        <v>506</v>
      </c>
      <c r="D614" s="19" t="s">
        <v>128</v>
      </c>
      <c r="E614" s="19">
        <v>5</v>
      </c>
      <c r="F614" s="19" t="s">
        <v>0</v>
      </c>
      <c r="G614" s="20" t="s">
        <v>453</v>
      </c>
      <c r="H614" s="36">
        <v>29900</v>
      </c>
      <c r="I614" s="36">
        <v>27400</v>
      </c>
      <c r="J614" s="25">
        <v>231600</v>
      </c>
    </row>
    <row r="615" spans="1:10" ht="16" x14ac:dyDescent="0.45">
      <c r="A615" s="153" t="str">
        <f>B615&amp;C615&amp;E615&amp;G615</f>
        <v>비데더블케어64M(4개월점검주기)</v>
      </c>
      <c r="B615" s="17" t="s">
        <v>117</v>
      </c>
      <c r="C615" s="18" t="s">
        <v>506</v>
      </c>
      <c r="D615" s="19" t="s">
        <v>128</v>
      </c>
      <c r="E615" s="19">
        <v>6</v>
      </c>
      <c r="F615" s="19" t="s">
        <v>0</v>
      </c>
      <c r="G615" s="20" t="s">
        <v>453</v>
      </c>
      <c r="H615" s="36">
        <v>28900</v>
      </c>
      <c r="I615" s="36">
        <v>26400</v>
      </c>
      <c r="J615" s="25">
        <v>266300</v>
      </c>
    </row>
    <row r="616" spans="1:10" ht="16" x14ac:dyDescent="0.45">
      <c r="A616" s="153" t="str">
        <f>B616&amp;C616&amp;E616&amp;G616</f>
        <v>비데더블케어74M(4개월점검주기)</v>
      </c>
      <c r="B616" s="17" t="s">
        <v>1002</v>
      </c>
      <c r="C616" s="18" t="s">
        <v>506</v>
      </c>
      <c r="D616" s="19" t="s">
        <v>128</v>
      </c>
      <c r="E616" s="19">
        <v>7</v>
      </c>
      <c r="F616" s="19" t="s">
        <v>0</v>
      </c>
      <c r="G616" s="20" t="s">
        <v>453</v>
      </c>
      <c r="H616" s="36">
        <v>27900</v>
      </c>
      <c r="I616" s="36">
        <v>25400</v>
      </c>
      <c r="J616" s="25">
        <v>266300</v>
      </c>
    </row>
    <row r="617" spans="1:10" ht="16" x14ac:dyDescent="0.45">
      <c r="A617" s="153" t="str">
        <f>B617&amp;C617&amp;E617&amp;G617</f>
        <v>비데더블케어3자가관리</v>
      </c>
      <c r="B617" s="17" t="s">
        <v>117</v>
      </c>
      <c r="C617" s="18" t="s">
        <v>506</v>
      </c>
      <c r="D617" s="19" t="s">
        <v>128</v>
      </c>
      <c r="E617" s="19">
        <v>3</v>
      </c>
      <c r="F617" s="19" t="s">
        <v>1</v>
      </c>
      <c r="G617" s="20" t="s">
        <v>3</v>
      </c>
      <c r="H617" s="36">
        <v>29400</v>
      </c>
      <c r="I617" s="36">
        <v>26900</v>
      </c>
      <c r="J617" s="25">
        <v>231600</v>
      </c>
    </row>
    <row r="618" spans="1:10" ht="16" x14ac:dyDescent="0.45">
      <c r="A618" s="153" t="str">
        <f>B618&amp;C618&amp;E618&amp;G618</f>
        <v>비데더블케어5자가관리</v>
      </c>
      <c r="B618" s="17" t="s">
        <v>117</v>
      </c>
      <c r="C618" s="18" t="s">
        <v>506</v>
      </c>
      <c r="D618" s="19" t="s">
        <v>128</v>
      </c>
      <c r="E618" s="19">
        <v>5</v>
      </c>
      <c r="F618" s="19" t="s">
        <v>0</v>
      </c>
      <c r="G618" s="20" t="s">
        <v>3</v>
      </c>
      <c r="H618" s="36">
        <v>27900</v>
      </c>
      <c r="I618" s="36">
        <v>25400</v>
      </c>
      <c r="J618" s="25">
        <v>231600</v>
      </c>
    </row>
    <row r="619" spans="1:10" ht="16" x14ac:dyDescent="0.45">
      <c r="A619" s="153" t="str">
        <f>B619&amp;C619&amp;E619&amp;G619</f>
        <v>비데더블케어6자가관리</v>
      </c>
      <c r="B619" s="17" t="s">
        <v>117</v>
      </c>
      <c r="C619" s="18" t="s">
        <v>506</v>
      </c>
      <c r="D619" s="19" t="s">
        <v>128</v>
      </c>
      <c r="E619" s="19">
        <v>6</v>
      </c>
      <c r="F619" s="19" t="s">
        <v>0</v>
      </c>
      <c r="G619" s="20" t="s">
        <v>3</v>
      </c>
      <c r="H619" s="36">
        <v>26900</v>
      </c>
      <c r="I619" s="36">
        <v>24400</v>
      </c>
      <c r="J619" s="25">
        <v>266300</v>
      </c>
    </row>
    <row r="620" spans="1:10" ht="16" x14ac:dyDescent="0.45">
      <c r="A620" s="153" t="str">
        <f>B620&amp;C620&amp;E620&amp;G620</f>
        <v>비데더블케어7자가관리</v>
      </c>
      <c r="B620" s="17" t="s">
        <v>1002</v>
      </c>
      <c r="C620" s="18" t="s">
        <v>506</v>
      </c>
      <c r="D620" s="19" t="s">
        <v>128</v>
      </c>
      <c r="E620" s="19">
        <v>7</v>
      </c>
      <c r="F620" s="19" t="s">
        <v>0</v>
      </c>
      <c r="G620" s="20" t="s">
        <v>3</v>
      </c>
      <c r="H620" s="36">
        <v>25900</v>
      </c>
      <c r="I620" s="36">
        <v>23400</v>
      </c>
      <c r="J620" s="25">
        <v>266300</v>
      </c>
    </row>
    <row r="621" spans="1:10" ht="16" x14ac:dyDescent="0.45">
      <c r="A621" s="153" t="str">
        <f>B621&amp;C621&amp;E621&amp;G621</f>
        <v>비데더블케어플러스32M(2개월점검주기)</v>
      </c>
      <c r="B621" s="17" t="s">
        <v>117</v>
      </c>
      <c r="C621" s="18" t="s">
        <v>507</v>
      </c>
      <c r="D621" s="19" t="s">
        <v>124</v>
      </c>
      <c r="E621" s="19">
        <v>3</v>
      </c>
      <c r="F621" s="19" t="s">
        <v>1</v>
      </c>
      <c r="G621" s="20" t="s">
        <v>452</v>
      </c>
      <c r="H621" s="36">
        <v>35400</v>
      </c>
      <c r="I621" s="36">
        <v>33900</v>
      </c>
      <c r="J621" s="25">
        <v>251500</v>
      </c>
    </row>
    <row r="622" spans="1:10" ht="16" x14ac:dyDescent="0.45">
      <c r="A622" s="153" t="str">
        <f>B622&amp;C622&amp;E622&amp;G622</f>
        <v>비데더블케어플러스62M(2개월점검주기)</v>
      </c>
      <c r="B622" s="17" t="s">
        <v>117</v>
      </c>
      <c r="C622" s="18" t="s">
        <v>507</v>
      </c>
      <c r="D622" s="19" t="s">
        <v>124</v>
      </c>
      <c r="E622" s="19">
        <v>6</v>
      </c>
      <c r="F622" s="19" t="s">
        <v>0</v>
      </c>
      <c r="G622" s="20" t="s">
        <v>452</v>
      </c>
      <c r="H622" s="36">
        <v>33400</v>
      </c>
      <c r="I622" s="36">
        <v>31900</v>
      </c>
      <c r="J622" s="25">
        <v>289200</v>
      </c>
    </row>
    <row r="623" spans="1:10" ht="16" x14ac:dyDescent="0.45">
      <c r="A623" s="153" t="str">
        <f>B623&amp;C623&amp;E623&amp;G623</f>
        <v>비데더블케어플러스34M(4개월점검주기)</v>
      </c>
      <c r="B623" s="17" t="s">
        <v>117</v>
      </c>
      <c r="C623" s="18" t="s">
        <v>507</v>
      </c>
      <c r="D623" s="19" t="s">
        <v>124</v>
      </c>
      <c r="E623" s="19">
        <v>3</v>
      </c>
      <c r="F623" s="19" t="s">
        <v>1</v>
      </c>
      <c r="G623" s="20" t="s">
        <v>453</v>
      </c>
      <c r="H623" s="36">
        <v>33400</v>
      </c>
      <c r="I623" s="36">
        <v>31900</v>
      </c>
      <c r="J623" s="25">
        <v>251500</v>
      </c>
    </row>
    <row r="624" spans="1:10" ht="16" x14ac:dyDescent="0.45">
      <c r="A624" s="153" t="str">
        <f>B624&amp;C624&amp;E624&amp;G624</f>
        <v>비데더블케어플러스64M(4개월점검주기)</v>
      </c>
      <c r="B624" s="17" t="s">
        <v>117</v>
      </c>
      <c r="C624" s="18" t="s">
        <v>507</v>
      </c>
      <c r="D624" s="19" t="s">
        <v>124</v>
      </c>
      <c r="E624" s="19">
        <v>6</v>
      </c>
      <c r="F624" s="19" t="s">
        <v>0</v>
      </c>
      <c r="G624" s="20" t="s">
        <v>453</v>
      </c>
      <c r="H624" s="36">
        <v>31400</v>
      </c>
      <c r="I624" s="36">
        <v>29900</v>
      </c>
      <c r="J624" s="25">
        <v>289200</v>
      </c>
    </row>
    <row r="625" spans="1:10" ht="16" x14ac:dyDescent="0.45">
      <c r="A625" s="153" t="str">
        <f>B625&amp;C625&amp;E625&amp;G625</f>
        <v>비데더블케어플러스3자가관리</v>
      </c>
      <c r="B625" s="17" t="s">
        <v>117</v>
      </c>
      <c r="C625" s="18" t="s">
        <v>507</v>
      </c>
      <c r="D625" s="19" t="s">
        <v>124</v>
      </c>
      <c r="E625" s="19">
        <v>3</v>
      </c>
      <c r="F625" s="19" t="s">
        <v>1</v>
      </c>
      <c r="G625" s="20" t="s">
        <v>3</v>
      </c>
      <c r="H625" s="36">
        <v>31400</v>
      </c>
      <c r="I625" s="36">
        <v>29900</v>
      </c>
      <c r="J625" s="25">
        <v>240200</v>
      </c>
    </row>
    <row r="626" spans="1:10" ht="16" x14ac:dyDescent="0.45">
      <c r="A626" s="153" t="str">
        <f>B626&amp;C626&amp;E626&amp;G626</f>
        <v>비데더블케어플러스6자가관리</v>
      </c>
      <c r="B626" s="17" t="s">
        <v>117</v>
      </c>
      <c r="C626" s="18" t="s">
        <v>507</v>
      </c>
      <c r="D626" s="19" t="s">
        <v>124</v>
      </c>
      <c r="E626" s="19">
        <v>6</v>
      </c>
      <c r="F626" s="19" t="s">
        <v>0</v>
      </c>
      <c r="G626" s="20" t="s">
        <v>3</v>
      </c>
      <c r="H626" s="36">
        <v>29400</v>
      </c>
      <c r="I626" s="36">
        <v>27900</v>
      </c>
      <c r="J626" s="25">
        <v>276200</v>
      </c>
    </row>
    <row r="627" spans="1:10" ht="16" x14ac:dyDescent="0.45">
      <c r="A627" s="153" t="str">
        <f>B627&amp;C627&amp;E627&amp;G627</f>
        <v>비데더블케어플러스32M(2개월점검주기)</v>
      </c>
      <c r="B627" s="17" t="s">
        <v>117</v>
      </c>
      <c r="C627" s="18" t="s">
        <v>507</v>
      </c>
      <c r="D627" s="19" t="s">
        <v>129</v>
      </c>
      <c r="E627" s="19">
        <v>3</v>
      </c>
      <c r="F627" s="19" t="s">
        <v>1</v>
      </c>
      <c r="G627" s="20" t="s">
        <v>452</v>
      </c>
      <c r="H627" s="36">
        <v>36400</v>
      </c>
      <c r="I627" s="36">
        <v>33900</v>
      </c>
      <c r="J627" s="25">
        <v>251500</v>
      </c>
    </row>
    <row r="628" spans="1:10" ht="16" x14ac:dyDescent="0.45">
      <c r="A628" s="153" t="str">
        <f>B628&amp;C628&amp;E628&amp;G628</f>
        <v>비데더블케어플러스52M(2개월점검주기)</v>
      </c>
      <c r="B628" s="17" t="s">
        <v>117</v>
      </c>
      <c r="C628" s="18" t="s">
        <v>507</v>
      </c>
      <c r="D628" s="19" t="s">
        <v>129</v>
      </c>
      <c r="E628" s="19">
        <v>5</v>
      </c>
      <c r="F628" s="19" t="s">
        <v>0</v>
      </c>
      <c r="G628" s="20" t="s">
        <v>452</v>
      </c>
      <c r="H628" s="36">
        <v>34900</v>
      </c>
      <c r="I628" s="36">
        <v>32400</v>
      </c>
      <c r="J628" s="25">
        <v>251500</v>
      </c>
    </row>
    <row r="629" spans="1:10" ht="16" x14ac:dyDescent="0.45">
      <c r="A629" s="153" t="str">
        <f>B629&amp;C629&amp;E629&amp;G629</f>
        <v>비데더블케어플러스62M(2개월점검주기)</v>
      </c>
      <c r="B629" s="17" t="s">
        <v>117</v>
      </c>
      <c r="C629" s="18" t="s">
        <v>507</v>
      </c>
      <c r="D629" s="19" t="s">
        <v>129</v>
      </c>
      <c r="E629" s="19">
        <v>6</v>
      </c>
      <c r="F629" s="19" t="s">
        <v>0</v>
      </c>
      <c r="G629" s="20" t="s">
        <v>452</v>
      </c>
      <c r="H629" s="36">
        <v>33900</v>
      </c>
      <c r="I629" s="36">
        <v>31400</v>
      </c>
      <c r="J629" s="25">
        <v>289200</v>
      </c>
    </row>
    <row r="630" spans="1:10" ht="16" x14ac:dyDescent="0.45">
      <c r="A630" s="153" t="str">
        <f>B630&amp;C630&amp;E630&amp;G630</f>
        <v>비데더블케어플러스72M(2개월점검주기)</v>
      </c>
      <c r="B630" s="17" t="s">
        <v>1002</v>
      </c>
      <c r="C630" s="18" t="s">
        <v>507</v>
      </c>
      <c r="D630" s="19" t="s">
        <v>129</v>
      </c>
      <c r="E630" s="19">
        <v>7</v>
      </c>
      <c r="F630" s="19" t="s">
        <v>0</v>
      </c>
      <c r="G630" s="20" t="s">
        <v>452</v>
      </c>
      <c r="H630" s="36">
        <v>32900</v>
      </c>
      <c r="I630" s="36">
        <v>28400</v>
      </c>
      <c r="J630" s="25">
        <v>289200</v>
      </c>
    </row>
    <row r="631" spans="1:10" ht="16" x14ac:dyDescent="0.45">
      <c r="A631" s="153" t="str">
        <f>B631&amp;C631&amp;E631&amp;G631</f>
        <v>비데더블케어플러스34M(4개월점검주기)</v>
      </c>
      <c r="B631" s="17" t="s">
        <v>117</v>
      </c>
      <c r="C631" s="18" t="s">
        <v>507</v>
      </c>
      <c r="D631" s="19" t="s">
        <v>129</v>
      </c>
      <c r="E631" s="19">
        <v>3</v>
      </c>
      <c r="F631" s="19" t="s">
        <v>1</v>
      </c>
      <c r="G631" s="20" t="s">
        <v>453</v>
      </c>
      <c r="H631" s="36">
        <v>34400</v>
      </c>
      <c r="I631" s="36">
        <v>31900</v>
      </c>
      <c r="J631" s="25">
        <v>251500</v>
      </c>
    </row>
    <row r="632" spans="1:10" ht="16" x14ac:dyDescent="0.45">
      <c r="A632" s="153" t="str">
        <f>B632&amp;C632&amp;E632&amp;G632</f>
        <v>비데더블케어플러스54M(4개월점검주기)</v>
      </c>
      <c r="B632" s="17" t="s">
        <v>117</v>
      </c>
      <c r="C632" s="18" t="s">
        <v>507</v>
      </c>
      <c r="D632" s="19" t="s">
        <v>129</v>
      </c>
      <c r="E632" s="19">
        <v>5</v>
      </c>
      <c r="F632" s="19" t="s">
        <v>0</v>
      </c>
      <c r="G632" s="20" t="s">
        <v>453</v>
      </c>
      <c r="H632" s="36">
        <v>32900</v>
      </c>
      <c r="I632" s="36">
        <v>30400</v>
      </c>
      <c r="J632" s="25">
        <v>251500</v>
      </c>
    </row>
    <row r="633" spans="1:10" ht="16" x14ac:dyDescent="0.45">
      <c r="A633" s="153" t="str">
        <f>B633&amp;C633&amp;E633&amp;G633</f>
        <v>비데더블케어플러스64M(4개월점검주기)</v>
      </c>
      <c r="B633" s="17" t="s">
        <v>117</v>
      </c>
      <c r="C633" s="18" t="s">
        <v>507</v>
      </c>
      <c r="D633" s="19" t="s">
        <v>129</v>
      </c>
      <c r="E633" s="19">
        <v>6</v>
      </c>
      <c r="F633" s="19" t="s">
        <v>0</v>
      </c>
      <c r="G633" s="20" t="s">
        <v>453</v>
      </c>
      <c r="H633" s="36">
        <v>31900</v>
      </c>
      <c r="I633" s="36">
        <v>29400</v>
      </c>
      <c r="J633" s="25">
        <v>289200</v>
      </c>
    </row>
    <row r="634" spans="1:10" ht="16" x14ac:dyDescent="0.45">
      <c r="A634" s="153" t="str">
        <f>B634&amp;C634&amp;E634&amp;G634</f>
        <v>비데더블케어플러스74M(4개월점검주기)</v>
      </c>
      <c r="B634" s="17" t="s">
        <v>1002</v>
      </c>
      <c r="C634" s="18" t="s">
        <v>507</v>
      </c>
      <c r="D634" s="19" t="s">
        <v>129</v>
      </c>
      <c r="E634" s="19">
        <v>7</v>
      </c>
      <c r="F634" s="19" t="s">
        <v>0</v>
      </c>
      <c r="G634" s="20" t="s">
        <v>453</v>
      </c>
      <c r="H634" s="36">
        <v>30900</v>
      </c>
      <c r="I634" s="36">
        <v>26400</v>
      </c>
      <c r="J634" s="25">
        <v>289200</v>
      </c>
    </row>
    <row r="635" spans="1:10" ht="16" x14ac:dyDescent="0.45">
      <c r="A635" s="153" t="str">
        <f>B635&amp;C635&amp;E635&amp;G635</f>
        <v>비데더블케어플러스3자가관리</v>
      </c>
      <c r="B635" s="17" t="s">
        <v>117</v>
      </c>
      <c r="C635" s="18" t="s">
        <v>507</v>
      </c>
      <c r="D635" s="19" t="s">
        <v>129</v>
      </c>
      <c r="E635" s="19">
        <v>3</v>
      </c>
      <c r="F635" s="19" t="s">
        <v>1</v>
      </c>
      <c r="G635" s="20" t="s">
        <v>3</v>
      </c>
      <c r="H635" s="36">
        <v>32400</v>
      </c>
      <c r="I635" s="36">
        <v>29900</v>
      </c>
      <c r="J635" s="25">
        <v>240200</v>
      </c>
    </row>
    <row r="636" spans="1:10" ht="16" x14ac:dyDescent="0.45">
      <c r="A636" s="153" t="str">
        <f>B636&amp;C636&amp;E636&amp;G636</f>
        <v>비데더블케어플러스5자가관리</v>
      </c>
      <c r="B636" s="17" t="s">
        <v>117</v>
      </c>
      <c r="C636" s="18" t="s">
        <v>507</v>
      </c>
      <c r="D636" s="19" t="s">
        <v>129</v>
      </c>
      <c r="E636" s="19">
        <v>5</v>
      </c>
      <c r="F636" s="19" t="s">
        <v>0</v>
      </c>
      <c r="G636" s="20" t="s">
        <v>3</v>
      </c>
      <c r="H636" s="36">
        <v>30900</v>
      </c>
      <c r="I636" s="36">
        <v>28400</v>
      </c>
      <c r="J636" s="25">
        <v>240200</v>
      </c>
    </row>
    <row r="637" spans="1:10" ht="16" x14ac:dyDescent="0.45">
      <c r="A637" s="153" t="str">
        <f>B637&amp;C637&amp;E637&amp;G637</f>
        <v>비데더블케어플러스6자가관리</v>
      </c>
      <c r="B637" s="17" t="s">
        <v>117</v>
      </c>
      <c r="C637" s="18" t="s">
        <v>507</v>
      </c>
      <c r="D637" s="19" t="s">
        <v>129</v>
      </c>
      <c r="E637" s="19">
        <v>6</v>
      </c>
      <c r="F637" s="19" t="s">
        <v>0</v>
      </c>
      <c r="G637" s="20" t="s">
        <v>3</v>
      </c>
      <c r="H637" s="36">
        <v>29900</v>
      </c>
      <c r="I637" s="36">
        <v>27400</v>
      </c>
      <c r="J637" s="25">
        <v>276200</v>
      </c>
    </row>
    <row r="638" spans="1:10" ht="16" x14ac:dyDescent="0.45">
      <c r="A638" s="153" t="str">
        <f>B638&amp;C638&amp;E638&amp;G638</f>
        <v>비데더블케어플러스7자가관리</v>
      </c>
      <c r="B638" s="17" t="s">
        <v>1002</v>
      </c>
      <c r="C638" s="18" t="s">
        <v>507</v>
      </c>
      <c r="D638" s="19" t="s">
        <v>129</v>
      </c>
      <c r="E638" s="19">
        <v>7</v>
      </c>
      <c r="F638" s="19" t="s">
        <v>0</v>
      </c>
      <c r="G638" s="20" t="s">
        <v>3</v>
      </c>
      <c r="H638" s="36">
        <v>28900</v>
      </c>
      <c r="I638" s="36">
        <v>24400</v>
      </c>
      <c r="J638" s="25">
        <v>276200</v>
      </c>
    </row>
    <row r="639" spans="1:10" ht="16" x14ac:dyDescent="0.45">
      <c r="A639" s="153" t="str">
        <f>B639&amp;C639&amp;E639&amp;G639</f>
        <v>비데비데_리퍼브32M(2개월점검주기)</v>
      </c>
      <c r="B639" s="17" t="s">
        <v>117</v>
      </c>
      <c r="C639" s="18" t="s">
        <v>481</v>
      </c>
      <c r="D639" s="19" t="s">
        <v>134</v>
      </c>
      <c r="E639" s="19">
        <v>3</v>
      </c>
      <c r="F639" s="19" t="s">
        <v>1</v>
      </c>
      <c r="G639" s="20" t="s">
        <v>452</v>
      </c>
      <c r="H639" s="36">
        <v>17900</v>
      </c>
      <c r="I639" s="36">
        <v>17900</v>
      </c>
      <c r="J639" s="25">
        <v>178100</v>
      </c>
    </row>
    <row r="640" spans="1:10" ht="16" x14ac:dyDescent="0.45">
      <c r="A640" s="153" t="str">
        <f>B640&amp;C640&amp;E640&amp;G640</f>
        <v>비데비데_리퍼브32M(2개월점검주기)</v>
      </c>
      <c r="B640" s="17" t="s">
        <v>117</v>
      </c>
      <c r="C640" s="18" t="s">
        <v>481</v>
      </c>
      <c r="D640" s="19" t="s">
        <v>135</v>
      </c>
      <c r="E640" s="19">
        <v>3</v>
      </c>
      <c r="F640" s="19" t="s">
        <v>1</v>
      </c>
      <c r="G640" s="20" t="s">
        <v>452</v>
      </c>
      <c r="H640" s="36">
        <v>17900</v>
      </c>
      <c r="I640" s="36">
        <v>17900</v>
      </c>
      <c r="J640" s="25">
        <v>178100</v>
      </c>
    </row>
    <row r="641" spans="1:10" ht="16" x14ac:dyDescent="0.45">
      <c r="A641" s="153" t="str">
        <f>B641&amp;C641&amp;E641&amp;G641</f>
        <v>비데비데_리퍼브32M(2개월점검주기)</v>
      </c>
      <c r="B641" s="17" t="s">
        <v>117</v>
      </c>
      <c r="C641" s="145" t="s">
        <v>481</v>
      </c>
      <c r="D641" s="19" t="s">
        <v>132</v>
      </c>
      <c r="E641" s="19">
        <v>3</v>
      </c>
      <c r="F641" s="19" t="s">
        <v>1</v>
      </c>
      <c r="G641" s="20" t="s">
        <v>452</v>
      </c>
      <c r="H641" s="36">
        <v>18400</v>
      </c>
      <c r="I641" s="36">
        <v>18400</v>
      </c>
      <c r="J641" s="25">
        <v>178100</v>
      </c>
    </row>
    <row r="642" spans="1:10" ht="16" x14ac:dyDescent="0.45">
      <c r="A642" s="153" t="str">
        <f>B642&amp;C642&amp;E642&amp;G642</f>
        <v>비데비데_리퍼브32M(2개월점검주기)</v>
      </c>
      <c r="B642" s="17" t="s">
        <v>117</v>
      </c>
      <c r="C642" s="145" t="s">
        <v>481</v>
      </c>
      <c r="D642" s="19" t="s">
        <v>133</v>
      </c>
      <c r="E642" s="19">
        <v>3</v>
      </c>
      <c r="F642" s="19" t="s">
        <v>1</v>
      </c>
      <c r="G642" s="20" t="s">
        <v>452</v>
      </c>
      <c r="H642" s="36">
        <v>19900</v>
      </c>
      <c r="I642" s="36">
        <v>19900</v>
      </c>
      <c r="J642" s="25">
        <v>178100</v>
      </c>
    </row>
    <row r="643" spans="1:10" ht="16" x14ac:dyDescent="0.45">
      <c r="A643" s="153" t="str">
        <f>B643&amp;C643&amp;E643&amp;G643</f>
        <v>비데비데_리퍼브32M(2개월점검주기)</v>
      </c>
      <c r="B643" s="17" t="s">
        <v>117</v>
      </c>
      <c r="C643" s="145" t="s">
        <v>481</v>
      </c>
      <c r="D643" s="19" t="s">
        <v>123</v>
      </c>
      <c r="E643" s="19">
        <v>3</v>
      </c>
      <c r="F643" s="19" t="s">
        <v>1</v>
      </c>
      <c r="G643" s="20" t="s">
        <v>452</v>
      </c>
      <c r="H643" s="36">
        <v>25900</v>
      </c>
      <c r="I643" s="36">
        <v>25900</v>
      </c>
      <c r="J643" s="25">
        <v>208400</v>
      </c>
    </row>
    <row r="644" spans="1:10" ht="16" x14ac:dyDescent="0.45">
      <c r="A644" s="153" t="str">
        <f>B644&amp;C644&amp;E644&amp;G644</f>
        <v>비데비데_리퍼브32M(2개월점검주기)</v>
      </c>
      <c r="B644" s="17" t="s">
        <v>117</v>
      </c>
      <c r="C644" s="145" t="s">
        <v>481</v>
      </c>
      <c r="D644" s="19" t="s">
        <v>136</v>
      </c>
      <c r="E644" s="19">
        <v>3</v>
      </c>
      <c r="F644" s="19" t="s">
        <v>1</v>
      </c>
      <c r="G644" s="20" t="s">
        <v>452</v>
      </c>
      <c r="H644" s="36">
        <v>18400</v>
      </c>
      <c r="I644" s="36">
        <v>18400</v>
      </c>
      <c r="J644" s="25">
        <v>178100</v>
      </c>
    </row>
    <row r="645" spans="1:10" ht="16" x14ac:dyDescent="0.45">
      <c r="A645" s="153" t="str">
        <f>B645&amp;C645&amp;E645&amp;G645</f>
        <v>비데비데_리퍼브32M(2개월점검주기)</v>
      </c>
      <c r="B645" s="17" t="s">
        <v>117</v>
      </c>
      <c r="C645" s="145" t="s">
        <v>481</v>
      </c>
      <c r="D645" s="19" t="s">
        <v>122</v>
      </c>
      <c r="E645" s="19">
        <v>3</v>
      </c>
      <c r="F645" s="19" t="s">
        <v>1</v>
      </c>
      <c r="G645" s="20" t="s">
        <v>452</v>
      </c>
      <c r="H645" s="36">
        <v>22700</v>
      </c>
      <c r="I645" s="36">
        <v>22700</v>
      </c>
      <c r="J645" s="25">
        <v>188200</v>
      </c>
    </row>
    <row r="646" spans="1:10" ht="16" x14ac:dyDescent="0.45">
      <c r="A646" s="153" t="str">
        <f>B646&amp;C646&amp;E646&amp;G646</f>
        <v>비데비데_리퍼브32M(2개월점검주기)</v>
      </c>
      <c r="B646" s="17" t="s">
        <v>117</v>
      </c>
      <c r="C646" s="145" t="s">
        <v>481</v>
      </c>
      <c r="D646" s="19" t="s">
        <v>122</v>
      </c>
      <c r="E646" s="19">
        <v>3</v>
      </c>
      <c r="F646" s="19" t="s">
        <v>1</v>
      </c>
      <c r="G646" s="20" t="s">
        <v>452</v>
      </c>
      <c r="H646" s="36">
        <v>21300</v>
      </c>
      <c r="I646" s="36">
        <v>21300</v>
      </c>
      <c r="J646" s="25">
        <v>188200</v>
      </c>
    </row>
    <row r="647" spans="1:10" ht="16" x14ac:dyDescent="0.45">
      <c r="A647" s="153" t="str">
        <f>B647&amp;C647&amp;E647&amp;G647</f>
        <v>비데스스로케어 리모트32M(2개월점검주기)</v>
      </c>
      <c r="B647" s="17" t="s">
        <v>117</v>
      </c>
      <c r="C647" s="145" t="s">
        <v>508</v>
      </c>
      <c r="D647" s="19" t="s">
        <v>127</v>
      </c>
      <c r="E647" s="19">
        <v>3</v>
      </c>
      <c r="F647" s="19" t="s">
        <v>1</v>
      </c>
      <c r="G647" s="20" t="s">
        <v>452</v>
      </c>
      <c r="H647" s="36">
        <v>29400</v>
      </c>
      <c r="I647" s="36">
        <v>26900</v>
      </c>
      <c r="J647" s="25">
        <v>231600</v>
      </c>
    </row>
    <row r="648" spans="1:10" ht="16" x14ac:dyDescent="0.45">
      <c r="A648" s="153" t="str">
        <f>B648&amp;C648&amp;E648&amp;G648</f>
        <v>비데스스로케어 리모트52M(2개월점검주기)</v>
      </c>
      <c r="B648" s="17" t="s">
        <v>117</v>
      </c>
      <c r="C648" s="145" t="s">
        <v>508</v>
      </c>
      <c r="D648" s="19" t="s">
        <v>127</v>
      </c>
      <c r="E648" s="19">
        <v>5</v>
      </c>
      <c r="F648" s="19" t="s">
        <v>0</v>
      </c>
      <c r="G648" s="20" t="s">
        <v>452</v>
      </c>
      <c r="H648" s="36">
        <v>27900</v>
      </c>
      <c r="I648" s="36">
        <v>25400</v>
      </c>
      <c r="J648" s="25">
        <v>231600</v>
      </c>
    </row>
    <row r="649" spans="1:10" ht="16" x14ac:dyDescent="0.45">
      <c r="A649" s="153" t="str">
        <f>B649&amp;C649&amp;E649&amp;G649</f>
        <v>비데스스로케어 리모트62M(2개월점검주기)</v>
      </c>
      <c r="B649" s="17" t="s">
        <v>117</v>
      </c>
      <c r="C649" s="145" t="s">
        <v>508</v>
      </c>
      <c r="D649" s="19" t="s">
        <v>127</v>
      </c>
      <c r="E649" s="19">
        <v>6</v>
      </c>
      <c r="F649" s="19" t="s">
        <v>0</v>
      </c>
      <c r="G649" s="20" t="s">
        <v>452</v>
      </c>
      <c r="H649" s="36">
        <v>26900</v>
      </c>
      <c r="I649" s="36">
        <v>24400</v>
      </c>
      <c r="J649" s="25">
        <v>266300</v>
      </c>
    </row>
    <row r="650" spans="1:10" ht="16" x14ac:dyDescent="0.45">
      <c r="A650" s="153" t="str">
        <f>B650&amp;C650&amp;E650&amp;G650</f>
        <v>비데스스로케어 리모트34M(4개월점검주기)</v>
      </c>
      <c r="B650" s="17" t="s">
        <v>117</v>
      </c>
      <c r="C650" s="145" t="s">
        <v>508</v>
      </c>
      <c r="D650" s="19" t="s">
        <v>127</v>
      </c>
      <c r="E650" s="19">
        <v>3</v>
      </c>
      <c r="F650" s="19" t="s">
        <v>1</v>
      </c>
      <c r="G650" s="20" t="s">
        <v>453</v>
      </c>
      <c r="H650" s="36">
        <v>27400</v>
      </c>
      <c r="I650" s="36">
        <v>24900</v>
      </c>
      <c r="J650" s="25">
        <v>220300</v>
      </c>
    </row>
    <row r="651" spans="1:10" ht="16" x14ac:dyDescent="0.45">
      <c r="A651" s="153" t="str">
        <f>B651&amp;C651&amp;E651&amp;G651</f>
        <v>비데스스로케어 리모트54M(4개월점검주기)</v>
      </c>
      <c r="B651" s="17" t="s">
        <v>117</v>
      </c>
      <c r="C651" s="145" t="s">
        <v>508</v>
      </c>
      <c r="D651" s="19" t="s">
        <v>127</v>
      </c>
      <c r="E651" s="19">
        <v>5</v>
      </c>
      <c r="F651" s="19" t="s">
        <v>0</v>
      </c>
      <c r="G651" s="20" t="s">
        <v>453</v>
      </c>
      <c r="H651" s="36">
        <v>25900</v>
      </c>
      <c r="I651" s="36">
        <v>23400</v>
      </c>
      <c r="J651" s="25">
        <v>220300</v>
      </c>
    </row>
    <row r="652" spans="1:10" ht="16" x14ac:dyDescent="0.45">
      <c r="A652" s="153" t="str">
        <f>B652&amp;C652&amp;E652&amp;G652</f>
        <v>비데스스로케어 리모트64M(4개월점검주기)</v>
      </c>
      <c r="B652" s="17" t="s">
        <v>117</v>
      </c>
      <c r="C652" s="145" t="s">
        <v>508</v>
      </c>
      <c r="D652" s="19" t="s">
        <v>127</v>
      </c>
      <c r="E652" s="19">
        <v>6</v>
      </c>
      <c r="F652" s="19" t="s">
        <v>0</v>
      </c>
      <c r="G652" s="20" t="s">
        <v>453</v>
      </c>
      <c r="H652" s="36">
        <v>24900</v>
      </c>
      <c r="I652" s="36">
        <v>22400</v>
      </c>
      <c r="J652" s="25">
        <v>253300</v>
      </c>
    </row>
    <row r="653" spans="1:10" ht="16" x14ac:dyDescent="0.45">
      <c r="A653" s="153" t="str">
        <f>B653&amp;C653&amp;E653&amp;G653</f>
        <v>비데스스로케어 리모트232M(2개월점검주기)</v>
      </c>
      <c r="B653" s="17" t="s">
        <v>117</v>
      </c>
      <c r="C653" s="145" t="s">
        <v>509</v>
      </c>
      <c r="D653" s="19" t="s">
        <v>130</v>
      </c>
      <c r="E653" s="19">
        <v>3</v>
      </c>
      <c r="F653" s="19" t="s">
        <v>1</v>
      </c>
      <c r="G653" s="20" t="s">
        <v>452</v>
      </c>
      <c r="H653" s="36">
        <v>29900</v>
      </c>
      <c r="I653" s="36">
        <v>27400</v>
      </c>
      <c r="J653" s="25">
        <v>231600</v>
      </c>
    </row>
    <row r="654" spans="1:10" ht="16" x14ac:dyDescent="0.45">
      <c r="A654" s="153" t="str">
        <f>B654&amp;C654&amp;E654&amp;G654</f>
        <v>비데스스로케어 리모트252M(2개월점검주기)</v>
      </c>
      <c r="B654" s="17" t="s">
        <v>117</v>
      </c>
      <c r="C654" s="145" t="s">
        <v>509</v>
      </c>
      <c r="D654" s="19" t="s">
        <v>130</v>
      </c>
      <c r="E654" s="19">
        <v>5</v>
      </c>
      <c r="F654" s="19" t="s">
        <v>0</v>
      </c>
      <c r="G654" s="20" t="s">
        <v>452</v>
      </c>
      <c r="H654" s="36">
        <v>27900</v>
      </c>
      <c r="I654" s="36">
        <v>25400</v>
      </c>
      <c r="J654" s="25">
        <v>231600</v>
      </c>
    </row>
    <row r="655" spans="1:10" ht="16" x14ac:dyDescent="0.45">
      <c r="A655" s="153" t="str">
        <f>B655&amp;C655&amp;E655&amp;G655</f>
        <v>비데스스로케어 리모트262M(2개월점검주기)</v>
      </c>
      <c r="B655" s="17" t="s">
        <v>117</v>
      </c>
      <c r="C655" s="145" t="s">
        <v>509</v>
      </c>
      <c r="D655" s="19" t="s">
        <v>130</v>
      </c>
      <c r="E655" s="19">
        <v>6</v>
      </c>
      <c r="F655" s="19" t="s">
        <v>0</v>
      </c>
      <c r="G655" s="20" t="s">
        <v>452</v>
      </c>
      <c r="H655" s="36">
        <v>26900</v>
      </c>
      <c r="I655" s="36">
        <v>24400</v>
      </c>
      <c r="J655" s="25">
        <v>266300</v>
      </c>
    </row>
    <row r="656" spans="1:10" ht="16" x14ac:dyDescent="0.45">
      <c r="A656" s="153" t="str">
        <f>B656&amp;C656&amp;E656&amp;G656</f>
        <v>비데스스로케어 리모트234M(4개월점검주기)</v>
      </c>
      <c r="B656" s="17" t="s">
        <v>117</v>
      </c>
      <c r="C656" s="145" t="s">
        <v>509</v>
      </c>
      <c r="D656" s="19" t="s">
        <v>130</v>
      </c>
      <c r="E656" s="19">
        <v>3</v>
      </c>
      <c r="F656" s="19" t="s">
        <v>1</v>
      </c>
      <c r="G656" s="20" t="s">
        <v>453</v>
      </c>
      <c r="H656" s="36">
        <v>27900</v>
      </c>
      <c r="I656" s="36">
        <v>25400</v>
      </c>
      <c r="J656" s="25">
        <v>220300</v>
      </c>
    </row>
    <row r="657" spans="1:10" ht="16" x14ac:dyDescent="0.45">
      <c r="A657" s="153" t="str">
        <f>B657&amp;C657&amp;E657&amp;G657</f>
        <v>비데스스로케어 리모트254M(4개월점검주기)</v>
      </c>
      <c r="B657" s="17" t="s">
        <v>117</v>
      </c>
      <c r="C657" s="145" t="s">
        <v>509</v>
      </c>
      <c r="D657" s="19" t="s">
        <v>130</v>
      </c>
      <c r="E657" s="19">
        <v>5</v>
      </c>
      <c r="F657" s="19" t="s">
        <v>0</v>
      </c>
      <c r="G657" s="20" t="s">
        <v>453</v>
      </c>
      <c r="H657" s="36">
        <v>25900</v>
      </c>
      <c r="I657" s="36">
        <v>23400</v>
      </c>
      <c r="J657" s="25">
        <v>220300</v>
      </c>
    </row>
    <row r="658" spans="1:10" ht="16" x14ac:dyDescent="0.45">
      <c r="A658" s="153" t="str">
        <f>B658&amp;C658&amp;E658&amp;G658</f>
        <v>비데스스로케어 리모트264M(4개월점검주기)</v>
      </c>
      <c r="B658" s="17" t="s">
        <v>117</v>
      </c>
      <c r="C658" s="145" t="s">
        <v>509</v>
      </c>
      <c r="D658" s="19" t="s">
        <v>130</v>
      </c>
      <c r="E658" s="19">
        <v>6</v>
      </c>
      <c r="F658" s="19" t="s">
        <v>0</v>
      </c>
      <c r="G658" s="20" t="s">
        <v>453</v>
      </c>
      <c r="H658" s="36">
        <v>24900</v>
      </c>
      <c r="I658" s="36">
        <v>22400</v>
      </c>
      <c r="J658" s="25">
        <v>253300</v>
      </c>
    </row>
    <row r="659" spans="1:10" ht="16" x14ac:dyDescent="0.45">
      <c r="A659" s="153" t="str">
        <f>B659&amp;C659&amp;E659&amp;G659</f>
        <v>비데스스로케어 리모트23자가관리</v>
      </c>
      <c r="B659" s="17" t="s">
        <v>117</v>
      </c>
      <c r="C659" s="145" t="s">
        <v>509</v>
      </c>
      <c r="D659" s="19" t="s">
        <v>130</v>
      </c>
      <c r="E659" s="19">
        <v>3</v>
      </c>
      <c r="F659" s="19" t="s">
        <v>1</v>
      </c>
      <c r="G659" s="20" t="s">
        <v>3</v>
      </c>
      <c r="H659" s="36">
        <v>25900</v>
      </c>
      <c r="I659" s="36">
        <v>23400</v>
      </c>
      <c r="J659" s="25">
        <v>209100</v>
      </c>
    </row>
    <row r="660" spans="1:10" ht="16" x14ac:dyDescent="0.45">
      <c r="A660" s="153" t="str">
        <f>B660&amp;C660&amp;E660&amp;G660</f>
        <v>비데스스로케어 리모트25자가관리</v>
      </c>
      <c r="B660" s="17" t="s">
        <v>117</v>
      </c>
      <c r="C660" s="145" t="s">
        <v>509</v>
      </c>
      <c r="D660" s="19" t="s">
        <v>130</v>
      </c>
      <c r="E660" s="19">
        <v>5</v>
      </c>
      <c r="F660" s="19" t="s">
        <v>0</v>
      </c>
      <c r="G660" s="20" t="s">
        <v>3</v>
      </c>
      <c r="H660" s="36">
        <v>23900</v>
      </c>
      <c r="I660" s="36">
        <v>21400</v>
      </c>
      <c r="J660" s="25">
        <v>209100</v>
      </c>
    </row>
    <row r="661" spans="1:10" ht="16" x14ac:dyDescent="0.45">
      <c r="A661" s="153" t="str">
        <f>B661&amp;C661&amp;E661&amp;G661</f>
        <v>비데스스로케어 리모트26자가관리</v>
      </c>
      <c r="B661" s="17" t="s">
        <v>117</v>
      </c>
      <c r="C661" s="145" t="s">
        <v>509</v>
      </c>
      <c r="D661" s="19" t="s">
        <v>130</v>
      </c>
      <c r="E661" s="19">
        <v>6</v>
      </c>
      <c r="F661" s="19" t="s">
        <v>0</v>
      </c>
      <c r="G661" s="20" t="s">
        <v>3</v>
      </c>
      <c r="H661" s="36">
        <v>22900</v>
      </c>
      <c r="I661" s="36">
        <v>20400</v>
      </c>
      <c r="J661" s="25">
        <v>240500</v>
      </c>
    </row>
    <row r="662" spans="1:10" ht="16" x14ac:dyDescent="0.45">
      <c r="A662" s="153" t="str">
        <f>B662&amp;C662&amp;E662&amp;G662</f>
        <v>비데스스로케어 리모트232M(2개월점검주기)</v>
      </c>
      <c r="B662" s="17" t="s">
        <v>117</v>
      </c>
      <c r="C662" s="145" t="s">
        <v>509</v>
      </c>
      <c r="D662" s="19" t="s">
        <v>131</v>
      </c>
      <c r="E662" s="19">
        <v>3</v>
      </c>
      <c r="F662" s="19" t="s">
        <v>1</v>
      </c>
      <c r="G662" s="20" t="s">
        <v>452</v>
      </c>
      <c r="H662" s="36">
        <v>29900</v>
      </c>
      <c r="I662" s="36">
        <v>27400</v>
      </c>
      <c r="J662" s="25">
        <v>231600</v>
      </c>
    </row>
    <row r="663" spans="1:10" ht="16" x14ac:dyDescent="0.45">
      <c r="A663" s="153" t="str">
        <f>B663&amp;C663&amp;E663&amp;G663</f>
        <v>비데스스로케어 리모트252M(2개월점검주기)</v>
      </c>
      <c r="B663" s="17" t="s">
        <v>117</v>
      </c>
      <c r="C663" s="145" t="s">
        <v>509</v>
      </c>
      <c r="D663" s="19" t="s">
        <v>131</v>
      </c>
      <c r="E663" s="19">
        <v>5</v>
      </c>
      <c r="F663" s="19" t="s">
        <v>0</v>
      </c>
      <c r="G663" s="20" t="s">
        <v>452</v>
      </c>
      <c r="H663" s="36">
        <v>27900</v>
      </c>
      <c r="I663" s="36">
        <v>25400</v>
      </c>
      <c r="J663" s="25">
        <v>231600</v>
      </c>
    </row>
    <row r="664" spans="1:10" ht="16" x14ac:dyDescent="0.45">
      <c r="A664" s="153" t="str">
        <f>B664&amp;C664&amp;E664&amp;G664</f>
        <v>비데스스로케어 리모트262M(2개월점검주기)</v>
      </c>
      <c r="B664" s="17" t="s">
        <v>117</v>
      </c>
      <c r="C664" s="18" t="s">
        <v>509</v>
      </c>
      <c r="D664" s="19" t="s">
        <v>131</v>
      </c>
      <c r="E664" s="19">
        <v>6</v>
      </c>
      <c r="F664" s="19" t="s">
        <v>0</v>
      </c>
      <c r="G664" s="20" t="s">
        <v>452</v>
      </c>
      <c r="H664" s="36">
        <v>26900</v>
      </c>
      <c r="I664" s="36">
        <v>24400</v>
      </c>
      <c r="J664" s="25">
        <v>266300</v>
      </c>
    </row>
    <row r="665" spans="1:10" ht="16" x14ac:dyDescent="0.45">
      <c r="A665" s="153" t="str">
        <f>B665&amp;C665&amp;E665&amp;G665</f>
        <v>비데스스로케어 리모트234M(4개월점검주기)</v>
      </c>
      <c r="B665" s="17" t="s">
        <v>117</v>
      </c>
      <c r="C665" s="18" t="s">
        <v>509</v>
      </c>
      <c r="D665" s="19" t="s">
        <v>131</v>
      </c>
      <c r="E665" s="19">
        <v>3</v>
      </c>
      <c r="F665" s="19" t="s">
        <v>1</v>
      </c>
      <c r="G665" s="20" t="s">
        <v>453</v>
      </c>
      <c r="H665" s="36">
        <v>27900</v>
      </c>
      <c r="I665" s="36">
        <v>25400</v>
      </c>
      <c r="J665" s="25">
        <v>220300</v>
      </c>
    </row>
    <row r="666" spans="1:10" ht="16" x14ac:dyDescent="0.45">
      <c r="A666" s="153" t="str">
        <f>B666&amp;C666&amp;E666&amp;G666</f>
        <v>비데스스로케어 리모트254M(4개월점검주기)</v>
      </c>
      <c r="B666" s="17" t="s">
        <v>117</v>
      </c>
      <c r="C666" s="18" t="s">
        <v>509</v>
      </c>
      <c r="D666" s="19" t="s">
        <v>131</v>
      </c>
      <c r="E666" s="19">
        <v>5</v>
      </c>
      <c r="F666" s="19" t="s">
        <v>0</v>
      </c>
      <c r="G666" s="20" t="s">
        <v>453</v>
      </c>
      <c r="H666" s="36">
        <v>25900</v>
      </c>
      <c r="I666" s="36">
        <v>23400</v>
      </c>
      <c r="J666" s="25">
        <v>220300</v>
      </c>
    </row>
    <row r="667" spans="1:10" ht="16" x14ac:dyDescent="0.45">
      <c r="A667" s="153" t="str">
        <f>B667&amp;C667&amp;E667&amp;G667</f>
        <v>비데스스로케어 리모트264M(4개월점검주기)</v>
      </c>
      <c r="B667" s="17" t="s">
        <v>117</v>
      </c>
      <c r="C667" s="18" t="s">
        <v>509</v>
      </c>
      <c r="D667" s="19" t="s">
        <v>131</v>
      </c>
      <c r="E667" s="19">
        <v>6</v>
      </c>
      <c r="F667" s="19" t="s">
        <v>0</v>
      </c>
      <c r="G667" s="20" t="s">
        <v>453</v>
      </c>
      <c r="H667" s="36">
        <v>24900</v>
      </c>
      <c r="I667" s="36">
        <v>22400</v>
      </c>
      <c r="J667" s="25">
        <v>253300</v>
      </c>
    </row>
    <row r="668" spans="1:10" ht="16" x14ac:dyDescent="0.45">
      <c r="A668" s="153" t="str">
        <f>B668&amp;C668&amp;E668&amp;G668</f>
        <v>비데스스로케어 리모트23자가관리</v>
      </c>
      <c r="B668" s="17" t="s">
        <v>117</v>
      </c>
      <c r="C668" s="18" t="s">
        <v>509</v>
      </c>
      <c r="D668" s="19" t="s">
        <v>131</v>
      </c>
      <c r="E668" s="19">
        <v>3</v>
      </c>
      <c r="F668" s="19" t="s">
        <v>1</v>
      </c>
      <c r="G668" s="20" t="s">
        <v>3</v>
      </c>
      <c r="H668" s="36">
        <v>25900</v>
      </c>
      <c r="I668" s="36">
        <v>23400</v>
      </c>
      <c r="J668" s="25">
        <v>209100</v>
      </c>
    </row>
    <row r="669" spans="1:10" ht="16" x14ac:dyDescent="0.45">
      <c r="A669" s="153" t="str">
        <f>B669&amp;C669&amp;E669&amp;G669</f>
        <v>비데스스로케어 리모트25자가관리</v>
      </c>
      <c r="B669" s="17" t="s">
        <v>117</v>
      </c>
      <c r="C669" s="18" t="s">
        <v>509</v>
      </c>
      <c r="D669" s="19" t="s">
        <v>131</v>
      </c>
      <c r="E669" s="19">
        <v>5</v>
      </c>
      <c r="F669" s="19" t="s">
        <v>0</v>
      </c>
      <c r="G669" s="20" t="s">
        <v>3</v>
      </c>
      <c r="H669" s="36">
        <v>23900</v>
      </c>
      <c r="I669" s="36">
        <v>21400</v>
      </c>
      <c r="J669" s="25">
        <v>209100</v>
      </c>
    </row>
    <row r="670" spans="1:10" ht="16" x14ac:dyDescent="0.45">
      <c r="A670" s="153" t="str">
        <f>B670&amp;C670&amp;E670&amp;G670</f>
        <v>비데스스로케어 리모트26자가관리</v>
      </c>
      <c r="B670" s="17" t="s">
        <v>117</v>
      </c>
      <c r="C670" s="18" t="s">
        <v>509</v>
      </c>
      <c r="D670" s="19" t="s">
        <v>131</v>
      </c>
      <c r="E670" s="19">
        <v>6</v>
      </c>
      <c r="F670" s="19" t="s">
        <v>0</v>
      </c>
      <c r="G670" s="20" t="s">
        <v>3</v>
      </c>
      <c r="H670" s="36">
        <v>22900</v>
      </c>
      <c r="I670" s="36">
        <v>20400</v>
      </c>
      <c r="J670" s="25">
        <v>240500</v>
      </c>
    </row>
    <row r="671" spans="1:10" ht="16" x14ac:dyDescent="0.45">
      <c r="A671" s="153" t="str">
        <f>B671&amp;C671&amp;E671&amp;G671</f>
        <v>비데스스로케어(일반)32M(2개월점검주기)</v>
      </c>
      <c r="B671" s="17" t="s">
        <v>117</v>
      </c>
      <c r="C671" s="18" t="s">
        <v>510</v>
      </c>
      <c r="D671" s="19" t="s">
        <v>121</v>
      </c>
      <c r="E671" s="19">
        <v>3</v>
      </c>
      <c r="F671" s="19" t="s">
        <v>1</v>
      </c>
      <c r="G671" s="20" t="s">
        <v>452</v>
      </c>
      <c r="H671" s="36">
        <v>27400</v>
      </c>
      <c r="I671" s="36">
        <v>24900</v>
      </c>
      <c r="J671" s="25">
        <v>220300</v>
      </c>
    </row>
    <row r="672" spans="1:10" ht="16" x14ac:dyDescent="0.45">
      <c r="A672" s="153" t="str">
        <f>B672&amp;C672&amp;E672&amp;G672</f>
        <v>비데스스로케어(일반)52M(2개월점검주기)</v>
      </c>
      <c r="B672" s="17" t="s">
        <v>117</v>
      </c>
      <c r="C672" s="145" t="s">
        <v>510</v>
      </c>
      <c r="D672" s="19" t="s">
        <v>121</v>
      </c>
      <c r="E672" s="19">
        <v>5</v>
      </c>
      <c r="F672" s="19" t="s">
        <v>0</v>
      </c>
      <c r="G672" s="20" t="s">
        <v>452</v>
      </c>
      <c r="H672" s="36">
        <v>25900</v>
      </c>
      <c r="I672" s="36">
        <v>23400</v>
      </c>
      <c r="J672" s="25">
        <v>220300</v>
      </c>
    </row>
    <row r="673" spans="1:10" ht="16" x14ac:dyDescent="0.45">
      <c r="A673" s="153" t="str">
        <f>B673&amp;C673&amp;E673&amp;G673</f>
        <v>비데스스로케어(일반)62M(2개월점검주기)</v>
      </c>
      <c r="B673" s="17" t="s">
        <v>117</v>
      </c>
      <c r="C673" s="145" t="s">
        <v>510</v>
      </c>
      <c r="D673" s="19" t="s">
        <v>121</v>
      </c>
      <c r="E673" s="19">
        <v>6</v>
      </c>
      <c r="F673" s="19" t="s">
        <v>0</v>
      </c>
      <c r="G673" s="20" t="s">
        <v>452</v>
      </c>
      <c r="H673" s="36">
        <v>24900</v>
      </c>
      <c r="I673" s="36">
        <v>22400</v>
      </c>
      <c r="J673" s="25">
        <v>253300</v>
      </c>
    </row>
    <row r="674" spans="1:10" ht="16" x14ac:dyDescent="0.45">
      <c r="A674" s="153" t="str">
        <f>B674&amp;C674&amp;E674&amp;G674</f>
        <v>비데스스로케어(일반)72M(2개월점검주기)</v>
      </c>
      <c r="B674" s="17" t="s">
        <v>1002</v>
      </c>
      <c r="C674" s="18" t="s">
        <v>510</v>
      </c>
      <c r="D674" s="19" t="s">
        <v>121</v>
      </c>
      <c r="E674" s="19">
        <v>7</v>
      </c>
      <c r="F674" s="19" t="s">
        <v>0</v>
      </c>
      <c r="G674" s="20" t="s">
        <v>452</v>
      </c>
      <c r="H674" s="36">
        <v>23900</v>
      </c>
      <c r="I674" s="36">
        <v>21400</v>
      </c>
      <c r="J674" s="25">
        <v>253300</v>
      </c>
    </row>
    <row r="675" spans="1:10" ht="16" x14ac:dyDescent="0.45">
      <c r="A675" s="153" t="str">
        <f>B675&amp;C675&amp;E675&amp;G675</f>
        <v>비데스스로케어(일반)34M(4개월점검주기)</v>
      </c>
      <c r="B675" s="17" t="s">
        <v>117</v>
      </c>
      <c r="C675" s="145" t="s">
        <v>510</v>
      </c>
      <c r="D675" s="19" t="s">
        <v>121</v>
      </c>
      <c r="E675" s="19">
        <v>3</v>
      </c>
      <c r="F675" s="19" t="s">
        <v>1</v>
      </c>
      <c r="G675" s="20" t="s">
        <v>453</v>
      </c>
      <c r="H675" s="36">
        <v>25400</v>
      </c>
      <c r="I675" s="36">
        <v>22900</v>
      </c>
      <c r="J675" s="25">
        <v>209100</v>
      </c>
    </row>
    <row r="676" spans="1:10" ht="16" x14ac:dyDescent="0.45">
      <c r="A676" s="153" t="str">
        <f>B676&amp;C676&amp;E676&amp;G676</f>
        <v>비데스스로케어(일반)54M(4개월점검주기)</v>
      </c>
      <c r="B676" s="17" t="s">
        <v>117</v>
      </c>
      <c r="C676" s="145" t="s">
        <v>510</v>
      </c>
      <c r="D676" s="19" t="s">
        <v>121</v>
      </c>
      <c r="E676" s="19">
        <v>5</v>
      </c>
      <c r="F676" s="19" t="s">
        <v>0</v>
      </c>
      <c r="G676" s="20" t="s">
        <v>453</v>
      </c>
      <c r="H676" s="36">
        <v>23900</v>
      </c>
      <c r="I676" s="36">
        <v>21400</v>
      </c>
      <c r="J676" s="25">
        <v>209100</v>
      </c>
    </row>
    <row r="677" spans="1:10" ht="16" x14ac:dyDescent="0.45">
      <c r="A677" s="153" t="str">
        <f>B677&amp;C677&amp;E677&amp;G677</f>
        <v>비데스스로케어(일반)64M(4개월점검주기)</v>
      </c>
      <c r="B677" s="17" t="s">
        <v>117</v>
      </c>
      <c r="C677" s="145" t="s">
        <v>510</v>
      </c>
      <c r="D677" s="19" t="s">
        <v>121</v>
      </c>
      <c r="E677" s="19">
        <v>6</v>
      </c>
      <c r="F677" s="19" t="s">
        <v>0</v>
      </c>
      <c r="G677" s="20" t="s">
        <v>453</v>
      </c>
      <c r="H677" s="36">
        <v>22900</v>
      </c>
      <c r="I677" s="36">
        <v>20400</v>
      </c>
      <c r="J677" s="25">
        <v>240500</v>
      </c>
    </row>
    <row r="678" spans="1:10" ht="16" x14ac:dyDescent="0.45">
      <c r="A678" s="153" t="str">
        <f>B678&amp;C678&amp;E678&amp;G678</f>
        <v>비데스스로케어(일반)74M(4개월점검주기)</v>
      </c>
      <c r="B678" s="17" t="s">
        <v>1002</v>
      </c>
      <c r="C678" s="18" t="s">
        <v>510</v>
      </c>
      <c r="D678" s="19" t="s">
        <v>121</v>
      </c>
      <c r="E678" s="19">
        <v>7</v>
      </c>
      <c r="F678" s="19" t="s">
        <v>0</v>
      </c>
      <c r="G678" s="20" t="s">
        <v>453</v>
      </c>
      <c r="H678" s="36">
        <v>21900</v>
      </c>
      <c r="I678" s="36">
        <v>19400</v>
      </c>
      <c r="J678" s="25">
        <v>240500</v>
      </c>
    </row>
    <row r="679" spans="1:10" ht="16" x14ac:dyDescent="0.45">
      <c r="A679" s="153" t="str">
        <f>B679&amp;C679&amp;E679&amp;G679</f>
        <v>비데스스로케어(일반)3자가관리</v>
      </c>
      <c r="B679" s="17" t="s">
        <v>117</v>
      </c>
      <c r="C679" s="145" t="s">
        <v>510</v>
      </c>
      <c r="D679" s="19" t="s">
        <v>121</v>
      </c>
      <c r="E679" s="19">
        <v>3</v>
      </c>
      <c r="F679" s="19" t="s">
        <v>1</v>
      </c>
      <c r="G679" s="20" t="s">
        <v>3</v>
      </c>
      <c r="H679" s="36">
        <v>23400</v>
      </c>
      <c r="I679" s="36">
        <v>20900</v>
      </c>
      <c r="J679" s="25">
        <v>197900</v>
      </c>
    </row>
    <row r="680" spans="1:10" ht="16" x14ac:dyDescent="0.45">
      <c r="A680" s="153" t="str">
        <f>B680&amp;C680&amp;E680&amp;G680</f>
        <v>비데스스로케어(일반)5자가관리</v>
      </c>
      <c r="B680" s="17" t="s">
        <v>117</v>
      </c>
      <c r="C680" s="145" t="s">
        <v>510</v>
      </c>
      <c r="D680" s="19" t="s">
        <v>121</v>
      </c>
      <c r="E680" s="19">
        <v>5</v>
      </c>
      <c r="F680" s="19" t="s">
        <v>0</v>
      </c>
      <c r="G680" s="20" t="s">
        <v>3</v>
      </c>
      <c r="H680" s="36">
        <v>21900</v>
      </c>
      <c r="I680" s="36">
        <v>19400</v>
      </c>
      <c r="J680" s="25">
        <v>197900</v>
      </c>
    </row>
    <row r="681" spans="1:10" ht="16" x14ac:dyDescent="0.45">
      <c r="A681" s="153" t="str">
        <f>B681&amp;C681&amp;E681&amp;G681</f>
        <v>비데스스로케어(일반)6자가관리</v>
      </c>
      <c r="B681" s="17" t="s">
        <v>117</v>
      </c>
      <c r="C681" s="145" t="s">
        <v>510</v>
      </c>
      <c r="D681" s="19" t="s">
        <v>121</v>
      </c>
      <c r="E681" s="19">
        <v>6</v>
      </c>
      <c r="F681" s="19" t="s">
        <v>0</v>
      </c>
      <c r="G681" s="20" t="s">
        <v>3</v>
      </c>
      <c r="H681" s="36">
        <v>20900</v>
      </c>
      <c r="I681" s="36">
        <v>18400</v>
      </c>
      <c r="J681" s="25">
        <v>227600</v>
      </c>
    </row>
    <row r="682" spans="1:10" ht="16" x14ac:dyDescent="0.45">
      <c r="A682" s="153" t="str">
        <f>B682&amp;C682&amp;E682&amp;G682</f>
        <v>비데스스로케어(일반)7자가관리</v>
      </c>
      <c r="B682" s="17" t="s">
        <v>1002</v>
      </c>
      <c r="C682" s="18" t="s">
        <v>510</v>
      </c>
      <c r="D682" s="19" t="s">
        <v>121</v>
      </c>
      <c r="E682" s="19">
        <v>7</v>
      </c>
      <c r="F682" s="19" t="s">
        <v>0</v>
      </c>
      <c r="G682" s="20" t="s">
        <v>3</v>
      </c>
      <c r="H682" s="36">
        <v>19900</v>
      </c>
      <c r="I682" s="36">
        <v>17400</v>
      </c>
      <c r="J682" s="25">
        <v>227600</v>
      </c>
    </row>
    <row r="683" spans="1:10" ht="16" x14ac:dyDescent="0.45">
      <c r="A683" s="153" t="str">
        <f>B683&amp;C683&amp;E683&amp;G683</f>
        <v>비데스스로케어(저수압)32M(2개월점검주기)</v>
      </c>
      <c r="B683" s="17" t="s">
        <v>117</v>
      </c>
      <c r="C683" s="145" t="s">
        <v>511</v>
      </c>
      <c r="D683" s="19" t="s">
        <v>120</v>
      </c>
      <c r="E683" s="19">
        <v>3</v>
      </c>
      <c r="F683" s="19" t="s">
        <v>1</v>
      </c>
      <c r="G683" s="20" t="s">
        <v>452</v>
      </c>
      <c r="H683" s="36">
        <v>28400</v>
      </c>
      <c r="I683" s="36">
        <v>25900</v>
      </c>
      <c r="J683" s="25">
        <v>220300</v>
      </c>
    </row>
    <row r="684" spans="1:10" ht="16" x14ac:dyDescent="0.45">
      <c r="A684" s="153" t="str">
        <f>B684&amp;C684&amp;E684&amp;G684</f>
        <v>비데스스로케어(저수압)52M(2개월점검주기)</v>
      </c>
      <c r="B684" s="17" t="s">
        <v>117</v>
      </c>
      <c r="C684" s="145" t="s">
        <v>511</v>
      </c>
      <c r="D684" s="19" t="s">
        <v>120</v>
      </c>
      <c r="E684" s="19">
        <v>5</v>
      </c>
      <c r="F684" s="19" t="s">
        <v>0</v>
      </c>
      <c r="G684" s="20" t="s">
        <v>452</v>
      </c>
      <c r="H684" s="36">
        <v>26900</v>
      </c>
      <c r="I684" s="36">
        <v>24400</v>
      </c>
      <c r="J684" s="25">
        <v>220300</v>
      </c>
    </row>
    <row r="685" spans="1:10" ht="16" x14ac:dyDescent="0.45">
      <c r="A685" s="153" t="str">
        <f>B685&amp;C685&amp;E685&amp;G685</f>
        <v>비데스스로케어(저수압)62M(2개월점검주기)</v>
      </c>
      <c r="B685" s="17" t="s">
        <v>117</v>
      </c>
      <c r="C685" s="145" t="s">
        <v>511</v>
      </c>
      <c r="D685" s="19" t="s">
        <v>120</v>
      </c>
      <c r="E685" s="19">
        <v>6</v>
      </c>
      <c r="F685" s="19" t="s">
        <v>0</v>
      </c>
      <c r="G685" s="20" t="s">
        <v>452</v>
      </c>
      <c r="H685" s="36">
        <v>25900</v>
      </c>
      <c r="I685" s="36">
        <v>23400</v>
      </c>
      <c r="J685" s="25">
        <v>253300</v>
      </c>
    </row>
    <row r="686" spans="1:10" ht="16" x14ac:dyDescent="0.45">
      <c r="A686" s="153" t="str">
        <f>B686&amp;C686&amp;E686&amp;G686</f>
        <v>비데스스로케어(저수압)34M(4개월점검주기)</v>
      </c>
      <c r="B686" s="17" t="s">
        <v>117</v>
      </c>
      <c r="C686" s="145" t="s">
        <v>511</v>
      </c>
      <c r="D686" s="19" t="s">
        <v>120</v>
      </c>
      <c r="E686" s="19">
        <v>3</v>
      </c>
      <c r="F686" s="19" t="s">
        <v>1</v>
      </c>
      <c r="G686" s="20" t="s">
        <v>453</v>
      </c>
      <c r="H686" s="36">
        <v>26400</v>
      </c>
      <c r="I686" s="36">
        <v>23900</v>
      </c>
      <c r="J686" s="25">
        <v>209100</v>
      </c>
    </row>
    <row r="687" spans="1:10" ht="16" x14ac:dyDescent="0.45">
      <c r="A687" s="153" t="str">
        <f>B687&amp;C687&amp;E687&amp;G687</f>
        <v>비데스스로케어(저수압)54M(4개월점검주기)</v>
      </c>
      <c r="B687" s="17" t="s">
        <v>117</v>
      </c>
      <c r="C687" s="145" t="s">
        <v>511</v>
      </c>
      <c r="D687" s="19" t="s">
        <v>120</v>
      </c>
      <c r="E687" s="19">
        <v>5</v>
      </c>
      <c r="F687" s="19" t="s">
        <v>0</v>
      </c>
      <c r="G687" s="20" t="s">
        <v>453</v>
      </c>
      <c r="H687" s="36">
        <v>24900</v>
      </c>
      <c r="I687" s="36">
        <v>22400</v>
      </c>
      <c r="J687" s="25">
        <v>209100</v>
      </c>
    </row>
    <row r="688" spans="1:10" ht="16" x14ac:dyDescent="0.45">
      <c r="A688" s="153" t="str">
        <f>B688&amp;C688&amp;E688&amp;G688</f>
        <v>비데스스로케어(저수압)64M(4개월점검주기)</v>
      </c>
      <c r="B688" s="17" t="s">
        <v>117</v>
      </c>
      <c r="C688" s="145" t="s">
        <v>511</v>
      </c>
      <c r="D688" s="19" t="s">
        <v>120</v>
      </c>
      <c r="E688" s="19">
        <v>6</v>
      </c>
      <c r="F688" s="19" t="s">
        <v>0</v>
      </c>
      <c r="G688" s="20" t="s">
        <v>453</v>
      </c>
      <c r="H688" s="36">
        <v>23900</v>
      </c>
      <c r="I688" s="36">
        <v>21400</v>
      </c>
      <c r="J688" s="25">
        <v>240500</v>
      </c>
    </row>
    <row r="689" spans="1:10" ht="16" x14ac:dyDescent="0.45">
      <c r="A689" s="153" t="str">
        <f>B689&amp;C689&amp;E689&amp;G689</f>
        <v>비데스타일케어32M(2개월점검주기)</v>
      </c>
      <c r="B689" s="17" t="s">
        <v>117</v>
      </c>
      <c r="C689" s="145" t="s">
        <v>512</v>
      </c>
      <c r="D689" s="19" t="s">
        <v>635</v>
      </c>
      <c r="E689" s="19">
        <v>3</v>
      </c>
      <c r="F689" s="19" t="s">
        <v>1</v>
      </c>
      <c r="G689" s="20" t="s">
        <v>452</v>
      </c>
      <c r="H689" s="36">
        <v>28900</v>
      </c>
      <c r="I689" s="36">
        <v>26400</v>
      </c>
      <c r="J689" s="25">
        <v>220300</v>
      </c>
    </row>
    <row r="690" spans="1:10" ht="16" x14ac:dyDescent="0.45">
      <c r="A690" s="153" t="str">
        <f>B690&amp;C690&amp;E690&amp;G690</f>
        <v>비데스타일케어52M(2개월점검주기)</v>
      </c>
      <c r="B690" s="17" t="s">
        <v>117</v>
      </c>
      <c r="C690" s="145" t="s">
        <v>512</v>
      </c>
      <c r="D690" s="19" t="s">
        <v>635</v>
      </c>
      <c r="E690" s="19">
        <v>5</v>
      </c>
      <c r="F690" s="19" t="s">
        <v>0</v>
      </c>
      <c r="G690" s="20" t="s">
        <v>452</v>
      </c>
      <c r="H690" s="36">
        <v>27400</v>
      </c>
      <c r="I690" s="36">
        <v>24900</v>
      </c>
      <c r="J690" s="25">
        <v>220300</v>
      </c>
    </row>
    <row r="691" spans="1:10" ht="16" x14ac:dyDescent="0.45">
      <c r="A691" s="153" t="str">
        <f>B691&amp;C691&amp;E691&amp;G691</f>
        <v>비데스타일케어62M(2개월점검주기)</v>
      </c>
      <c r="B691" s="17" t="s">
        <v>117</v>
      </c>
      <c r="C691" s="145" t="s">
        <v>512</v>
      </c>
      <c r="D691" s="19" t="s">
        <v>635</v>
      </c>
      <c r="E691" s="19">
        <v>6</v>
      </c>
      <c r="F691" s="19" t="s">
        <v>0</v>
      </c>
      <c r="G691" s="20" t="s">
        <v>452</v>
      </c>
      <c r="H691" s="36">
        <v>26400</v>
      </c>
      <c r="I691" s="36">
        <v>23900</v>
      </c>
      <c r="J691" s="25">
        <v>253300</v>
      </c>
    </row>
    <row r="692" spans="1:10" ht="16" x14ac:dyDescent="0.45">
      <c r="A692" s="153" t="str">
        <f>B692&amp;C692&amp;E692&amp;G692</f>
        <v>비데스타일케어72M(2개월점검주기)</v>
      </c>
      <c r="B692" s="17" t="s">
        <v>1002</v>
      </c>
      <c r="C692" s="18" t="s">
        <v>512</v>
      </c>
      <c r="D692" s="19" t="s">
        <v>635</v>
      </c>
      <c r="E692" s="19">
        <v>7</v>
      </c>
      <c r="F692" s="19" t="s">
        <v>0</v>
      </c>
      <c r="G692" s="20" t="s">
        <v>452</v>
      </c>
      <c r="H692" s="36">
        <v>25400</v>
      </c>
      <c r="I692" s="36">
        <v>22900</v>
      </c>
      <c r="J692" s="25">
        <v>253300</v>
      </c>
    </row>
    <row r="693" spans="1:10" ht="16" x14ac:dyDescent="0.45">
      <c r="A693" s="153" t="str">
        <f>B693&amp;C693&amp;E693&amp;G693</f>
        <v>비데스타일케어34M(4개월점검주기)</v>
      </c>
      <c r="B693" s="17" t="s">
        <v>117</v>
      </c>
      <c r="C693" s="145" t="s">
        <v>512</v>
      </c>
      <c r="D693" s="19" t="s">
        <v>635</v>
      </c>
      <c r="E693" s="19">
        <v>3</v>
      </c>
      <c r="F693" s="19" t="s">
        <v>1</v>
      </c>
      <c r="G693" s="20" t="s">
        <v>453</v>
      </c>
      <c r="H693" s="36">
        <v>26900</v>
      </c>
      <c r="I693" s="36">
        <v>24400</v>
      </c>
      <c r="J693" s="25">
        <v>209100</v>
      </c>
    </row>
    <row r="694" spans="1:10" ht="16" x14ac:dyDescent="0.45">
      <c r="A694" s="153" t="str">
        <f>B694&amp;C694&amp;E694&amp;G694</f>
        <v>비데스타일케어54M(4개월점검주기)</v>
      </c>
      <c r="B694" s="17" t="s">
        <v>117</v>
      </c>
      <c r="C694" s="145" t="s">
        <v>512</v>
      </c>
      <c r="D694" s="19" t="s">
        <v>635</v>
      </c>
      <c r="E694" s="19">
        <v>5</v>
      </c>
      <c r="F694" s="19" t="s">
        <v>0</v>
      </c>
      <c r="G694" s="20" t="s">
        <v>453</v>
      </c>
      <c r="H694" s="36">
        <v>25400</v>
      </c>
      <c r="I694" s="36">
        <v>22900</v>
      </c>
      <c r="J694" s="25">
        <v>209100</v>
      </c>
    </row>
    <row r="695" spans="1:10" ht="16" x14ac:dyDescent="0.45">
      <c r="A695" s="153" t="str">
        <f>B695&amp;C695&amp;E695&amp;G695</f>
        <v>비데스타일케어64M(4개월점검주기)</v>
      </c>
      <c r="B695" s="17" t="s">
        <v>117</v>
      </c>
      <c r="C695" s="145" t="s">
        <v>512</v>
      </c>
      <c r="D695" s="19" t="s">
        <v>635</v>
      </c>
      <c r="E695" s="19">
        <v>6</v>
      </c>
      <c r="F695" s="19" t="s">
        <v>0</v>
      </c>
      <c r="G695" s="20" t="s">
        <v>453</v>
      </c>
      <c r="H695" s="36">
        <v>24400</v>
      </c>
      <c r="I695" s="36">
        <v>21900</v>
      </c>
      <c r="J695" s="25">
        <v>240500</v>
      </c>
    </row>
    <row r="696" spans="1:10" ht="16" x14ac:dyDescent="0.45">
      <c r="A696" s="153" t="str">
        <f>B696&amp;C696&amp;E696&amp;G696</f>
        <v>비데스타일케어74M(4개월점검주기)</v>
      </c>
      <c r="B696" s="17" t="s">
        <v>1002</v>
      </c>
      <c r="C696" s="18" t="s">
        <v>512</v>
      </c>
      <c r="D696" s="19" t="s">
        <v>635</v>
      </c>
      <c r="E696" s="19">
        <v>7</v>
      </c>
      <c r="F696" s="19" t="s">
        <v>0</v>
      </c>
      <c r="G696" s="20" t="s">
        <v>453</v>
      </c>
      <c r="H696" s="36">
        <v>23400</v>
      </c>
      <c r="I696" s="36">
        <v>20900</v>
      </c>
      <c r="J696" s="25">
        <v>240500</v>
      </c>
    </row>
    <row r="697" spans="1:10" ht="16" x14ac:dyDescent="0.45">
      <c r="A697" s="153" t="str">
        <f>B697&amp;C697&amp;E697&amp;G697</f>
        <v>비데스타일케어3자가관리</v>
      </c>
      <c r="B697" s="17" t="s">
        <v>117</v>
      </c>
      <c r="C697" s="145" t="s">
        <v>512</v>
      </c>
      <c r="D697" s="19" t="s">
        <v>635</v>
      </c>
      <c r="E697" s="19">
        <v>3</v>
      </c>
      <c r="F697" s="19" t="s">
        <v>1</v>
      </c>
      <c r="G697" s="20" t="s">
        <v>3</v>
      </c>
      <c r="H697" s="36">
        <v>24900</v>
      </c>
      <c r="I697" s="36">
        <v>22400</v>
      </c>
      <c r="J697" s="25">
        <v>209100</v>
      </c>
    </row>
    <row r="698" spans="1:10" ht="16" x14ac:dyDescent="0.45">
      <c r="A698" s="153" t="str">
        <f>B698&amp;C698&amp;E698&amp;G698</f>
        <v>비데스타일케어5자가관리</v>
      </c>
      <c r="B698" s="17" t="s">
        <v>117</v>
      </c>
      <c r="C698" s="145" t="s">
        <v>512</v>
      </c>
      <c r="D698" s="19" t="s">
        <v>635</v>
      </c>
      <c r="E698" s="19">
        <v>5</v>
      </c>
      <c r="F698" s="19" t="s">
        <v>0</v>
      </c>
      <c r="G698" s="20" t="s">
        <v>3</v>
      </c>
      <c r="H698" s="36">
        <v>23400</v>
      </c>
      <c r="I698" s="36">
        <v>20900</v>
      </c>
      <c r="J698" s="25">
        <v>209100</v>
      </c>
    </row>
    <row r="699" spans="1:10" ht="16" x14ac:dyDescent="0.45">
      <c r="A699" s="153" t="str">
        <f>B699&amp;C699&amp;E699&amp;G699</f>
        <v>비데스타일케어6자가관리</v>
      </c>
      <c r="B699" s="17" t="s">
        <v>117</v>
      </c>
      <c r="C699" s="145" t="s">
        <v>512</v>
      </c>
      <c r="D699" s="19" t="s">
        <v>635</v>
      </c>
      <c r="E699" s="19">
        <v>6</v>
      </c>
      <c r="F699" s="19" t="s">
        <v>0</v>
      </c>
      <c r="G699" s="20" t="s">
        <v>3</v>
      </c>
      <c r="H699" s="36">
        <v>22400</v>
      </c>
      <c r="I699" s="36">
        <v>19900</v>
      </c>
      <c r="J699" s="25">
        <v>240500</v>
      </c>
    </row>
    <row r="700" spans="1:10" ht="16" x14ac:dyDescent="0.45">
      <c r="A700" s="153" t="str">
        <f>B700&amp;C700&amp;E700&amp;G700</f>
        <v>비데스타일케어7자가관리</v>
      </c>
      <c r="B700" s="17" t="s">
        <v>1002</v>
      </c>
      <c r="C700" s="18" t="s">
        <v>512</v>
      </c>
      <c r="D700" s="19" t="s">
        <v>635</v>
      </c>
      <c r="E700" s="19">
        <v>7</v>
      </c>
      <c r="F700" s="19" t="s">
        <v>0</v>
      </c>
      <c r="G700" s="20" t="s">
        <v>3</v>
      </c>
      <c r="H700" s="36">
        <v>21400</v>
      </c>
      <c r="I700" s="36">
        <v>18900</v>
      </c>
      <c r="J700" s="25">
        <v>240500</v>
      </c>
    </row>
    <row r="701" spans="1:10" ht="16" x14ac:dyDescent="0.45">
      <c r="A701" s="153" t="str">
        <f>B701&amp;C701&amp;E701&amp;G701</f>
        <v>비데슬리믹32M(2개월점검주기)</v>
      </c>
      <c r="B701" s="17" t="s">
        <v>1002</v>
      </c>
      <c r="C701" s="145" t="s">
        <v>1003</v>
      </c>
      <c r="D701" s="19" t="s">
        <v>1004</v>
      </c>
      <c r="E701" s="19">
        <v>3</v>
      </c>
      <c r="F701" s="19" t="s">
        <v>1</v>
      </c>
      <c r="G701" s="20" t="s">
        <v>452</v>
      </c>
      <c r="H701" s="36">
        <v>31400</v>
      </c>
      <c r="I701" s="36">
        <v>28900</v>
      </c>
      <c r="J701" s="25">
        <v>231600</v>
      </c>
    </row>
    <row r="702" spans="1:10" ht="16" x14ac:dyDescent="0.45">
      <c r="A702" s="153" t="str">
        <f>B702&amp;C702&amp;E702&amp;G702</f>
        <v>비데슬리믹52M(2개월점검주기)</v>
      </c>
      <c r="B702" s="17" t="s">
        <v>1002</v>
      </c>
      <c r="C702" s="145" t="s">
        <v>1003</v>
      </c>
      <c r="D702" s="19" t="s">
        <v>1004</v>
      </c>
      <c r="E702" s="19">
        <v>5</v>
      </c>
      <c r="F702" s="19" t="s">
        <v>0</v>
      </c>
      <c r="G702" s="20" t="s">
        <v>452</v>
      </c>
      <c r="H702" s="36">
        <v>29400</v>
      </c>
      <c r="I702" s="36">
        <v>26900</v>
      </c>
      <c r="J702" s="25">
        <v>231600</v>
      </c>
    </row>
    <row r="703" spans="1:10" ht="16" x14ac:dyDescent="0.45">
      <c r="A703" s="153" t="str">
        <f>B703&amp;C703&amp;E703&amp;G703</f>
        <v>비데슬리믹62M(2개월점검주기)</v>
      </c>
      <c r="B703" s="17" t="s">
        <v>1002</v>
      </c>
      <c r="C703" s="145" t="s">
        <v>1003</v>
      </c>
      <c r="D703" s="19" t="s">
        <v>1004</v>
      </c>
      <c r="E703" s="19">
        <v>6</v>
      </c>
      <c r="F703" s="19" t="s">
        <v>0</v>
      </c>
      <c r="G703" s="20" t="s">
        <v>452</v>
      </c>
      <c r="H703" s="36">
        <v>28400</v>
      </c>
      <c r="I703" s="36">
        <v>25900</v>
      </c>
      <c r="J703" s="25">
        <v>266300</v>
      </c>
    </row>
    <row r="704" spans="1:10" ht="16" x14ac:dyDescent="0.45">
      <c r="A704" s="153" t="str">
        <f>B704&amp;C704&amp;E704&amp;G704</f>
        <v>비데슬리믹34M(4개월점검주기)</v>
      </c>
      <c r="B704" s="17" t="s">
        <v>1002</v>
      </c>
      <c r="C704" s="145" t="s">
        <v>1003</v>
      </c>
      <c r="D704" s="19" t="s">
        <v>1004</v>
      </c>
      <c r="E704" s="19">
        <v>3</v>
      </c>
      <c r="F704" s="19" t="s">
        <v>1</v>
      </c>
      <c r="G704" s="20" t="s">
        <v>453</v>
      </c>
      <c r="H704" s="36">
        <v>29400</v>
      </c>
      <c r="I704" s="36">
        <v>26900</v>
      </c>
      <c r="J704" s="25">
        <v>220300</v>
      </c>
    </row>
    <row r="705" spans="1:10" ht="16" x14ac:dyDescent="0.45">
      <c r="A705" s="153" t="str">
        <f>B705&amp;C705&amp;E705&amp;G705</f>
        <v>비데슬리믹54M(4개월점검주기)</v>
      </c>
      <c r="B705" s="17" t="s">
        <v>1002</v>
      </c>
      <c r="C705" s="145" t="s">
        <v>1003</v>
      </c>
      <c r="D705" s="19" t="s">
        <v>1004</v>
      </c>
      <c r="E705" s="19">
        <v>5</v>
      </c>
      <c r="F705" s="19" t="s">
        <v>0</v>
      </c>
      <c r="G705" s="20" t="s">
        <v>453</v>
      </c>
      <c r="H705" s="36">
        <v>27400</v>
      </c>
      <c r="I705" s="36">
        <v>24900</v>
      </c>
      <c r="J705" s="25">
        <v>220300</v>
      </c>
    </row>
    <row r="706" spans="1:10" ht="16" x14ac:dyDescent="0.45">
      <c r="A706" s="153" t="str">
        <f>B706&amp;C706&amp;E706&amp;G706</f>
        <v>비데슬리믹64M(4개월점검주기)</v>
      </c>
      <c r="B706" s="17" t="s">
        <v>1002</v>
      </c>
      <c r="C706" s="145" t="s">
        <v>1003</v>
      </c>
      <c r="D706" s="19" t="s">
        <v>1004</v>
      </c>
      <c r="E706" s="19">
        <v>6</v>
      </c>
      <c r="F706" s="19" t="s">
        <v>0</v>
      </c>
      <c r="G706" s="20" t="s">
        <v>453</v>
      </c>
      <c r="H706" s="36">
        <v>26400</v>
      </c>
      <c r="I706" s="36">
        <v>23900</v>
      </c>
      <c r="J706" s="25">
        <v>253300</v>
      </c>
    </row>
    <row r="707" spans="1:10" ht="16" x14ac:dyDescent="0.45">
      <c r="A707" s="153" t="str">
        <f>B707&amp;C707&amp;E707&amp;G707</f>
        <v>비데슬리믹3자가관리</v>
      </c>
      <c r="B707" s="17" t="s">
        <v>1002</v>
      </c>
      <c r="C707" s="145" t="s">
        <v>1003</v>
      </c>
      <c r="D707" s="19" t="s">
        <v>1004</v>
      </c>
      <c r="E707" s="19">
        <v>3</v>
      </c>
      <c r="F707" s="19" t="s">
        <v>1</v>
      </c>
      <c r="G707" s="20" t="s">
        <v>3</v>
      </c>
      <c r="H707" s="36">
        <v>27400</v>
      </c>
      <c r="I707" s="36">
        <v>24900</v>
      </c>
      <c r="J707" s="25">
        <v>209100</v>
      </c>
    </row>
    <row r="708" spans="1:10" ht="16" x14ac:dyDescent="0.45">
      <c r="A708" s="153" t="str">
        <f>B708&amp;C708&amp;E708&amp;G708</f>
        <v>비데슬리믹5자가관리</v>
      </c>
      <c r="B708" s="17" t="s">
        <v>1002</v>
      </c>
      <c r="C708" s="145" t="s">
        <v>1003</v>
      </c>
      <c r="D708" s="19" t="s">
        <v>1004</v>
      </c>
      <c r="E708" s="19">
        <v>5</v>
      </c>
      <c r="F708" s="19" t="s">
        <v>0</v>
      </c>
      <c r="G708" s="20" t="s">
        <v>3</v>
      </c>
      <c r="H708" s="36">
        <v>25400</v>
      </c>
      <c r="I708" s="36">
        <v>22900</v>
      </c>
      <c r="J708" s="25">
        <v>209100</v>
      </c>
    </row>
    <row r="709" spans="1:10" ht="16" x14ac:dyDescent="0.45">
      <c r="A709" s="153" t="str">
        <f>B709&amp;C709&amp;E709&amp;G709</f>
        <v>비데슬리믹6자가관리</v>
      </c>
      <c r="B709" s="17" t="s">
        <v>1002</v>
      </c>
      <c r="C709" s="145" t="s">
        <v>1003</v>
      </c>
      <c r="D709" s="19" t="s">
        <v>1004</v>
      </c>
      <c r="E709" s="19">
        <v>6</v>
      </c>
      <c r="F709" s="19" t="s">
        <v>0</v>
      </c>
      <c r="G709" s="20" t="s">
        <v>3</v>
      </c>
      <c r="H709" s="36">
        <v>24400</v>
      </c>
      <c r="I709" s="36">
        <v>21900</v>
      </c>
      <c r="J709" s="25">
        <v>240500</v>
      </c>
    </row>
    <row r="710" spans="1:10" ht="16" x14ac:dyDescent="0.45">
      <c r="A710" s="153" t="str">
        <f>B710&amp;C710&amp;E710&amp;G710</f>
        <v>비데프라임 비데32M(2개월점검주기)</v>
      </c>
      <c r="B710" s="17" t="s">
        <v>117</v>
      </c>
      <c r="C710" s="145" t="s">
        <v>513</v>
      </c>
      <c r="D710" s="19" t="s">
        <v>119</v>
      </c>
      <c r="E710" s="19">
        <v>3</v>
      </c>
      <c r="F710" s="19" t="s">
        <v>1</v>
      </c>
      <c r="G710" s="20" t="s">
        <v>452</v>
      </c>
      <c r="H710" s="36">
        <v>25400</v>
      </c>
      <c r="I710" s="36">
        <v>22900</v>
      </c>
      <c r="J710" s="25">
        <v>209100</v>
      </c>
    </row>
    <row r="711" spans="1:10" ht="16" x14ac:dyDescent="0.45">
      <c r="A711" s="153" t="str">
        <f>B711&amp;C711&amp;E711&amp;G711</f>
        <v>비데프라임 비데52M(2개월점검주기)</v>
      </c>
      <c r="B711" s="17" t="s">
        <v>117</v>
      </c>
      <c r="C711" s="145" t="s">
        <v>513</v>
      </c>
      <c r="D711" s="19" t="s">
        <v>119</v>
      </c>
      <c r="E711" s="19">
        <v>5</v>
      </c>
      <c r="F711" s="19" t="s">
        <v>0</v>
      </c>
      <c r="G711" s="20" t="s">
        <v>452</v>
      </c>
      <c r="H711" s="36">
        <v>23900</v>
      </c>
      <c r="I711" s="36">
        <v>21400</v>
      </c>
      <c r="J711" s="25">
        <v>209100</v>
      </c>
    </row>
    <row r="712" spans="1:10" ht="16" x14ac:dyDescent="0.45">
      <c r="A712" s="153" t="str">
        <f>B712&amp;C712&amp;E712&amp;G712</f>
        <v>비데프라임 비데62M(2개월점검주기)</v>
      </c>
      <c r="B712" s="17" t="s">
        <v>117</v>
      </c>
      <c r="C712" s="145" t="s">
        <v>513</v>
      </c>
      <c r="D712" s="19" t="s">
        <v>119</v>
      </c>
      <c r="E712" s="19">
        <v>6</v>
      </c>
      <c r="F712" s="19" t="s">
        <v>0</v>
      </c>
      <c r="G712" s="20" t="s">
        <v>452</v>
      </c>
      <c r="H712" s="36">
        <v>22900</v>
      </c>
      <c r="I712" s="36">
        <v>20400</v>
      </c>
      <c r="J712" s="25">
        <v>240500</v>
      </c>
    </row>
    <row r="713" spans="1:10" ht="16" x14ac:dyDescent="0.45">
      <c r="A713" s="153" t="str">
        <f>B713&amp;C713&amp;E713&amp;G713</f>
        <v>비데프라임 비데34M(4개월점검주기)</v>
      </c>
      <c r="B713" s="17" t="s">
        <v>117</v>
      </c>
      <c r="C713" s="145" t="s">
        <v>513</v>
      </c>
      <c r="D713" s="19" t="s">
        <v>119</v>
      </c>
      <c r="E713" s="19">
        <v>3</v>
      </c>
      <c r="F713" s="19" t="s">
        <v>1</v>
      </c>
      <c r="G713" s="20" t="s">
        <v>453</v>
      </c>
      <c r="H713" s="36">
        <v>23400</v>
      </c>
      <c r="I713" s="36">
        <v>20900</v>
      </c>
      <c r="J713" s="25">
        <v>197900</v>
      </c>
    </row>
    <row r="714" spans="1:10" ht="16" x14ac:dyDescent="0.45">
      <c r="A714" s="153" t="str">
        <f>B714&amp;C714&amp;E714&amp;G714</f>
        <v>비데프라임 비데54M(4개월점검주기)</v>
      </c>
      <c r="B714" s="17" t="s">
        <v>117</v>
      </c>
      <c r="C714" s="145" t="s">
        <v>513</v>
      </c>
      <c r="D714" s="19" t="s">
        <v>119</v>
      </c>
      <c r="E714" s="19">
        <v>5</v>
      </c>
      <c r="F714" s="19" t="s">
        <v>0</v>
      </c>
      <c r="G714" s="20" t="s">
        <v>453</v>
      </c>
      <c r="H714" s="36">
        <v>21900</v>
      </c>
      <c r="I714" s="36">
        <v>19400</v>
      </c>
      <c r="J714" s="25">
        <v>197900</v>
      </c>
    </row>
    <row r="715" spans="1:10" ht="16" x14ac:dyDescent="0.45">
      <c r="A715" s="153" t="str">
        <f>B715&amp;C715&amp;E715&amp;G715</f>
        <v>비데프라임 비데64M(4개월점검주기)</v>
      </c>
      <c r="B715" s="17" t="s">
        <v>117</v>
      </c>
      <c r="C715" s="145" t="s">
        <v>513</v>
      </c>
      <c r="D715" s="19" t="s">
        <v>119</v>
      </c>
      <c r="E715" s="19">
        <v>6</v>
      </c>
      <c r="F715" s="19" t="s">
        <v>0</v>
      </c>
      <c r="G715" s="20" t="s">
        <v>453</v>
      </c>
      <c r="H715" s="36">
        <v>20900</v>
      </c>
      <c r="I715" s="36">
        <v>18400</v>
      </c>
      <c r="J715" s="25">
        <v>227600</v>
      </c>
    </row>
    <row r="716" spans="1:10" ht="16" x14ac:dyDescent="0.45">
      <c r="A716" s="153" t="str">
        <f>B716&amp;C716&amp;E716&amp;G716</f>
        <v>비데프라임 비데(단체)32M(2개월점검주기)</v>
      </c>
      <c r="B716" s="17" t="s">
        <v>117</v>
      </c>
      <c r="C716" s="145" t="s">
        <v>514</v>
      </c>
      <c r="D716" s="19" t="s">
        <v>118</v>
      </c>
      <c r="E716" s="19">
        <v>3</v>
      </c>
      <c r="F716" s="19" t="s">
        <v>1</v>
      </c>
      <c r="G716" s="20" t="s">
        <v>452</v>
      </c>
      <c r="H716" s="36">
        <v>22400</v>
      </c>
      <c r="I716" s="94">
        <v>21400</v>
      </c>
      <c r="J716" s="25">
        <v>197900</v>
      </c>
    </row>
    <row r="717" spans="1:10" ht="16" x14ac:dyDescent="0.45">
      <c r="A717" s="153" t="str">
        <f>B717&amp;C717&amp;E717&amp;G717</f>
        <v>비데프라임 비데(단체)52M(2개월점검주기)</v>
      </c>
      <c r="B717" s="17" t="s">
        <v>117</v>
      </c>
      <c r="C717" s="145" t="s">
        <v>514</v>
      </c>
      <c r="D717" s="19" t="s">
        <v>118</v>
      </c>
      <c r="E717" s="19">
        <v>5</v>
      </c>
      <c r="F717" s="19" t="s">
        <v>0</v>
      </c>
      <c r="G717" s="20" t="s">
        <v>452</v>
      </c>
      <c r="H717" s="36">
        <v>20900</v>
      </c>
      <c r="I717" s="94">
        <v>18900</v>
      </c>
      <c r="J717" s="25">
        <v>197900</v>
      </c>
    </row>
    <row r="718" spans="1:10" ht="16" x14ac:dyDescent="0.45">
      <c r="A718" s="153" t="str">
        <f>B718&amp;C718&amp;E718&amp;G718</f>
        <v>비데프라임 비데(단체)62M(2개월점검주기)</v>
      </c>
      <c r="B718" s="17" t="s">
        <v>117</v>
      </c>
      <c r="C718" s="145" t="s">
        <v>514</v>
      </c>
      <c r="D718" s="19" t="s">
        <v>118</v>
      </c>
      <c r="E718" s="19">
        <v>6</v>
      </c>
      <c r="F718" s="19" t="s">
        <v>0</v>
      </c>
      <c r="G718" s="20" t="s">
        <v>452</v>
      </c>
      <c r="H718" s="36">
        <v>19900</v>
      </c>
      <c r="I718" s="94">
        <v>17900</v>
      </c>
      <c r="J718" s="25">
        <v>227600</v>
      </c>
    </row>
    <row r="719" spans="1:10" ht="16" x14ac:dyDescent="0.45">
      <c r="A719" s="153" t="str">
        <f>B719&amp;C719&amp;E719&amp;G719</f>
        <v>비데프라임 비데(단체)34M(4개월점검주기)</v>
      </c>
      <c r="B719" s="17" t="s">
        <v>117</v>
      </c>
      <c r="C719" s="145" t="s">
        <v>514</v>
      </c>
      <c r="D719" s="19" t="s">
        <v>118</v>
      </c>
      <c r="E719" s="19">
        <v>3</v>
      </c>
      <c r="F719" s="19" t="s">
        <v>1</v>
      </c>
      <c r="G719" s="20" t="s">
        <v>453</v>
      </c>
      <c r="H719" s="36">
        <v>20400</v>
      </c>
      <c r="I719" s="94">
        <v>19900</v>
      </c>
      <c r="J719" s="25">
        <v>197900</v>
      </c>
    </row>
    <row r="720" spans="1:10" ht="16" x14ac:dyDescent="0.45">
      <c r="A720" s="153" t="str">
        <f>B720&amp;C720&amp;E720&amp;G720</f>
        <v>비데프라임 비데(단체)54M(4개월점검주기)</v>
      </c>
      <c r="B720" s="17" t="s">
        <v>117</v>
      </c>
      <c r="C720" s="18" t="s">
        <v>514</v>
      </c>
      <c r="D720" s="19" t="s">
        <v>118</v>
      </c>
      <c r="E720" s="19">
        <v>5</v>
      </c>
      <c r="F720" s="19" t="s">
        <v>0</v>
      </c>
      <c r="G720" s="20" t="s">
        <v>453</v>
      </c>
      <c r="H720" s="36">
        <v>18900</v>
      </c>
      <c r="I720" s="94">
        <v>19400</v>
      </c>
      <c r="J720" s="25">
        <v>197900</v>
      </c>
    </row>
    <row r="721" spans="1:10" ht="16" x14ac:dyDescent="0.45">
      <c r="A721" s="153" t="str">
        <f>B721&amp;C721&amp;E721&amp;G721</f>
        <v>비데프라임 비데(단체)64M(4개월점검주기)</v>
      </c>
      <c r="B721" s="17" t="s">
        <v>117</v>
      </c>
      <c r="C721" s="18" t="s">
        <v>514</v>
      </c>
      <c r="D721" s="19" t="s">
        <v>118</v>
      </c>
      <c r="E721" s="19">
        <v>6</v>
      </c>
      <c r="F721" s="19" t="s">
        <v>0</v>
      </c>
      <c r="G721" s="20" t="s">
        <v>453</v>
      </c>
      <c r="H721" s="36">
        <v>17900</v>
      </c>
      <c r="I721" s="94">
        <v>16900</v>
      </c>
      <c r="J721" s="25">
        <v>227600</v>
      </c>
    </row>
    <row r="722" spans="1:10" ht="16" x14ac:dyDescent="0.45">
      <c r="A722" s="153" t="str">
        <f>B722&amp;C722&amp;E722&amp;G722</f>
        <v>연수기스킨플러스32M(2개월점검주기)</v>
      </c>
      <c r="B722" s="17" t="s">
        <v>137</v>
      </c>
      <c r="C722" s="18" t="s">
        <v>515</v>
      </c>
      <c r="D722" s="19" t="s">
        <v>633</v>
      </c>
      <c r="E722" s="19">
        <v>3</v>
      </c>
      <c r="F722" s="19" t="s">
        <v>1</v>
      </c>
      <c r="G722" s="20" t="s">
        <v>452</v>
      </c>
      <c r="H722" s="36">
        <v>38400</v>
      </c>
      <c r="I722" s="36">
        <v>35400</v>
      </c>
      <c r="J722" s="25">
        <v>260700</v>
      </c>
    </row>
    <row r="723" spans="1:10" ht="16" x14ac:dyDescent="0.45">
      <c r="A723" s="153" t="str">
        <f>B723&amp;C723&amp;E723&amp;G723</f>
        <v>연수기스킨플러스52M(2개월점검주기)</v>
      </c>
      <c r="B723" s="17" t="s">
        <v>1038</v>
      </c>
      <c r="C723" s="18" t="s">
        <v>515</v>
      </c>
      <c r="D723" s="19" t="s">
        <v>633</v>
      </c>
      <c r="E723" s="19">
        <v>5</v>
      </c>
      <c r="F723" s="19" t="s">
        <v>0</v>
      </c>
      <c r="G723" s="20" t="s">
        <v>452</v>
      </c>
      <c r="H723" s="36">
        <v>36400</v>
      </c>
      <c r="I723" s="36">
        <v>33400</v>
      </c>
      <c r="J723" s="25">
        <v>260700</v>
      </c>
    </row>
    <row r="724" spans="1:10" ht="16" x14ac:dyDescent="0.45">
      <c r="A724" s="153" t="str">
        <f>B724&amp;C724&amp;E724&amp;G724</f>
        <v>연수기스킨플러스62M(2개월점검주기)</v>
      </c>
      <c r="B724" s="17" t="s">
        <v>137</v>
      </c>
      <c r="C724" s="18" t="s">
        <v>515</v>
      </c>
      <c r="D724" s="19" t="s">
        <v>633</v>
      </c>
      <c r="E724" s="19">
        <v>6</v>
      </c>
      <c r="F724" s="19" t="s">
        <v>0</v>
      </c>
      <c r="G724" s="20" t="s">
        <v>452</v>
      </c>
      <c r="H724" s="36">
        <v>34900</v>
      </c>
      <c r="I724" s="36">
        <v>31900</v>
      </c>
      <c r="J724" s="25">
        <v>299800</v>
      </c>
    </row>
    <row r="725" spans="1:10" ht="16" x14ac:dyDescent="0.45">
      <c r="A725" s="153" t="str">
        <f>B725&amp;C725&amp;E725&amp;G725</f>
        <v>연수기스킨플러스3자가관리</v>
      </c>
      <c r="B725" s="17" t="s">
        <v>137</v>
      </c>
      <c r="C725" s="18" t="s">
        <v>515</v>
      </c>
      <c r="D725" s="19" t="s">
        <v>633</v>
      </c>
      <c r="E725" s="19">
        <v>3</v>
      </c>
      <c r="F725" s="19" t="s">
        <v>1</v>
      </c>
      <c r="G725" s="20" t="s">
        <v>3</v>
      </c>
      <c r="H725" s="36">
        <v>34400</v>
      </c>
      <c r="I725" s="36">
        <v>31400</v>
      </c>
      <c r="J725" s="25">
        <v>238200</v>
      </c>
    </row>
    <row r="726" spans="1:10" ht="16" x14ac:dyDescent="0.45">
      <c r="A726" s="153" t="str">
        <f>B726&amp;C726&amp;E726&amp;G726</f>
        <v>연수기스킨플러스5자가관리</v>
      </c>
      <c r="B726" s="17" t="s">
        <v>1038</v>
      </c>
      <c r="C726" s="18" t="s">
        <v>515</v>
      </c>
      <c r="D726" s="19" t="s">
        <v>633</v>
      </c>
      <c r="E726" s="19">
        <v>5</v>
      </c>
      <c r="F726" s="19" t="s">
        <v>0</v>
      </c>
      <c r="G726" s="20" t="s">
        <v>3</v>
      </c>
      <c r="H726" s="36">
        <v>32400</v>
      </c>
      <c r="I726" s="36">
        <v>29400</v>
      </c>
      <c r="J726" s="25">
        <v>238200</v>
      </c>
    </row>
    <row r="727" spans="1:10" ht="16" x14ac:dyDescent="0.45">
      <c r="A727" s="153" t="str">
        <f>B727&amp;C727&amp;E727&amp;G727</f>
        <v>연수기스킨플러스6자가관리</v>
      </c>
      <c r="B727" s="17" t="s">
        <v>137</v>
      </c>
      <c r="C727" s="18" t="s">
        <v>515</v>
      </c>
      <c r="D727" s="19" t="s">
        <v>633</v>
      </c>
      <c r="E727" s="19">
        <v>6</v>
      </c>
      <c r="F727" s="19" t="s">
        <v>0</v>
      </c>
      <c r="G727" s="20" t="s">
        <v>3</v>
      </c>
      <c r="H727" s="36">
        <v>30900</v>
      </c>
      <c r="I727" s="36">
        <v>27900</v>
      </c>
      <c r="J727" s="25">
        <v>273900</v>
      </c>
    </row>
    <row r="728" spans="1:10" ht="16" x14ac:dyDescent="0.45">
      <c r="A728" s="153" t="str">
        <f>B728&amp;C728&amp;E728&amp;G728</f>
        <v>연수기스킨플러스32M(2개월점검주기)</v>
      </c>
      <c r="B728" s="17" t="s">
        <v>137</v>
      </c>
      <c r="C728" s="18" t="s">
        <v>515</v>
      </c>
      <c r="D728" s="19" t="s">
        <v>634</v>
      </c>
      <c r="E728" s="19">
        <v>3</v>
      </c>
      <c r="F728" s="19" t="s">
        <v>1</v>
      </c>
      <c r="G728" s="20" t="s">
        <v>452</v>
      </c>
      <c r="H728" s="36">
        <v>41400</v>
      </c>
      <c r="I728" s="36">
        <v>38400</v>
      </c>
      <c r="J728" s="25">
        <v>271900</v>
      </c>
    </row>
    <row r="729" spans="1:10" ht="16" x14ac:dyDescent="0.45">
      <c r="A729" s="153" t="str">
        <f>B729&amp;C729&amp;E729&amp;G729</f>
        <v>연수기스킨플러스52M(2개월점검주기)</v>
      </c>
      <c r="B729" s="17" t="s">
        <v>1038</v>
      </c>
      <c r="C729" s="18" t="s">
        <v>515</v>
      </c>
      <c r="D729" s="19" t="s">
        <v>634</v>
      </c>
      <c r="E729" s="19">
        <v>5</v>
      </c>
      <c r="F729" s="19" t="s">
        <v>0</v>
      </c>
      <c r="G729" s="20" t="s">
        <v>452</v>
      </c>
      <c r="H729" s="36">
        <v>39400</v>
      </c>
      <c r="I729" s="36">
        <v>36400</v>
      </c>
      <c r="J729" s="25">
        <v>271900</v>
      </c>
    </row>
    <row r="730" spans="1:10" ht="16" x14ac:dyDescent="0.45">
      <c r="A730" s="153" t="str">
        <f>B730&amp;C730&amp;E730&amp;G730</f>
        <v>연수기스킨플러스62M(2개월점검주기)</v>
      </c>
      <c r="B730" s="17" t="s">
        <v>137</v>
      </c>
      <c r="C730" s="18" t="s">
        <v>515</v>
      </c>
      <c r="D730" s="19" t="s">
        <v>634</v>
      </c>
      <c r="E730" s="19">
        <v>6</v>
      </c>
      <c r="F730" s="19" t="s">
        <v>0</v>
      </c>
      <c r="G730" s="20" t="s">
        <v>452</v>
      </c>
      <c r="H730" s="36">
        <v>37900</v>
      </c>
      <c r="I730" s="36">
        <v>34900</v>
      </c>
      <c r="J730" s="25">
        <v>312700</v>
      </c>
    </row>
    <row r="731" spans="1:10" ht="16" x14ac:dyDescent="0.45">
      <c r="A731" s="153" t="str">
        <f>B731&amp;C731&amp;E731&amp;G731</f>
        <v>연수기스킨플러스3자가관리</v>
      </c>
      <c r="B731" s="17" t="s">
        <v>137</v>
      </c>
      <c r="C731" s="18" t="s">
        <v>515</v>
      </c>
      <c r="D731" s="19" t="s">
        <v>634</v>
      </c>
      <c r="E731" s="19">
        <v>3</v>
      </c>
      <c r="F731" s="19" t="s">
        <v>1</v>
      </c>
      <c r="G731" s="20" t="s">
        <v>3</v>
      </c>
      <c r="H731" s="36">
        <v>37400</v>
      </c>
      <c r="I731" s="36">
        <v>34400</v>
      </c>
      <c r="J731" s="25">
        <v>249500</v>
      </c>
    </row>
    <row r="732" spans="1:10" ht="16" x14ac:dyDescent="0.45">
      <c r="A732" s="153" t="str">
        <f>B732&amp;C732&amp;E732&amp;G732</f>
        <v>연수기스킨플러스5자가관리</v>
      </c>
      <c r="B732" s="17" t="s">
        <v>1038</v>
      </c>
      <c r="C732" s="18" t="s">
        <v>515</v>
      </c>
      <c r="D732" s="19" t="s">
        <v>634</v>
      </c>
      <c r="E732" s="19">
        <v>5</v>
      </c>
      <c r="F732" s="19" t="s">
        <v>0</v>
      </c>
      <c r="G732" s="20" t="s">
        <v>3</v>
      </c>
      <c r="H732" s="36">
        <v>35400</v>
      </c>
      <c r="I732" s="36">
        <v>32400</v>
      </c>
      <c r="J732" s="25">
        <v>249500</v>
      </c>
    </row>
    <row r="733" spans="1:10" ht="16" x14ac:dyDescent="0.45">
      <c r="A733" s="153" t="str">
        <f>B733&amp;C733&amp;E733&amp;G733</f>
        <v>연수기스킨플러스6자가관리</v>
      </c>
      <c r="B733" s="17" t="s">
        <v>137</v>
      </c>
      <c r="C733" s="18" t="s">
        <v>515</v>
      </c>
      <c r="D733" s="19" t="s">
        <v>634</v>
      </c>
      <c r="E733" s="19">
        <v>6</v>
      </c>
      <c r="F733" s="19" t="s">
        <v>0</v>
      </c>
      <c r="G733" s="20" t="s">
        <v>3</v>
      </c>
      <c r="H733" s="36">
        <v>33900</v>
      </c>
      <c r="I733" s="36">
        <v>30900</v>
      </c>
      <c r="J733" s="25">
        <v>286900</v>
      </c>
    </row>
    <row r="734" spans="1:10" ht="16" x14ac:dyDescent="0.45">
      <c r="A734" s="153" t="str">
        <f>B734&amp;C734&amp;E734&amp;G734</f>
        <v>연수기연수기31M(1개월점검주기)</v>
      </c>
      <c r="B734" s="17" t="s">
        <v>137</v>
      </c>
      <c r="C734" s="18" t="s">
        <v>137</v>
      </c>
      <c r="D734" s="19" t="s">
        <v>138</v>
      </c>
      <c r="E734" s="19">
        <v>3</v>
      </c>
      <c r="F734" s="19" t="s">
        <v>1</v>
      </c>
      <c r="G734" s="20" t="s">
        <v>456</v>
      </c>
      <c r="H734" s="36">
        <v>39400</v>
      </c>
      <c r="I734" s="36"/>
      <c r="J734" s="25">
        <v>260700</v>
      </c>
    </row>
    <row r="735" spans="1:10" ht="16" x14ac:dyDescent="0.45">
      <c r="A735" s="153" t="str">
        <f>B735&amp;C735&amp;E735&amp;G735</f>
        <v>연수기연수기51M(1개월점검주기)</v>
      </c>
      <c r="B735" s="17" t="s">
        <v>137</v>
      </c>
      <c r="C735" s="18" t="s">
        <v>1038</v>
      </c>
      <c r="D735" s="19" t="s">
        <v>138</v>
      </c>
      <c r="E735" s="19">
        <v>5</v>
      </c>
      <c r="F735" s="19" t="s">
        <v>0</v>
      </c>
      <c r="G735" s="20" t="s">
        <v>456</v>
      </c>
      <c r="H735" s="36">
        <v>36400</v>
      </c>
      <c r="I735" s="36"/>
      <c r="J735" s="25">
        <v>260700</v>
      </c>
    </row>
    <row r="736" spans="1:10" ht="16" x14ac:dyDescent="0.45">
      <c r="A736" s="153" t="str">
        <f>B736&amp;C736&amp;E736&amp;G736</f>
        <v>연수기연수기61M(1개월점검주기)</v>
      </c>
      <c r="B736" s="17" t="s">
        <v>137</v>
      </c>
      <c r="C736" s="18" t="s">
        <v>137</v>
      </c>
      <c r="D736" s="19" t="s">
        <v>138</v>
      </c>
      <c r="E736" s="19">
        <v>6</v>
      </c>
      <c r="F736" s="19" t="s">
        <v>0</v>
      </c>
      <c r="G736" s="20" t="s">
        <v>456</v>
      </c>
      <c r="H736" s="36">
        <v>37900</v>
      </c>
      <c r="I736" s="36"/>
      <c r="J736" s="25">
        <v>299800</v>
      </c>
    </row>
    <row r="737" spans="1:10" ht="16" x14ac:dyDescent="0.45">
      <c r="A737" s="153" t="str">
        <f>B737&amp;C737&amp;E737&amp;G737</f>
        <v>연수기연수기32M(2개월점검주기)</v>
      </c>
      <c r="B737" s="17" t="s">
        <v>137</v>
      </c>
      <c r="C737" s="18" t="s">
        <v>137</v>
      </c>
      <c r="D737" s="19" t="s">
        <v>138</v>
      </c>
      <c r="E737" s="19">
        <v>3</v>
      </c>
      <c r="F737" s="19" t="s">
        <v>1</v>
      </c>
      <c r="G737" s="20" t="s">
        <v>452</v>
      </c>
      <c r="H737" s="36">
        <v>33400</v>
      </c>
      <c r="I737" s="36">
        <v>30400</v>
      </c>
      <c r="J737" s="25">
        <v>238200</v>
      </c>
    </row>
    <row r="738" spans="1:10" ht="16" x14ac:dyDescent="0.45">
      <c r="A738" s="153" t="str">
        <f>B738&amp;C738&amp;E738&amp;G738</f>
        <v>연수기연수기52M(2개월점검주기)</v>
      </c>
      <c r="B738" s="17" t="s">
        <v>137</v>
      </c>
      <c r="C738" s="18" t="s">
        <v>1038</v>
      </c>
      <c r="D738" s="19" t="s">
        <v>138</v>
      </c>
      <c r="E738" s="19">
        <v>5</v>
      </c>
      <c r="F738" s="19" t="s">
        <v>0</v>
      </c>
      <c r="G738" s="20" t="s">
        <v>452</v>
      </c>
      <c r="H738" s="36">
        <v>31400</v>
      </c>
      <c r="I738" s="36">
        <v>28400</v>
      </c>
      <c r="J738" s="25">
        <v>238200</v>
      </c>
    </row>
    <row r="739" spans="1:10" ht="16" x14ac:dyDescent="0.45">
      <c r="A739" s="153" t="str">
        <f>B739&amp;C739&amp;E739&amp;G739</f>
        <v>연수기연수기62M(2개월점검주기)</v>
      </c>
      <c r="B739" s="17" t="s">
        <v>137</v>
      </c>
      <c r="C739" s="18" t="s">
        <v>137</v>
      </c>
      <c r="D739" s="19" t="s">
        <v>138</v>
      </c>
      <c r="E739" s="19">
        <v>6</v>
      </c>
      <c r="F739" s="19" t="s">
        <v>0</v>
      </c>
      <c r="G739" s="20" t="s">
        <v>452</v>
      </c>
      <c r="H739" s="36">
        <v>29900</v>
      </c>
      <c r="I739" s="36">
        <v>26900</v>
      </c>
      <c r="J739" s="25">
        <v>273900</v>
      </c>
    </row>
    <row r="740" spans="1:10" ht="16" x14ac:dyDescent="0.45">
      <c r="A740" s="153" t="str">
        <f>B740&amp;C740&amp;E740&amp;G740</f>
        <v>힐링케어리클라이닝 마사지셋512M</v>
      </c>
      <c r="B740" s="17" t="s">
        <v>488</v>
      </c>
      <c r="C740" s="18" t="s">
        <v>1013</v>
      </c>
      <c r="D740" s="19" t="s">
        <v>1017</v>
      </c>
      <c r="E740" s="19">
        <v>5</v>
      </c>
      <c r="F740" s="19" t="s">
        <v>0</v>
      </c>
      <c r="G740" s="20" t="s">
        <v>1018</v>
      </c>
      <c r="H740" s="36">
        <v>130000</v>
      </c>
      <c r="I740" s="36">
        <v>117000</v>
      </c>
      <c r="J740" s="25">
        <v>469000</v>
      </c>
    </row>
    <row r="741" spans="1:10" ht="16" x14ac:dyDescent="0.45">
      <c r="A741" s="153" t="str">
        <f>B741&amp;C741&amp;E741&amp;G741</f>
        <v>힐링케어리클라이닝 마사지셋712M</v>
      </c>
      <c r="B741" s="17" t="s">
        <v>488</v>
      </c>
      <c r="C741" s="18" t="s">
        <v>1013</v>
      </c>
      <c r="D741" s="19" t="s">
        <v>1017</v>
      </c>
      <c r="E741" s="19">
        <v>7</v>
      </c>
      <c r="F741" s="19" t="s">
        <v>0</v>
      </c>
      <c r="G741" s="20" t="s">
        <v>1018</v>
      </c>
      <c r="H741" s="36">
        <v>103000</v>
      </c>
      <c r="I741" s="36">
        <v>92700</v>
      </c>
      <c r="J741" s="25">
        <v>441900</v>
      </c>
    </row>
    <row r="742" spans="1:10" ht="16" x14ac:dyDescent="0.45">
      <c r="A742" s="153" t="str">
        <f>B742&amp;C742&amp;E742&amp;G742</f>
        <v>힐링케어리클라이닝 마사지셋51회 서비스</v>
      </c>
      <c r="B742" s="17" t="s">
        <v>488</v>
      </c>
      <c r="C742" s="18" t="s">
        <v>1013</v>
      </c>
      <c r="D742" s="19" t="s">
        <v>1017</v>
      </c>
      <c r="E742" s="19">
        <v>5</v>
      </c>
      <c r="F742" s="19" t="s">
        <v>0</v>
      </c>
      <c r="G742" s="20" t="s">
        <v>13</v>
      </c>
      <c r="H742" s="36">
        <v>126000</v>
      </c>
      <c r="I742" s="36">
        <v>113400</v>
      </c>
      <c r="J742" s="25">
        <v>457000</v>
      </c>
    </row>
    <row r="743" spans="1:10" ht="16" x14ac:dyDescent="0.45">
      <c r="A743" s="153" t="str">
        <f>B743&amp;C743&amp;E743&amp;G743</f>
        <v>힐링케어리클라이닝 마사지셋71회 서비스</v>
      </c>
      <c r="B743" s="17" t="s">
        <v>488</v>
      </c>
      <c r="C743" s="18" t="s">
        <v>1013</v>
      </c>
      <c r="D743" s="19" t="s">
        <v>1017</v>
      </c>
      <c r="E743" s="19">
        <v>7</v>
      </c>
      <c r="F743" s="19" t="s">
        <v>0</v>
      </c>
      <c r="G743" s="20" t="s">
        <v>13</v>
      </c>
      <c r="H743" s="36">
        <v>99000</v>
      </c>
      <c r="I743" s="36">
        <v>89100</v>
      </c>
      <c r="J743" s="25">
        <v>426600</v>
      </c>
    </row>
    <row r="744" spans="1:10" ht="16" x14ac:dyDescent="0.45">
      <c r="A744" s="153" t="str">
        <f>B744&amp;C744&amp;E744&amp;G744</f>
        <v>힐링케어리클라이닝 마사지셋5서비스프리</v>
      </c>
      <c r="B744" s="17" t="s">
        <v>488</v>
      </c>
      <c r="C744" s="18" t="s">
        <v>1013</v>
      </c>
      <c r="D744" s="19" t="s">
        <v>1017</v>
      </c>
      <c r="E744" s="19">
        <v>5</v>
      </c>
      <c r="F744" s="19" t="s">
        <v>0</v>
      </c>
      <c r="G744" s="20" t="s">
        <v>183</v>
      </c>
      <c r="H744" s="36">
        <v>121000</v>
      </c>
      <c r="I744" s="36">
        <v>108900</v>
      </c>
      <c r="J744" s="25">
        <v>442000</v>
      </c>
    </row>
    <row r="745" spans="1:10" ht="16" x14ac:dyDescent="0.45">
      <c r="A745" s="153" t="str">
        <f>B745&amp;C745&amp;E745&amp;G745</f>
        <v>힐링케어리클라이닝 마사지셋7서비스프리</v>
      </c>
      <c r="B745" s="17" t="s">
        <v>488</v>
      </c>
      <c r="C745" s="18" t="s">
        <v>1013</v>
      </c>
      <c r="D745" s="19" t="s">
        <v>1017</v>
      </c>
      <c r="E745" s="19">
        <v>7</v>
      </c>
      <c r="F745" s="19" t="s">
        <v>0</v>
      </c>
      <c r="G745" s="20" t="s">
        <v>183</v>
      </c>
      <c r="H745" s="36">
        <v>94000</v>
      </c>
      <c r="I745" s="36">
        <v>84600</v>
      </c>
      <c r="J745" s="25">
        <v>414900</v>
      </c>
    </row>
    <row r="746" spans="1:10" ht="16" x14ac:dyDescent="0.45">
      <c r="A746" s="153" t="str">
        <f>B746&amp;C746&amp;E746&amp;G746</f>
        <v>힐링케어리클라이닝 안마베드512M(12개월점검주기)</v>
      </c>
      <c r="B746" s="17" t="s">
        <v>488</v>
      </c>
      <c r="C746" s="18" t="s">
        <v>571</v>
      </c>
      <c r="D746" s="19" t="s">
        <v>641</v>
      </c>
      <c r="E746" s="19">
        <v>5</v>
      </c>
      <c r="F746" s="19" t="s">
        <v>0</v>
      </c>
      <c r="G746" s="20" t="s">
        <v>455</v>
      </c>
      <c r="H746" s="36">
        <v>124500</v>
      </c>
      <c r="I746" s="36">
        <v>124500</v>
      </c>
      <c r="J746" s="25">
        <v>452500</v>
      </c>
    </row>
    <row r="747" spans="1:10" ht="16" x14ac:dyDescent="0.45">
      <c r="A747" s="153" t="str">
        <f>B747&amp;C747&amp;E747&amp;G747</f>
        <v>힐링케어리클라이닝 안마베드712M(12개월점검주기)</v>
      </c>
      <c r="B747" s="17" t="s">
        <v>488</v>
      </c>
      <c r="C747" s="18" t="s">
        <v>571</v>
      </c>
      <c r="D747" s="19" t="s">
        <v>641</v>
      </c>
      <c r="E747" s="19">
        <v>7</v>
      </c>
      <c r="F747" s="19" t="s">
        <v>0</v>
      </c>
      <c r="G747" s="20" t="s">
        <v>455</v>
      </c>
      <c r="H747" s="36">
        <v>98500</v>
      </c>
      <c r="I747" s="36">
        <v>98500</v>
      </c>
      <c r="J747" s="25">
        <v>426600</v>
      </c>
    </row>
    <row r="748" spans="1:10" ht="16" x14ac:dyDescent="0.45">
      <c r="A748" s="153" t="str">
        <f>B748&amp;C748&amp;E748&amp;G748</f>
        <v>힐링케어리클라이닝 안마베드51회서비스</v>
      </c>
      <c r="B748" s="17" t="s">
        <v>488</v>
      </c>
      <c r="C748" s="18" t="s">
        <v>571</v>
      </c>
      <c r="D748" s="19" t="s">
        <v>641</v>
      </c>
      <c r="E748" s="19">
        <v>5</v>
      </c>
      <c r="F748" s="19" t="s">
        <v>0</v>
      </c>
      <c r="G748" s="20" t="s">
        <v>457</v>
      </c>
      <c r="H748" s="36">
        <v>120500</v>
      </c>
      <c r="I748" s="36">
        <v>120500</v>
      </c>
      <c r="J748" s="25">
        <v>440500</v>
      </c>
    </row>
    <row r="749" spans="1:10" ht="16" x14ac:dyDescent="0.45">
      <c r="A749" s="153" t="str">
        <f>B749&amp;C749&amp;E749&amp;G749</f>
        <v>힐링케어리클라이닝 안마베드71회서비스</v>
      </c>
      <c r="B749" s="17" t="s">
        <v>488</v>
      </c>
      <c r="C749" s="18" t="s">
        <v>571</v>
      </c>
      <c r="D749" s="19" t="s">
        <v>641</v>
      </c>
      <c r="E749" s="19">
        <v>7</v>
      </c>
      <c r="F749" s="19" t="s">
        <v>0</v>
      </c>
      <c r="G749" s="20" t="s">
        <v>457</v>
      </c>
      <c r="H749" s="36">
        <v>94500</v>
      </c>
      <c r="I749" s="36">
        <v>94500</v>
      </c>
      <c r="J749" s="25">
        <v>414900</v>
      </c>
    </row>
    <row r="750" spans="1:10" ht="16" x14ac:dyDescent="0.45">
      <c r="A750" s="153" t="str">
        <f>B750&amp;C750&amp;E750&amp;G750</f>
        <v>힐링케어리클라이닝 안마베드5서비스프리</v>
      </c>
      <c r="B750" s="17" t="s">
        <v>488</v>
      </c>
      <c r="C750" s="18" t="s">
        <v>571</v>
      </c>
      <c r="D750" s="19" t="s">
        <v>641</v>
      </c>
      <c r="E750" s="19">
        <v>5</v>
      </c>
      <c r="F750" s="19" t="s">
        <v>0</v>
      </c>
      <c r="G750" s="20" t="s">
        <v>183</v>
      </c>
      <c r="H750" s="36">
        <v>115500</v>
      </c>
      <c r="I750" s="36">
        <v>115500</v>
      </c>
      <c r="J750" s="25">
        <v>425500</v>
      </c>
    </row>
    <row r="751" spans="1:10" ht="16" x14ac:dyDescent="0.45">
      <c r="A751" s="153" t="str">
        <f>B751&amp;C751&amp;E751&amp;G751</f>
        <v>힐링케어리클라이닝 안마베드7서비스프리</v>
      </c>
      <c r="B751" s="17" t="s">
        <v>488</v>
      </c>
      <c r="C751" s="18" t="s">
        <v>571</v>
      </c>
      <c r="D751" s="19" t="s">
        <v>641</v>
      </c>
      <c r="E751" s="19">
        <v>7</v>
      </c>
      <c r="F751" s="19" t="s">
        <v>0</v>
      </c>
      <c r="G751" s="20" t="s">
        <v>183</v>
      </c>
      <c r="H751" s="36">
        <v>89500</v>
      </c>
      <c r="I751" s="36">
        <v>89500</v>
      </c>
      <c r="J751" s="25">
        <v>403200</v>
      </c>
    </row>
    <row r="752" spans="1:10" ht="16" x14ac:dyDescent="0.45">
      <c r="A752" s="153" t="str">
        <f>B752&amp;C752&amp;E752&amp;G752</f>
        <v>힐링케어리클라이닝 척추베드512M(12개월점검주기)</v>
      </c>
      <c r="B752" s="17" t="s">
        <v>488</v>
      </c>
      <c r="C752" s="18" t="s">
        <v>572</v>
      </c>
      <c r="D752" s="19" t="s">
        <v>642</v>
      </c>
      <c r="E752" s="19">
        <v>5</v>
      </c>
      <c r="F752" s="19" t="s">
        <v>0</v>
      </c>
      <c r="G752" s="20" t="s">
        <v>455</v>
      </c>
      <c r="H752" s="36">
        <v>113500</v>
      </c>
      <c r="I752" s="36">
        <v>113500</v>
      </c>
      <c r="J752" s="25">
        <v>419500</v>
      </c>
    </row>
    <row r="753" spans="1:10" ht="16" x14ac:dyDescent="0.45">
      <c r="A753" s="153" t="str">
        <f>B753&amp;C753&amp;E753&amp;G753</f>
        <v>힐링케어리클라이닝 척추베드712M(12개월점검주기)</v>
      </c>
      <c r="B753" s="17" t="s">
        <v>488</v>
      </c>
      <c r="C753" s="18" t="s">
        <v>572</v>
      </c>
      <c r="D753" s="19" t="s">
        <v>642</v>
      </c>
      <c r="E753" s="19">
        <v>7</v>
      </c>
      <c r="F753" s="19" t="s">
        <v>0</v>
      </c>
      <c r="G753" s="20" t="s">
        <v>455</v>
      </c>
      <c r="H753" s="36">
        <v>91500</v>
      </c>
      <c r="I753" s="36">
        <v>91500</v>
      </c>
      <c r="J753" s="25">
        <v>414900</v>
      </c>
    </row>
    <row r="754" spans="1:10" ht="16" x14ac:dyDescent="0.45">
      <c r="A754" s="153" t="str">
        <f>B754&amp;C754&amp;E754&amp;G754</f>
        <v>힐링케어리클라이닝 척추베드51회서비스</v>
      </c>
      <c r="B754" s="17" t="s">
        <v>488</v>
      </c>
      <c r="C754" s="18" t="s">
        <v>572</v>
      </c>
      <c r="D754" s="19" t="s">
        <v>642</v>
      </c>
      <c r="E754" s="19">
        <v>5</v>
      </c>
      <c r="F754" s="19" t="s">
        <v>0</v>
      </c>
      <c r="G754" s="20" t="s">
        <v>457</v>
      </c>
      <c r="H754" s="36">
        <v>109500</v>
      </c>
      <c r="I754" s="36">
        <v>109500</v>
      </c>
      <c r="J754" s="25">
        <v>407500</v>
      </c>
    </row>
    <row r="755" spans="1:10" ht="16" x14ac:dyDescent="0.45">
      <c r="A755" s="153" t="str">
        <f>B755&amp;C755&amp;E755&amp;G755</f>
        <v>힐링케어리클라이닝 척추베드71회서비스</v>
      </c>
      <c r="B755" s="17" t="s">
        <v>488</v>
      </c>
      <c r="C755" s="18" t="s">
        <v>572</v>
      </c>
      <c r="D755" s="19" t="s">
        <v>642</v>
      </c>
      <c r="E755" s="19">
        <v>7</v>
      </c>
      <c r="F755" s="19" t="s">
        <v>0</v>
      </c>
      <c r="G755" s="20" t="s">
        <v>457</v>
      </c>
      <c r="H755" s="36">
        <v>87500</v>
      </c>
      <c r="I755" s="36">
        <v>87500</v>
      </c>
      <c r="J755" s="25">
        <v>403200</v>
      </c>
    </row>
    <row r="756" spans="1:10" ht="16" x14ac:dyDescent="0.45">
      <c r="A756" s="153" t="str">
        <f>B756&amp;C756&amp;E756&amp;G756</f>
        <v>힐링케어리클라이닝 척추베드5서비스프리</v>
      </c>
      <c r="B756" s="17" t="s">
        <v>488</v>
      </c>
      <c r="C756" s="18" t="s">
        <v>572</v>
      </c>
      <c r="D756" s="19" t="s">
        <v>642</v>
      </c>
      <c r="E756" s="19">
        <v>5</v>
      </c>
      <c r="F756" s="19" t="s">
        <v>0</v>
      </c>
      <c r="G756" s="20" t="s">
        <v>183</v>
      </c>
      <c r="H756" s="36">
        <v>104500</v>
      </c>
      <c r="I756" s="36">
        <v>104500</v>
      </c>
      <c r="J756" s="25">
        <v>392500</v>
      </c>
    </row>
    <row r="757" spans="1:10" ht="16" x14ac:dyDescent="0.45">
      <c r="A757" s="153" t="str">
        <f>B757&amp;C757&amp;E757&amp;G757</f>
        <v>힐링케어리클라이닝 척추베드7서비스프리</v>
      </c>
      <c r="B757" s="17" t="s">
        <v>488</v>
      </c>
      <c r="C757" s="18" t="s">
        <v>572</v>
      </c>
      <c r="D757" s="19" t="s">
        <v>642</v>
      </c>
      <c r="E757" s="19">
        <v>7</v>
      </c>
      <c r="F757" s="19" t="s">
        <v>0</v>
      </c>
      <c r="G757" s="20" t="s">
        <v>183</v>
      </c>
      <c r="H757" s="36">
        <v>82500</v>
      </c>
      <c r="I757" s="36">
        <v>82500</v>
      </c>
      <c r="J757" s="25">
        <v>391500</v>
      </c>
    </row>
    <row r="758" spans="1:10" ht="16" x14ac:dyDescent="0.45">
      <c r="A758" s="153" t="str">
        <f>B758&amp;C758&amp;E758&amp;G758</f>
        <v>힐링케어리클라이닝 코어셋512M</v>
      </c>
      <c r="B758" s="17" t="s">
        <v>488</v>
      </c>
      <c r="C758" s="18" t="s">
        <v>1014</v>
      </c>
      <c r="D758" s="19" t="s">
        <v>1019</v>
      </c>
      <c r="E758" s="19">
        <v>5</v>
      </c>
      <c r="F758" s="19" t="s">
        <v>0</v>
      </c>
      <c r="G758" s="20" t="s">
        <v>1018</v>
      </c>
      <c r="H758" s="36">
        <v>119000</v>
      </c>
      <c r="I758" s="36">
        <v>107100</v>
      </c>
      <c r="J758" s="25">
        <v>436000</v>
      </c>
    </row>
    <row r="759" spans="1:10" ht="16" x14ac:dyDescent="0.45">
      <c r="A759" s="153" t="str">
        <f>B759&amp;C759&amp;E759&amp;G759</f>
        <v>힐링케어리클라이닝 코어셋712M</v>
      </c>
      <c r="B759" s="17" t="s">
        <v>488</v>
      </c>
      <c r="C759" s="18" t="s">
        <v>1014</v>
      </c>
      <c r="D759" s="19" t="s">
        <v>1019</v>
      </c>
      <c r="E759" s="19">
        <v>7</v>
      </c>
      <c r="F759" s="19" t="s">
        <v>0</v>
      </c>
      <c r="G759" s="20" t="s">
        <v>1018</v>
      </c>
      <c r="H759" s="36">
        <v>96000</v>
      </c>
      <c r="I759" s="36">
        <v>86400</v>
      </c>
      <c r="J759" s="25">
        <v>426600</v>
      </c>
    </row>
    <row r="760" spans="1:10" ht="16" x14ac:dyDescent="0.45">
      <c r="A760" s="153" t="str">
        <f>B760&amp;C760&amp;E760&amp;G760</f>
        <v>힐링케어리클라이닝 코어셋51회 서비스</v>
      </c>
      <c r="B760" s="17" t="s">
        <v>488</v>
      </c>
      <c r="C760" s="18" t="s">
        <v>1014</v>
      </c>
      <c r="D760" s="19" t="s">
        <v>1019</v>
      </c>
      <c r="E760" s="19">
        <v>5</v>
      </c>
      <c r="F760" s="19" t="s">
        <v>0</v>
      </c>
      <c r="G760" s="20" t="s">
        <v>13</v>
      </c>
      <c r="H760" s="36">
        <v>115000</v>
      </c>
      <c r="I760" s="36">
        <v>103500</v>
      </c>
      <c r="J760" s="25">
        <v>424000</v>
      </c>
    </row>
    <row r="761" spans="1:10" ht="16" x14ac:dyDescent="0.45">
      <c r="A761" s="153" t="str">
        <f>B761&amp;C761&amp;E761&amp;G761</f>
        <v>힐링케어리클라이닝 코어셋71회 서비스</v>
      </c>
      <c r="B761" s="17" t="s">
        <v>488</v>
      </c>
      <c r="C761" s="18" t="s">
        <v>1014</v>
      </c>
      <c r="D761" s="19" t="s">
        <v>1019</v>
      </c>
      <c r="E761" s="19">
        <v>7</v>
      </c>
      <c r="F761" s="19" t="s">
        <v>0</v>
      </c>
      <c r="G761" s="20" t="s">
        <v>13</v>
      </c>
      <c r="H761" s="36">
        <v>92000</v>
      </c>
      <c r="I761" s="36">
        <v>82800</v>
      </c>
      <c r="J761" s="25">
        <v>414900</v>
      </c>
    </row>
    <row r="762" spans="1:10" ht="16" x14ac:dyDescent="0.45">
      <c r="A762" s="153" t="str">
        <f>B762&amp;C762&amp;E762&amp;G762</f>
        <v>힐링케어리클라이닝 코어셋5서비스프리</v>
      </c>
      <c r="B762" s="17" t="s">
        <v>488</v>
      </c>
      <c r="C762" s="18" t="s">
        <v>1014</v>
      </c>
      <c r="D762" s="19" t="s">
        <v>1019</v>
      </c>
      <c r="E762" s="19">
        <v>5</v>
      </c>
      <c r="F762" s="19" t="s">
        <v>0</v>
      </c>
      <c r="G762" s="20" t="s">
        <v>183</v>
      </c>
      <c r="H762" s="36">
        <v>110000</v>
      </c>
      <c r="I762" s="36">
        <v>99000</v>
      </c>
      <c r="J762" s="25">
        <v>409000</v>
      </c>
    </row>
    <row r="763" spans="1:10" ht="16" x14ac:dyDescent="0.45">
      <c r="A763" s="153" t="str">
        <f>B763&amp;C763&amp;E763&amp;G763</f>
        <v>힐링케어리클라이닝 코어셋7서비스프리</v>
      </c>
      <c r="B763" s="17" t="s">
        <v>488</v>
      </c>
      <c r="C763" s="18" t="s">
        <v>1014</v>
      </c>
      <c r="D763" s="19" t="s">
        <v>1019</v>
      </c>
      <c r="E763" s="19">
        <v>7</v>
      </c>
      <c r="F763" s="19" t="s">
        <v>0</v>
      </c>
      <c r="G763" s="20" t="s">
        <v>183</v>
      </c>
      <c r="H763" s="36">
        <v>87000</v>
      </c>
      <c r="I763" s="36">
        <v>78300</v>
      </c>
      <c r="J763" s="25">
        <v>403200</v>
      </c>
    </row>
    <row r="764" spans="1:10" ht="16" x14ac:dyDescent="0.45">
      <c r="A764" s="153" t="str">
        <f>B764&amp;C764&amp;E764&amp;G764</f>
        <v>힐링케어마사지셋512M</v>
      </c>
      <c r="B764" s="17" t="s">
        <v>488</v>
      </c>
      <c r="C764" s="18" t="s">
        <v>1015</v>
      </c>
      <c r="D764" s="19" t="s">
        <v>1020</v>
      </c>
      <c r="E764" s="19">
        <v>5</v>
      </c>
      <c r="F764" s="19" t="s">
        <v>0</v>
      </c>
      <c r="G764" s="20" t="s">
        <v>1018</v>
      </c>
      <c r="H764" s="36">
        <v>120000</v>
      </c>
      <c r="I764" s="36">
        <v>108000</v>
      </c>
      <c r="J764" s="25">
        <v>439000</v>
      </c>
    </row>
    <row r="765" spans="1:10" ht="16" x14ac:dyDescent="0.45">
      <c r="A765" s="153" t="str">
        <f>B765&amp;C765&amp;E765&amp;G765</f>
        <v>힐링케어마사지셋712M</v>
      </c>
      <c r="B765" s="17" t="s">
        <v>488</v>
      </c>
      <c r="C765" s="18" t="s">
        <v>1015</v>
      </c>
      <c r="D765" s="19" t="s">
        <v>1020</v>
      </c>
      <c r="E765" s="19">
        <v>7</v>
      </c>
      <c r="F765" s="19" t="s">
        <v>0</v>
      </c>
      <c r="G765" s="20" t="s">
        <v>1018</v>
      </c>
      <c r="H765" s="36">
        <v>93000</v>
      </c>
      <c r="I765" s="36">
        <v>83700</v>
      </c>
      <c r="J765" s="25">
        <v>414900</v>
      </c>
    </row>
    <row r="766" spans="1:10" ht="16" x14ac:dyDescent="0.45">
      <c r="A766" s="153" t="str">
        <f>B766&amp;C766&amp;E766&amp;G766</f>
        <v>힐링케어마사지셋51회 서비스</v>
      </c>
      <c r="B766" s="17" t="s">
        <v>488</v>
      </c>
      <c r="C766" s="18" t="s">
        <v>1015</v>
      </c>
      <c r="D766" s="19" t="s">
        <v>1020</v>
      </c>
      <c r="E766" s="19">
        <v>5</v>
      </c>
      <c r="F766" s="19" t="s">
        <v>0</v>
      </c>
      <c r="G766" s="20" t="s">
        <v>13</v>
      </c>
      <c r="H766" s="36">
        <v>116000</v>
      </c>
      <c r="I766" s="36">
        <v>104400</v>
      </c>
      <c r="J766" s="25">
        <v>427000</v>
      </c>
    </row>
    <row r="767" spans="1:10" ht="16" x14ac:dyDescent="0.45">
      <c r="A767" s="153" t="str">
        <f>B767&amp;C767&amp;E767&amp;G767</f>
        <v>힐링케어마사지셋71회 서비스</v>
      </c>
      <c r="B767" s="17" t="s">
        <v>488</v>
      </c>
      <c r="C767" s="18" t="s">
        <v>1015</v>
      </c>
      <c r="D767" s="19" t="s">
        <v>1020</v>
      </c>
      <c r="E767" s="19">
        <v>7</v>
      </c>
      <c r="F767" s="19" t="s">
        <v>0</v>
      </c>
      <c r="G767" s="20" t="s">
        <v>13</v>
      </c>
      <c r="H767" s="36">
        <v>89000</v>
      </c>
      <c r="I767" s="36">
        <v>80100</v>
      </c>
      <c r="J767" s="25">
        <v>403200</v>
      </c>
    </row>
    <row r="768" spans="1:10" ht="16" x14ac:dyDescent="0.45">
      <c r="A768" s="153" t="str">
        <f>B768&amp;C768&amp;E768&amp;G768</f>
        <v>힐링케어마사지셋5서비스프리</v>
      </c>
      <c r="B768" s="17" t="s">
        <v>488</v>
      </c>
      <c r="C768" s="18" t="s">
        <v>1015</v>
      </c>
      <c r="D768" s="19" t="s">
        <v>1020</v>
      </c>
      <c r="E768" s="19">
        <v>5</v>
      </c>
      <c r="F768" s="19" t="s">
        <v>0</v>
      </c>
      <c r="G768" s="20" t="s">
        <v>183</v>
      </c>
      <c r="H768" s="36">
        <v>113000</v>
      </c>
      <c r="I768" s="36">
        <v>101700</v>
      </c>
      <c r="J768" s="25">
        <v>418000</v>
      </c>
    </row>
    <row r="769" spans="1:10" ht="16" x14ac:dyDescent="0.45">
      <c r="A769" s="153" t="str">
        <f>B769&amp;C769&amp;E769&amp;G769</f>
        <v>힐링케어마사지셋7서비스프리</v>
      </c>
      <c r="B769" s="17" t="s">
        <v>488</v>
      </c>
      <c r="C769" s="18" t="s">
        <v>1015</v>
      </c>
      <c r="D769" s="19" t="s">
        <v>1020</v>
      </c>
      <c r="E769" s="19">
        <v>7</v>
      </c>
      <c r="F769" s="19" t="s">
        <v>0</v>
      </c>
      <c r="G769" s="20" t="s">
        <v>183</v>
      </c>
      <c r="H769" s="36">
        <v>86000</v>
      </c>
      <c r="I769" s="36">
        <v>77400</v>
      </c>
      <c r="J769" s="25">
        <v>403200</v>
      </c>
    </row>
    <row r="770" spans="1:10" ht="16" x14ac:dyDescent="0.45">
      <c r="A770" s="153" t="str">
        <f>B770&amp;C770&amp;E770&amp;G770</f>
        <v>힐링케어마인51회서비스</v>
      </c>
      <c r="B770" s="17" t="s">
        <v>488</v>
      </c>
      <c r="C770" s="18" t="s">
        <v>573</v>
      </c>
      <c r="D770" s="19" t="s">
        <v>643</v>
      </c>
      <c r="E770" s="19">
        <v>5</v>
      </c>
      <c r="F770" s="19" t="s">
        <v>0</v>
      </c>
      <c r="G770" s="20" t="s">
        <v>457</v>
      </c>
      <c r="H770" s="36">
        <v>49900</v>
      </c>
      <c r="I770" s="36">
        <v>47900</v>
      </c>
      <c r="J770" s="25">
        <v>228700</v>
      </c>
    </row>
    <row r="771" spans="1:10" ht="16" x14ac:dyDescent="0.45">
      <c r="A771" s="153" t="str">
        <f>B771&amp;C771&amp;E771&amp;G771</f>
        <v>힐링케어마인56M(6개월점검주기)</v>
      </c>
      <c r="B771" s="17" t="s">
        <v>488</v>
      </c>
      <c r="C771" s="18" t="s">
        <v>573</v>
      </c>
      <c r="D771" s="19" t="s">
        <v>643</v>
      </c>
      <c r="E771" s="19">
        <v>5</v>
      </c>
      <c r="F771" s="19" t="s">
        <v>0</v>
      </c>
      <c r="G771" s="20" t="s">
        <v>454</v>
      </c>
      <c r="H771" s="36">
        <v>56900</v>
      </c>
      <c r="I771" s="36">
        <v>54900</v>
      </c>
      <c r="J771" s="25">
        <v>249700</v>
      </c>
    </row>
    <row r="772" spans="1:10" ht="16" x14ac:dyDescent="0.45">
      <c r="A772" s="153" t="str">
        <f>B772&amp;C772&amp;E772&amp;G772</f>
        <v>힐링케어마인5서비스프리</v>
      </c>
      <c r="B772" s="17" t="s">
        <v>488</v>
      </c>
      <c r="C772" s="18" t="s">
        <v>573</v>
      </c>
      <c r="D772" s="19" t="s">
        <v>643</v>
      </c>
      <c r="E772" s="19">
        <v>5</v>
      </c>
      <c r="F772" s="19" t="s">
        <v>0</v>
      </c>
      <c r="G772" s="20" t="s">
        <v>183</v>
      </c>
      <c r="H772" s="36">
        <v>44900</v>
      </c>
      <c r="I772" s="36">
        <v>42900</v>
      </c>
      <c r="J772" s="25">
        <v>213700</v>
      </c>
    </row>
    <row r="773" spans="1:10" ht="16" x14ac:dyDescent="0.45">
      <c r="A773" s="153" t="str">
        <f>B773&amp;C773&amp;E773&amp;G773</f>
        <v>힐링케어마인플러스51회서비스</v>
      </c>
      <c r="B773" s="17" t="s">
        <v>488</v>
      </c>
      <c r="C773" s="18" t="s">
        <v>574</v>
      </c>
      <c r="D773" s="19" t="s">
        <v>640</v>
      </c>
      <c r="E773" s="19">
        <v>5</v>
      </c>
      <c r="F773" s="19" t="s">
        <v>0</v>
      </c>
      <c r="G773" s="20" t="s">
        <v>457</v>
      </c>
      <c r="H773" s="36">
        <v>49900</v>
      </c>
      <c r="I773" s="36">
        <v>49900</v>
      </c>
      <c r="J773" s="25">
        <v>228700</v>
      </c>
    </row>
    <row r="774" spans="1:10" ht="16" x14ac:dyDescent="0.45">
      <c r="A774" s="153" t="str">
        <f>B774&amp;C774&amp;E774&amp;G774</f>
        <v>힐링케어마인플러스56M(6개월점검주기)</v>
      </c>
      <c r="B774" s="17" t="s">
        <v>488</v>
      </c>
      <c r="C774" s="18" t="s">
        <v>574</v>
      </c>
      <c r="D774" s="19" t="s">
        <v>640</v>
      </c>
      <c r="E774" s="19">
        <v>5</v>
      </c>
      <c r="F774" s="19" t="s">
        <v>0</v>
      </c>
      <c r="G774" s="20" t="s">
        <v>454</v>
      </c>
      <c r="H774" s="36">
        <v>56900</v>
      </c>
      <c r="I774" s="36">
        <v>56900</v>
      </c>
      <c r="J774" s="25">
        <v>249700</v>
      </c>
    </row>
    <row r="775" spans="1:10" ht="16" x14ac:dyDescent="0.45">
      <c r="A775" s="153" t="str">
        <f>B775&amp;C775&amp;E775&amp;G775</f>
        <v>힐링케어마인플러스5서비스프리</v>
      </c>
      <c r="B775" s="17" t="s">
        <v>488</v>
      </c>
      <c r="C775" s="18" t="s">
        <v>574</v>
      </c>
      <c r="D775" s="19" t="s">
        <v>640</v>
      </c>
      <c r="E775" s="19">
        <v>5</v>
      </c>
      <c r="F775" s="19" t="s">
        <v>0</v>
      </c>
      <c r="G775" s="20" t="s">
        <v>183</v>
      </c>
      <c r="H775" s="36">
        <v>44900</v>
      </c>
      <c r="I775" s="36">
        <v>44900</v>
      </c>
      <c r="J775" s="25">
        <v>213700</v>
      </c>
    </row>
    <row r="776" spans="1:10" ht="16" x14ac:dyDescent="0.45">
      <c r="A776" s="153" t="str">
        <f>B776&amp;C776&amp;E776&amp;G776</f>
        <v>힐링케어시그니처51회서비스</v>
      </c>
      <c r="B776" s="17" t="s">
        <v>488</v>
      </c>
      <c r="C776" s="18" t="s">
        <v>495</v>
      </c>
      <c r="D776" s="19" t="s">
        <v>636</v>
      </c>
      <c r="E776" s="19">
        <v>5</v>
      </c>
      <c r="F776" s="19" t="s">
        <v>0</v>
      </c>
      <c r="G776" s="20" t="s">
        <v>457</v>
      </c>
      <c r="H776" s="36">
        <v>119000</v>
      </c>
      <c r="I776" s="36">
        <v>119000</v>
      </c>
      <c r="J776" s="25">
        <v>436000</v>
      </c>
    </row>
    <row r="777" spans="1:10" ht="16" x14ac:dyDescent="0.45">
      <c r="A777" s="153" t="str">
        <f>B777&amp;C777&amp;E777&amp;G777</f>
        <v>힐링케어시그니처56M(6개월점검주기)</v>
      </c>
      <c r="B777" s="17" t="s">
        <v>488</v>
      </c>
      <c r="C777" s="18" t="s">
        <v>495</v>
      </c>
      <c r="D777" s="19" t="s">
        <v>636</v>
      </c>
      <c r="E777" s="19">
        <v>5</v>
      </c>
      <c r="F777" s="19" t="s">
        <v>0</v>
      </c>
      <c r="G777" s="20" t="s">
        <v>454</v>
      </c>
      <c r="H777" s="36">
        <v>128000</v>
      </c>
      <c r="I777" s="36">
        <v>128000</v>
      </c>
      <c r="J777" s="25">
        <v>463000</v>
      </c>
    </row>
    <row r="778" spans="1:10" ht="16" x14ac:dyDescent="0.45">
      <c r="A778" s="153" t="str">
        <f>B778&amp;C778&amp;E778&amp;G778</f>
        <v>힐링케어시그니처5서비스프리</v>
      </c>
      <c r="B778" s="17" t="s">
        <v>488</v>
      </c>
      <c r="C778" s="18" t="s">
        <v>495</v>
      </c>
      <c r="D778" s="19" t="s">
        <v>636</v>
      </c>
      <c r="E778" s="19">
        <v>5</v>
      </c>
      <c r="F778" s="19" t="s">
        <v>0</v>
      </c>
      <c r="G778" s="20" t="s">
        <v>183</v>
      </c>
      <c r="H778" s="36">
        <v>109000</v>
      </c>
      <c r="I778" s="36">
        <v>109000</v>
      </c>
      <c r="J778" s="25">
        <v>406000</v>
      </c>
    </row>
    <row r="779" spans="1:10" ht="16" x14ac:dyDescent="0.45">
      <c r="A779" s="153" t="str">
        <f>B779&amp;C779&amp;E779&amp;G779</f>
        <v>힐링케어안마베드512M(12개월점검주기)</v>
      </c>
      <c r="B779" s="17" t="s">
        <v>488</v>
      </c>
      <c r="C779" s="18" t="s">
        <v>575</v>
      </c>
      <c r="D779" s="19" t="s">
        <v>638</v>
      </c>
      <c r="E779" s="19">
        <v>5</v>
      </c>
      <c r="F779" s="19" t="s">
        <v>0</v>
      </c>
      <c r="G779" s="20" t="s">
        <v>455</v>
      </c>
      <c r="H779" s="36">
        <v>114500</v>
      </c>
      <c r="I779" s="36">
        <v>114500</v>
      </c>
      <c r="J779" s="25">
        <v>422500</v>
      </c>
    </row>
    <row r="780" spans="1:10" ht="16" x14ac:dyDescent="0.45">
      <c r="A780" s="153" t="str">
        <f>B780&amp;C780&amp;E780&amp;G780</f>
        <v>힐링케어안마베드712M(12개월점검주기)</v>
      </c>
      <c r="B780" s="17" t="s">
        <v>488</v>
      </c>
      <c r="C780" s="18" t="s">
        <v>575</v>
      </c>
      <c r="D780" s="19" t="s">
        <v>638</v>
      </c>
      <c r="E780" s="19">
        <v>7</v>
      </c>
      <c r="F780" s="19" t="s">
        <v>0</v>
      </c>
      <c r="G780" s="20" t="s">
        <v>455</v>
      </c>
      <c r="H780" s="36">
        <v>88500</v>
      </c>
      <c r="I780" s="36">
        <v>88500</v>
      </c>
      <c r="J780" s="25">
        <v>403200</v>
      </c>
    </row>
    <row r="781" spans="1:10" ht="16" x14ac:dyDescent="0.45">
      <c r="A781" s="153" t="str">
        <f>B781&amp;C781&amp;E781&amp;G781</f>
        <v>힐링케어안마베드51회서비스</v>
      </c>
      <c r="B781" s="17" t="s">
        <v>488</v>
      </c>
      <c r="C781" s="18" t="s">
        <v>575</v>
      </c>
      <c r="D781" s="19" t="s">
        <v>638</v>
      </c>
      <c r="E781" s="19">
        <v>5</v>
      </c>
      <c r="F781" s="19" t="s">
        <v>0</v>
      </c>
      <c r="G781" s="20" t="s">
        <v>457</v>
      </c>
      <c r="H781" s="36">
        <v>110500</v>
      </c>
      <c r="I781" s="36">
        <v>110500</v>
      </c>
      <c r="J781" s="25">
        <v>410500</v>
      </c>
    </row>
    <row r="782" spans="1:10" ht="16" x14ac:dyDescent="0.45">
      <c r="A782" s="153" t="str">
        <f>B782&amp;C782&amp;E782&amp;G782</f>
        <v>힐링케어안마베드71회서비스</v>
      </c>
      <c r="B782" s="17" t="s">
        <v>488</v>
      </c>
      <c r="C782" s="18" t="s">
        <v>575</v>
      </c>
      <c r="D782" s="19" t="s">
        <v>638</v>
      </c>
      <c r="E782" s="19">
        <v>7</v>
      </c>
      <c r="F782" s="19" t="s">
        <v>0</v>
      </c>
      <c r="G782" s="20" t="s">
        <v>457</v>
      </c>
      <c r="H782" s="36">
        <v>84500</v>
      </c>
      <c r="I782" s="36">
        <v>84500</v>
      </c>
      <c r="J782" s="25">
        <v>391500</v>
      </c>
    </row>
    <row r="783" spans="1:10" ht="16" x14ac:dyDescent="0.45">
      <c r="A783" s="153" t="str">
        <f>B783&amp;C783&amp;E783&amp;G783</f>
        <v>힐링케어안마베드5서비스프리</v>
      </c>
      <c r="B783" s="17" t="s">
        <v>488</v>
      </c>
      <c r="C783" s="18" t="s">
        <v>575</v>
      </c>
      <c r="D783" s="19" t="s">
        <v>638</v>
      </c>
      <c r="E783" s="19">
        <v>5</v>
      </c>
      <c r="F783" s="19" t="s">
        <v>0</v>
      </c>
      <c r="G783" s="20" t="s">
        <v>183</v>
      </c>
      <c r="H783" s="36">
        <v>107500</v>
      </c>
      <c r="I783" s="36">
        <v>107500</v>
      </c>
      <c r="J783" s="25">
        <v>401500</v>
      </c>
    </row>
    <row r="784" spans="1:10" ht="16" x14ac:dyDescent="0.45">
      <c r="A784" s="153" t="str">
        <f>B784&amp;C784&amp;E784&amp;G784</f>
        <v>힐링케어안마베드7서비스프리</v>
      </c>
      <c r="B784" s="17" t="s">
        <v>488</v>
      </c>
      <c r="C784" s="18" t="s">
        <v>575</v>
      </c>
      <c r="D784" s="19" t="s">
        <v>638</v>
      </c>
      <c r="E784" s="19">
        <v>7</v>
      </c>
      <c r="F784" s="19" t="s">
        <v>0</v>
      </c>
      <c r="G784" s="20" t="s">
        <v>183</v>
      </c>
      <c r="H784" s="36">
        <v>81500</v>
      </c>
      <c r="I784" s="36">
        <v>81500</v>
      </c>
      <c r="J784" s="25">
        <v>391500</v>
      </c>
    </row>
    <row r="785" spans="1:10" ht="16" x14ac:dyDescent="0.45">
      <c r="A785" s="153" t="str">
        <f>B785&amp;C785&amp;E785&amp;G785</f>
        <v>힐링케어척추베드512M(12개월점검주기)</v>
      </c>
      <c r="B785" s="17" t="s">
        <v>488</v>
      </c>
      <c r="C785" s="18" t="s">
        <v>576</v>
      </c>
      <c r="D785" s="19" t="s">
        <v>639</v>
      </c>
      <c r="E785" s="19">
        <v>5</v>
      </c>
      <c r="F785" s="19" t="s">
        <v>0</v>
      </c>
      <c r="G785" s="20" t="s">
        <v>455</v>
      </c>
      <c r="H785" s="36">
        <v>103500</v>
      </c>
      <c r="I785" s="36">
        <v>103500</v>
      </c>
      <c r="J785" s="25">
        <v>389500</v>
      </c>
    </row>
    <row r="786" spans="1:10" ht="16" x14ac:dyDescent="0.45">
      <c r="A786" s="153" t="str">
        <f>B786&amp;C786&amp;E786&amp;G786</f>
        <v>힐링케어척추베드712M(12개월점검주기)</v>
      </c>
      <c r="B786" s="17" t="s">
        <v>488</v>
      </c>
      <c r="C786" s="18" t="s">
        <v>576</v>
      </c>
      <c r="D786" s="19" t="s">
        <v>639</v>
      </c>
      <c r="E786" s="19">
        <v>7</v>
      </c>
      <c r="F786" s="19" t="s">
        <v>0</v>
      </c>
      <c r="G786" s="20" t="s">
        <v>455</v>
      </c>
      <c r="H786" s="36">
        <v>81500</v>
      </c>
      <c r="I786" s="36">
        <v>81500</v>
      </c>
      <c r="J786" s="25">
        <v>391500</v>
      </c>
    </row>
    <row r="787" spans="1:10" ht="16" x14ac:dyDescent="0.45">
      <c r="A787" s="153" t="str">
        <f>B787&amp;C787&amp;E787&amp;G787</f>
        <v>힐링케어척추베드51회서비스</v>
      </c>
      <c r="B787" s="17" t="s">
        <v>488</v>
      </c>
      <c r="C787" s="18" t="s">
        <v>576</v>
      </c>
      <c r="D787" s="19" t="s">
        <v>639</v>
      </c>
      <c r="E787" s="19">
        <v>5</v>
      </c>
      <c r="F787" s="19" t="s">
        <v>0</v>
      </c>
      <c r="G787" s="20" t="s">
        <v>457</v>
      </c>
      <c r="H787" s="36">
        <v>99500</v>
      </c>
      <c r="I787" s="36">
        <v>99500</v>
      </c>
      <c r="J787" s="25">
        <v>377500</v>
      </c>
    </row>
    <row r="788" spans="1:10" ht="16" x14ac:dyDescent="0.45">
      <c r="A788" s="153" t="str">
        <f>B788&amp;C788&amp;E788&amp;G788</f>
        <v>힐링케어척추베드71회서비스</v>
      </c>
      <c r="B788" s="17" t="s">
        <v>488</v>
      </c>
      <c r="C788" s="18" t="s">
        <v>576</v>
      </c>
      <c r="D788" s="19" t="s">
        <v>639</v>
      </c>
      <c r="E788" s="19">
        <v>7</v>
      </c>
      <c r="F788" s="19" t="s">
        <v>0</v>
      </c>
      <c r="G788" s="20" t="s">
        <v>457</v>
      </c>
      <c r="H788" s="36">
        <v>77500</v>
      </c>
      <c r="I788" s="36">
        <v>77500</v>
      </c>
      <c r="J788" s="25">
        <v>379800</v>
      </c>
    </row>
    <row r="789" spans="1:10" ht="16" x14ac:dyDescent="0.45">
      <c r="A789" s="153" t="str">
        <f>B789&amp;C789&amp;E789&amp;G789</f>
        <v>힐링케어척추베드5서비스프리</v>
      </c>
      <c r="B789" s="17" t="s">
        <v>488</v>
      </c>
      <c r="C789" s="18" t="s">
        <v>576</v>
      </c>
      <c r="D789" s="19" t="s">
        <v>639</v>
      </c>
      <c r="E789" s="19">
        <v>5</v>
      </c>
      <c r="F789" s="19" t="s">
        <v>0</v>
      </c>
      <c r="G789" s="20" t="s">
        <v>183</v>
      </c>
      <c r="H789" s="36">
        <v>96500</v>
      </c>
      <c r="I789" s="36">
        <v>96500</v>
      </c>
      <c r="J789" s="25">
        <v>368500</v>
      </c>
    </row>
    <row r="790" spans="1:10" ht="16" x14ac:dyDescent="0.45">
      <c r="A790" s="153" t="str">
        <f>B790&amp;C790&amp;E790&amp;G790</f>
        <v>힐링케어척추베드7서비스프리</v>
      </c>
      <c r="B790" s="17" t="s">
        <v>488</v>
      </c>
      <c r="C790" s="18" t="s">
        <v>576</v>
      </c>
      <c r="D790" s="19" t="s">
        <v>639</v>
      </c>
      <c r="E790" s="19">
        <v>7</v>
      </c>
      <c r="F790" s="19" t="s">
        <v>0</v>
      </c>
      <c r="G790" s="20" t="s">
        <v>183</v>
      </c>
      <c r="H790" s="36">
        <v>74500</v>
      </c>
      <c r="I790" s="36">
        <v>74500</v>
      </c>
      <c r="J790" s="25">
        <v>368100</v>
      </c>
    </row>
    <row r="791" spans="1:10" ht="16" x14ac:dyDescent="0.45">
      <c r="A791" s="153" t="str">
        <f>B791&amp;C791&amp;E791&amp;G791</f>
        <v>힐링케어코어셋512M</v>
      </c>
      <c r="B791" s="17" t="s">
        <v>488</v>
      </c>
      <c r="C791" s="18" t="s">
        <v>1016</v>
      </c>
      <c r="D791" s="19" t="s">
        <v>1021</v>
      </c>
      <c r="E791" s="19">
        <v>5</v>
      </c>
      <c r="F791" s="19" t="s">
        <v>0</v>
      </c>
      <c r="G791" s="20" t="s">
        <v>1018</v>
      </c>
      <c r="H791" s="36">
        <v>109000</v>
      </c>
      <c r="I791" s="36">
        <v>98100</v>
      </c>
      <c r="J791" s="25">
        <v>406000</v>
      </c>
    </row>
    <row r="792" spans="1:10" ht="16" x14ac:dyDescent="0.45">
      <c r="A792" s="153" t="str">
        <f>B792&amp;C792&amp;E792&amp;G792</f>
        <v>힐링케어코어셋712M</v>
      </c>
      <c r="B792" s="17" t="s">
        <v>488</v>
      </c>
      <c r="C792" s="18" t="s">
        <v>1016</v>
      </c>
      <c r="D792" s="19" t="s">
        <v>1021</v>
      </c>
      <c r="E792" s="19">
        <v>7</v>
      </c>
      <c r="F792" s="19" t="s">
        <v>0</v>
      </c>
      <c r="G792" s="20" t="s">
        <v>1018</v>
      </c>
      <c r="H792" s="36">
        <v>86000</v>
      </c>
      <c r="I792" s="36">
        <v>77400</v>
      </c>
      <c r="J792" s="25">
        <v>403200</v>
      </c>
    </row>
    <row r="793" spans="1:10" ht="16" x14ac:dyDescent="0.45">
      <c r="A793" s="153" t="str">
        <f>B793&amp;C793&amp;E793&amp;G793</f>
        <v>힐링케어코어셋51회 서비스</v>
      </c>
      <c r="B793" s="17" t="s">
        <v>488</v>
      </c>
      <c r="C793" s="18" t="s">
        <v>1016</v>
      </c>
      <c r="D793" s="19" t="s">
        <v>1021</v>
      </c>
      <c r="E793" s="19">
        <v>5</v>
      </c>
      <c r="F793" s="19" t="s">
        <v>0</v>
      </c>
      <c r="G793" s="20" t="s">
        <v>13</v>
      </c>
      <c r="H793" s="36">
        <v>105000</v>
      </c>
      <c r="I793" s="36">
        <v>94500</v>
      </c>
      <c r="J793" s="25">
        <v>394000</v>
      </c>
    </row>
    <row r="794" spans="1:10" ht="16" x14ac:dyDescent="0.45">
      <c r="A794" s="153" t="str">
        <f>B794&amp;C794&amp;E794&amp;G794</f>
        <v>힐링케어코어셋71회 서비스</v>
      </c>
      <c r="B794" s="17" t="s">
        <v>488</v>
      </c>
      <c r="C794" s="18" t="s">
        <v>1016</v>
      </c>
      <c r="D794" s="19" t="s">
        <v>1021</v>
      </c>
      <c r="E794" s="19">
        <v>7</v>
      </c>
      <c r="F794" s="19" t="s">
        <v>0</v>
      </c>
      <c r="G794" s="20" t="s">
        <v>13</v>
      </c>
      <c r="H794" s="36">
        <v>82000</v>
      </c>
      <c r="I794" s="36">
        <v>73800</v>
      </c>
      <c r="J794" s="25">
        <v>391500</v>
      </c>
    </row>
    <row r="795" spans="1:10" ht="16" x14ac:dyDescent="0.45">
      <c r="A795" s="153" t="str">
        <f>B795&amp;C795&amp;E795&amp;G795</f>
        <v>힐링케어코어셋5서비스프리</v>
      </c>
      <c r="B795" s="17" t="s">
        <v>488</v>
      </c>
      <c r="C795" s="18" t="s">
        <v>1016</v>
      </c>
      <c r="D795" s="19" t="s">
        <v>1021</v>
      </c>
      <c r="E795" s="19">
        <v>5</v>
      </c>
      <c r="F795" s="19" t="s">
        <v>0</v>
      </c>
      <c r="G795" s="20" t="s">
        <v>183</v>
      </c>
      <c r="H795" s="36">
        <v>102000</v>
      </c>
      <c r="I795" s="36">
        <v>91800</v>
      </c>
      <c r="J795" s="25">
        <v>385000</v>
      </c>
    </row>
    <row r="796" spans="1:10" ht="16" x14ac:dyDescent="0.45">
      <c r="A796" s="153" t="str">
        <f>B796&amp;C796&amp;E796&amp;G796</f>
        <v>힐링케어코어셋7서비스프리</v>
      </c>
      <c r="B796" s="17" t="s">
        <v>488</v>
      </c>
      <c r="C796" s="18" t="s">
        <v>1016</v>
      </c>
      <c r="D796" s="19" t="s">
        <v>1021</v>
      </c>
      <c r="E796" s="19">
        <v>7</v>
      </c>
      <c r="F796" s="19" t="s">
        <v>0</v>
      </c>
      <c r="G796" s="20" t="s">
        <v>183</v>
      </c>
      <c r="H796" s="36">
        <v>79000</v>
      </c>
      <c r="I796" s="36">
        <v>71100</v>
      </c>
      <c r="J796" s="25">
        <v>379800</v>
      </c>
    </row>
    <row r="797" spans="1:10" ht="16" x14ac:dyDescent="0.45">
      <c r="A797" s="153" t="str">
        <f>B797&amp;C797&amp;E797&amp;G797</f>
        <v>힐링케어트리플체어512M(12개월점검주기)</v>
      </c>
      <c r="B797" s="17" t="s">
        <v>488</v>
      </c>
      <c r="C797" s="18" t="s">
        <v>577</v>
      </c>
      <c r="D797" s="19" t="s">
        <v>644</v>
      </c>
      <c r="E797" s="19">
        <v>5</v>
      </c>
      <c r="F797" s="19" t="s">
        <v>0</v>
      </c>
      <c r="G797" s="20" t="s">
        <v>455</v>
      </c>
      <c r="H797" s="36">
        <v>74900</v>
      </c>
      <c r="I797" s="36">
        <v>68900</v>
      </c>
      <c r="J797" s="25">
        <v>303700</v>
      </c>
    </row>
    <row r="798" spans="1:10" ht="16" x14ac:dyDescent="0.45">
      <c r="A798" s="153" t="str">
        <f>B798&amp;C798&amp;E798&amp;G798</f>
        <v>힐링케어트리플체어51회서비스</v>
      </c>
      <c r="B798" s="17" t="s">
        <v>488</v>
      </c>
      <c r="C798" s="18" t="s">
        <v>577</v>
      </c>
      <c r="D798" s="19" t="s">
        <v>644</v>
      </c>
      <c r="E798" s="19">
        <v>5</v>
      </c>
      <c r="F798" s="19" t="s">
        <v>0</v>
      </c>
      <c r="G798" s="20" t="s">
        <v>457</v>
      </c>
      <c r="H798" s="36">
        <v>71900</v>
      </c>
      <c r="I798" s="36">
        <v>65900</v>
      </c>
      <c r="J798" s="25">
        <v>294700</v>
      </c>
    </row>
    <row r="799" spans="1:10" ht="16" x14ac:dyDescent="0.45">
      <c r="A799" s="153" t="str">
        <f>B799&amp;C799&amp;E799&amp;G799</f>
        <v>힐링케어트리플체어5서비스프리</v>
      </c>
      <c r="B799" s="17" t="s">
        <v>488</v>
      </c>
      <c r="C799" s="18" t="s">
        <v>577</v>
      </c>
      <c r="D799" s="19" t="s">
        <v>644</v>
      </c>
      <c r="E799" s="19">
        <v>5</v>
      </c>
      <c r="F799" s="19" t="s">
        <v>0</v>
      </c>
      <c r="G799" s="20" t="s">
        <v>183</v>
      </c>
      <c r="H799" s="36">
        <v>66900</v>
      </c>
      <c r="I799" s="36">
        <v>60900</v>
      </c>
      <c r="J799" s="25">
        <v>279700</v>
      </c>
    </row>
    <row r="800" spans="1:10" ht="16" x14ac:dyDescent="0.45">
      <c r="A800" s="153" t="str">
        <f>B800&amp;C800&amp;E800&amp;G800</f>
        <v>힐링케어트리플체어(바퀴형)512M(12개월점검주기)</v>
      </c>
      <c r="B800" s="17" t="s">
        <v>488</v>
      </c>
      <c r="C800" s="18" t="s">
        <v>594</v>
      </c>
      <c r="D800" s="19" t="s">
        <v>645</v>
      </c>
      <c r="E800" s="19">
        <v>5</v>
      </c>
      <c r="F800" s="19" t="s">
        <v>0</v>
      </c>
      <c r="G800" s="26" t="s">
        <v>455</v>
      </c>
      <c r="H800" s="37">
        <v>76900</v>
      </c>
      <c r="I800" s="37">
        <v>70900</v>
      </c>
      <c r="J800" s="25">
        <v>309700</v>
      </c>
    </row>
    <row r="801" spans="1:10" ht="16" x14ac:dyDescent="0.45">
      <c r="A801" s="153" t="str">
        <f>B801&amp;C801&amp;E801&amp;G801</f>
        <v>힐링케어트리플체어(바퀴형)51회 서비스</v>
      </c>
      <c r="B801" s="17" t="s">
        <v>488</v>
      </c>
      <c r="C801" s="18" t="s">
        <v>594</v>
      </c>
      <c r="D801" s="19" t="s">
        <v>645</v>
      </c>
      <c r="E801" s="19">
        <v>5</v>
      </c>
      <c r="F801" s="19" t="s">
        <v>0</v>
      </c>
      <c r="G801" s="26" t="s">
        <v>13</v>
      </c>
      <c r="H801" s="37">
        <v>73900</v>
      </c>
      <c r="I801" s="37">
        <v>67900</v>
      </c>
      <c r="J801" s="25">
        <v>300700</v>
      </c>
    </row>
    <row r="802" spans="1:10" ht="16" x14ac:dyDescent="0.45">
      <c r="A802" s="153" t="str">
        <f>B802&amp;C802&amp;E802&amp;G802</f>
        <v>힐링케어트리플체어(바퀴형)5서비스프리</v>
      </c>
      <c r="B802" s="17" t="s">
        <v>488</v>
      </c>
      <c r="C802" s="18" t="s">
        <v>594</v>
      </c>
      <c r="D802" s="19" t="s">
        <v>645</v>
      </c>
      <c r="E802" s="19">
        <v>5</v>
      </c>
      <c r="F802" s="19" t="s">
        <v>0</v>
      </c>
      <c r="G802" s="26" t="s">
        <v>183</v>
      </c>
      <c r="H802" s="37">
        <v>68900</v>
      </c>
      <c r="I802" s="37">
        <v>62900</v>
      </c>
      <c r="J802" s="25">
        <v>285700</v>
      </c>
    </row>
    <row r="803" spans="1:10" ht="16" x14ac:dyDescent="0.45">
      <c r="A803" s="153" t="str">
        <f>B803&amp;C803&amp;E803&amp;G803</f>
        <v>힐링케어페블체어512M(12개월점검주기)</v>
      </c>
      <c r="B803" s="17" t="s">
        <v>488</v>
      </c>
      <c r="C803" s="18" t="s">
        <v>578</v>
      </c>
      <c r="D803" s="19" t="s">
        <v>637</v>
      </c>
      <c r="E803" s="19">
        <v>5</v>
      </c>
      <c r="F803" s="19" t="s">
        <v>0</v>
      </c>
      <c r="G803" s="20" t="s">
        <v>455</v>
      </c>
      <c r="H803" s="36">
        <v>61900</v>
      </c>
      <c r="I803" s="36">
        <v>57900</v>
      </c>
      <c r="J803" s="25">
        <v>264700</v>
      </c>
    </row>
    <row r="804" spans="1:10" ht="16" x14ac:dyDescent="0.45">
      <c r="A804" s="153" t="str">
        <f>B804&amp;C804&amp;E804&amp;G804</f>
        <v>힐링케어페블체어51회서비스</v>
      </c>
      <c r="B804" s="17" t="s">
        <v>488</v>
      </c>
      <c r="C804" s="18" t="s">
        <v>578</v>
      </c>
      <c r="D804" s="19" t="s">
        <v>637</v>
      </c>
      <c r="E804" s="19">
        <v>5</v>
      </c>
      <c r="F804" s="19" t="s">
        <v>0</v>
      </c>
      <c r="G804" s="20" t="s">
        <v>457</v>
      </c>
      <c r="H804" s="36">
        <v>58900</v>
      </c>
      <c r="I804" s="36">
        <v>54900</v>
      </c>
      <c r="J804" s="25">
        <v>255700</v>
      </c>
    </row>
    <row r="805" spans="1:10" ht="16" x14ac:dyDescent="0.45">
      <c r="A805" s="153" t="str">
        <f>B805&amp;C805&amp;E805&amp;G805</f>
        <v>힐링케어페블체어5서비스프리</v>
      </c>
      <c r="B805" s="17" t="s">
        <v>488</v>
      </c>
      <c r="C805" s="18" t="s">
        <v>578</v>
      </c>
      <c r="D805" s="19" t="s">
        <v>637</v>
      </c>
      <c r="E805" s="19">
        <v>5</v>
      </c>
      <c r="F805" s="19" t="s">
        <v>0</v>
      </c>
      <c r="G805" s="20" t="s">
        <v>183</v>
      </c>
      <c r="H805" s="36">
        <v>53900</v>
      </c>
      <c r="I805" s="36">
        <v>49900</v>
      </c>
      <c r="J805" s="25">
        <v>240700</v>
      </c>
    </row>
    <row r="806" spans="1:10" ht="16" x14ac:dyDescent="0.45">
      <c r="A806" s="153" t="str">
        <f>B806&amp;C806&amp;E806&amp;G806</f>
        <v>힐링케어페블체어2512M</v>
      </c>
      <c r="B806" s="17" t="s">
        <v>1050</v>
      </c>
      <c r="C806" s="18" t="s">
        <v>1051</v>
      </c>
      <c r="D806" s="19" t="s">
        <v>1052</v>
      </c>
      <c r="E806" s="19">
        <v>5</v>
      </c>
      <c r="F806" s="19" t="s">
        <v>1053</v>
      </c>
      <c r="G806" s="20" t="s">
        <v>1018</v>
      </c>
      <c r="H806" s="36">
        <v>72900</v>
      </c>
      <c r="I806" s="36">
        <v>66900</v>
      </c>
      <c r="J806" s="25">
        <v>297700</v>
      </c>
    </row>
    <row r="807" spans="1:10" ht="16" x14ac:dyDescent="0.45">
      <c r="A807" s="153" t="str">
        <f>B807&amp;C807&amp;E807&amp;G807</f>
        <v>힐링케어페블체어251회 서비스</v>
      </c>
      <c r="B807" s="17" t="s">
        <v>1050</v>
      </c>
      <c r="C807" s="18" t="s">
        <v>1051</v>
      </c>
      <c r="D807" s="19" t="s">
        <v>1052</v>
      </c>
      <c r="E807" s="19">
        <v>5</v>
      </c>
      <c r="F807" s="19" t="s">
        <v>1053</v>
      </c>
      <c r="G807" s="20" t="s">
        <v>13</v>
      </c>
      <c r="H807" s="36">
        <v>69900</v>
      </c>
      <c r="I807" s="36">
        <v>63900</v>
      </c>
      <c r="J807" s="25">
        <v>288700</v>
      </c>
    </row>
    <row r="808" spans="1:10" ht="16" x14ac:dyDescent="0.45">
      <c r="A808" s="153" t="str">
        <f>B808&amp;C808&amp;E808&amp;G808</f>
        <v>힐링케어페블체어25서비스프리</v>
      </c>
      <c r="B808" s="17" t="s">
        <v>1050</v>
      </c>
      <c r="C808" s="18" t="s">
        <v>1051</v>
      </c>
      <c r="D808" s="19" t="s">
        <v>1052</v>
      </c>
      <c r="E808" s="19">
        <v>5</v>
      </c>
      <c r="F808" s="19" t="s">
        <v>1053</v>
      </c>
      <c r="G808" s="20" t="s">
        <v>183</v>
      </c>
      <c r="H808" s="36">
        <v>64900</v>
      </c>
      <c r="I808" s="36">
        <v>58900</v>
      </c>
      <c r="J808" s="25">
        <v>273700</v>
      </c>
    </row>
    <row r="809" spans="1:10" ht="16" x14ac:dyDescent="0.45">
      <c r="A809" s="153" t="str">
        <f>B809&amp;C809&amp;E809&amp;G809</f>
        <v>매트리스더블사이드51회서비스</v>
      </c>
      <c r="B809" s="17" t="s">
        <v>228</v>
      </c>
      <c r="C809" s="18" t="s">
        <v>490</v>
      </c>
      <c r="D809" s="19" t="s">
        <v>277</v>
      </c>
      <c r="E809" s="19">
        <v>5</v>
      </c>
      <c r="F809" s="19" t="s">
        <v>0</v>
      </c>
      <c r="G809" s="20" t="s">
        <v>457</v>
      </c>
      <c r="H809" s="36">
        <v>46900</v>
      </c>
      <c r="I809" s="36">
        <v>42900</v>
      </c>
      <c r="J809" s="25">
        <v>262200</v>
      </c>
    </row>
    <row r="810" spans="1:10" ht="16" x14ac:dyDescent="0.45">
      <c r="A810" s="153" t="str">
        <f>B810&amp;C810&amp;E810&amp;G810</f>
        <v>매트리스더블사이드71회서비스</v>
      </c>
      <c r="B810" s="17" t="s">
        <v>228</v>
      </c>
      <c r="C810" s="18" t="s">
        <v>490</v>
      </c>
      <c r="D810" s="19" t="s">
        <v>277</v>
      </c>
      <c r="E810" s="19">
        <v>7</v>
      </c>
      <c r="F810" s="19" t="s">
        <v>0</v>
      </c>
      <c r="G810" s="20" t="s">
        <v>457</v>
      </c>
      <c r="H810" s="36">
        <v>38900</v>
      </c>
      <c r="I810" s="36">
        <v>34900</v>
      </c>
      <c r="J810" s="25">
        <v>288400</v>
      </c>
    </row>
    <row r="811" spans="1:10" ht="16" x14ac:dyDescent="0.45">
      <c r="A811" s="153" t="str">
        <f>B811&amp;C811&amp;E811&amp;G811</f>
        <v>매트리스더블사이드91회서비스</v>
      </c>
      <c r="B811" s="17" t="s">
        <v>228</v>
      </c>
      <c r="C811" s="18" t="s">
        <v>490</v>
      </c>
      <c r="D811" s="19" t="s">
        <v>277</v>
      </c>
      <c r="E811" s="19">
        <v>9</v>
      </c>
      <c r="F811" s="19" t="s">
        <v>0</v>
      </c>
      <c r="G811" s="20" t="s">
        <v>457</v>
      </c>
      <c r="H811" s="36">
        <v>34900</v>
      </c>
      <c r="I811" s="36">
        <v>30900</v>
      </c>
      <c r="J811" s="25">
        <v>288400</v>
      </c>
    </row>
    <row r="812" spans="1:10" ht="16" x14ac:dyDescent="0.45">
      <c r="A812" s="153" t="str">
        <f>B812&amp;C812&amp;E812&amp;G812</f>
        <v>매트리스더블사이드54M(4개월점검주기)</v>
      </c>
      <c r="B812" s="17" t="s">
        <v>228</v>
      </c>
      <c r="C812" s="18" t="s">
        <v>490</v>
      </c>
      <c r="D812" s="19" t="s">
        <v>277</v>
      </c>
      <c r="E812" s="19">
        <v>5</v>
      </c>
      <c r="F812" s="19" t="s">
        <v>0</v>
      </c>
      <c r="G812" s="20" t="s">
        <v>453</v>
      </c>
      <c r="H812" s="36">
        <v>48900</v>
      </c>
      <c r="I812" s="36">
        <v>44900</v>
      </c>
      <c r="J812" s="25">
        <v>273400</v>
      </c>
    </row>
    <row r="813" spans="1:10" ht="16" x14ac:dyDescent="0.45">
      <c r="A813" s="153" t="str">
        <f>B813&amp;C813&amp;E813&amp;G813</f>
        <v>매트리스더블사이드74M(4개월점검주기)</v>
      </c>
      <c r="B813" s="17" t="s">
        <v>228</v>
      </c>
      <c r="C813" s="18" t="s">
        <v>490</v>
      </c>
      <c r="D813" s="19" t="s">
        <v>277</v>
      </c>
      <c r="E813" s="19">
        <v>7</v>
      </c>
      <c r="F813" s="19" t="s">
        <v>0</v>
      </c>
      <c r="G813" s="20" t="s">
        <v>453</v>
      </c>
      <c r="H813" s="36">
        <v>40900</v>
      </c>
      <c r="I813" s="36">
        <v>36900</v>
      </c>
      <c r="J813" s="25">
        <v>300700</v>
      </c>
    </row>
    <row r="814" spans="1:10" ht="16" x14ac:dyDescent="0.45">
      <c r="A814" s="153" t="str">
        <f>B814&amp;C814&amp;E814&amp;G814</f>
        <v>매트리스더블사이드94M(4개월점검주기)</v>
      </c>
      <c r="B814" s="17" t="s">
        <v>228</v>
      </c>
      <c r="C814" s="18" t="s">
        <v>490</v>
      </c>
      <c r="D814" s="19" t="s">
        <v>277</v>
      </c>
      <c r="E814" s="19">
        <v>9</v>
      </c>
      <c r="F814" s="19" t="s">
        <v>0</v>
      </c>
      <c r="G814" s="20" t="s">
        <v>453</v>
      </c>
      <c r="H814" s="36">
        <v>36900</v>
      </c>
      <c r="I814" s="36">
        <v>32900</v>
      </c>
      <c r="J814" s="25">
        <v>300700</v>
      </c>
    </row>
    <row r="815" spans="1:10" ht="16" x14ac:dyDescent="0.45">
      <c r="A815" s="153" t="str">
        <f>B815&amp;C815&amp;E815&amp;G815</f>
        <v>매트리스더블사이드5베이직케어(4M)</v>
      </c>
      <c r="B815" s="17" t="s">
        <v>228</v>
      </c>
      <c r="C815" s="18" t="s">
        <v>490</v>
      </c>
      <c r="D815" s="19" t="s">
        <v>277</v>
      </c>
      <c r="E815" s="19">
        <v>5</v>
      </c>
      <c r="F815" s="19" t="s">
        <v>0</v>
      </c>
      <c r="G815" s="20" t="s">
        <v>608</v>
      </c>
      <c r="H815" s="36">
        <v>46900</v>
      </c>
      <c r="I815" s="36">
        <v>42900</v>
      </c>
      <c r="J815" s="25">
        <v>262200</v>
      </c>
    </row>
    <row r="816" spans="1:10" ht="16" x14ac:dyDescent="0.45">
      <c r="A816" s="153" t="str">
        <f>B816&amp;C816&amp;E816&amp;G816</f>
        <v>매트리스더블사이드7베이직케어(4M)</v>
      </c>
      <c r="B816" s="17" t="s">
        <v>228</v>
      </c>
      <c r="C816" s="18" t="s">
        <v>490</v>
      </c>
      <c r="D816" s="19" t="s">
        <v>277</v>
      </c>
      <c r="E816" s="19">
        <v>7</v>
      </c>
      <c r="F816" s="19" t="s">
        <v>0</v>
      </c>
      <c r="G816" s="20" t="s">
        <v>608</v>
      </c>
      <c r="H816" s="36">
        <v>38900</v>
      </c>
      <c r="I816" s="36">
        <v>34900</v>
      </c>
      <c r="J816" s="25">
        <v>288400</v>
      </c>
    </row>
    <row r="817" spans="1:10" ht="16" x14ac:dyDescent="0.45">
      <c r="A817" s="153" t="str">
        <f>B817&amp;C817&amp;E817&amp;G817</f>
        <v>매트리스더블사이드9베이직케어(4M)</v>
      </c>
      <c r="B817" s="17" t="s">
        <v>228</v>
      </c>
      <c r="C817" s="18" t="s">
        <v>490</v>
      </c>
      <c r="D817" s="19" t="s">
        <v>277</v>
      </c>
      <c r="E817" s="19">
        <v>9</v>
      </c>
      <c r="F817" s="19" t="s">
        <v>0</v>
      </c>
      <c r="G817" s="20" t="s">
        <v>608</v>
      </c>
      <c r="H817" s="36">
        <v>34900</v>
      </c>
      <c r="I817" s="36">
        <v>30900</v>
      </c>
      <c r="J817" s="25">
        <v>288400</v>
      </c>
    </row>
    <row r="818" spans="1:10" ht="16" x14ac:dyDescent="0.45">
      <c r="A818" s="153" t="str">
        <f>B818&amp;C818&amp;E818&amp;G818</f>
        <v>매트리스더블사이드5서비스프리</v>
      </c>
      <c r="B818" s="17" t="s">
        <v>228</v>
      </c>
      <c r="C818" s="18" t="s">
        <v>490</v>
      </c>
      <c r="D818" s="19" t="s">
        <v>277</v>
      </c>
      <c r="E818" s="19">
        <v>5</v>
      </c>
      <c r="F818" s="19" t="s">
        <v>0</v>
      </c>
      <c r="G818" s="20" t="s">
        <v>183</v>
      </c>
      <c r="H818" s="36">
        <v>44900</v>
      </c>
      <c r="I818" s="36">
        <v>40900</v>
      </c>
      <c r="J818" s="25">
        <v>251000</v>
      </c>
    </row>
    <row r="819" spans="1:10" ht="16" x14ac:dyDescent="0.45">
      <c r="A819" s="153" t="str">
        <f>B819&amp;C819&amp;E819&amp;G819</f>
        <v>매트리스더블사이드7서비스프리</v>
      </c>
      <c r="B819" s="17" t="s">
        <v>228</v>
      </c>
      <c r="C819" s="18" t="s">
        <v>490</v>
      </c>
      <c r="D819" s="19" t="s">
        <v>277</v>
      </c>
      <c r="E819" s="19">
        <v>7</v>
      </c>
      <c r="F819" s="19" t="s">
        <v>0</v>
      </c>
      <c r="G819" s="20" t="s">
        <v>183</v>
      </c>
      <c r="H819" s="36">
        <v>36900</v>
      </c>
      <c r="I819" s="36">
        <v>32900</v>
      </c>
      <c r="J819" s="25">
        <v>276100</v>
      </c>
    </row>
    <row r="820" spans="1:10" ht="16" x14ac:dyDescent="0.45">
      <c r="A820" s="153" t="str">
        <f>B820&amp;C820&amp;E820&amp;G820</f>
        <v>매트리스더블사이드9서비스프리</v>
      </c>
      <c r="B820" s="17" t="s">
        <v>228</v>
      </c>
      <c r="C820" s="18" t="s">
        <v>490</v>
      </c>
      <c r="D820" s="19" t="s">
        <v>277</v>
      </c>
      <c r="E820" s="19">
        <v>9</v>
      </c>
      <c r="F820" s="19" t="s">
        <v>0</v>
      </c>
      <c r="G820" s="20" t="s">
        <v>183</v>
      </c>
      <c r="H820" s="36">
        <v>32900</v>
      </c>
      <c r="I820" s="36">
        <v>28900</v>
      </c>
      <c r="J820" s="25">
        <v>276100</v>
      </c>
    </row>
    <row r="821" spans="1:10" ht="16" x14ac:dyDescent="0.45">
      <c r="A821" s="153" t="str">
        <f>B821&amp;C821&amp;E821&amp;G821</f>
        <v>매트리스더블사이드51회서비스</v>
      </c>
      <c r="B821" s="17" t="s">
        <v>228</v>
      </c>
      <c r="C821" s="18" t="s">
        <v>490</v>
      </c>
      <c r="D821" s="19" t="s">
        <v>278</v>
      </c>
      <c r="E821" s="19">
        <v>5</v>
      </c>
      <c r="F821" s="19" t="s">
        <v>0</v>
      </c>
      <c r="G821" s="20" t="s">
        <v>457</v>
      </c>
      <c r="H821" s="36">
        <v>41900</v>
      </c>
      <c r="I821" s="36">
        <v>37900</v>
      </c>
      <c r="J821" s="25">
        <v>239700</v>
      </c>
    </row>
    <row r="822" spans="1:10" ht="16" x14ac:dyDescent="0.45">
      <c r="A822" s="153" t="str">
        <f>B822&amp;C822&amp;E822&amp;G822</f>
        <v>매트리스더블사이드71회서비스</v>
      </c>
      <c r="B822" s="17" t="s">
        <v>228</v>
      </c>
      <c r="C822" s="18" t="s">
        <v>490</v>
      </c>
      <c r="D822" s="19" t="s">
        <v>278</v>
      </c>
      <c r="E822" s="19">
        <v>7</v>
      </c>
      <c r="F822" s="19" t="s">
        <v>0</v>
      </c>
      <c r="G822" s="20" t="s">
        <v>457</v>
      </c>
      <c r="H822" s="36">
        <v>33900</v>
      </c>
      <c r="I822" s="36">
        <v>29900</v>
      </c>
      <c r="J822" s="25">
        <v>263700</v>
      </c>
    </row>
    <row r="823" spans="1:10" ht="16" x14ac:dyDescent="0.45">
      <c r="A823" s="153" t="str">
        <f>B823&amp;C823&amp;E823&amp;G823</f>
        <v>매트리스더블사이드91회서비스</v>
      </c>
      <c r="B823" s="17" t="s">
        <v>228</v>
      </c>
      <c r="C823" s="18" t="s">
        <v>490</v>
      </c>
      <c r="D823" s="19" t="s">
        <v>278</v>
      </c>
      <c r="E823" s="19">
        <v>9</v>
      </c>
      <c r="F823" s="19" t="s">
        <v>0</v>
      </c>
      <c r="G823" s="20" t="s">
        <v>457</v>
      </c>
      <c r="H823" s="36">
        <v>29900</v>
      </c>
      <c r="I823" s="36">
        <v>25900</v>
      </c>
      <c r="J823" s="25">
        <v>263700</v>
      </c>
    </row>
    <row r="824" spans="1:10" ht="16" x14ac:dyDescent="0.45">
      <c r="A824" s="153" t="str">
        <f>B824&amp;C824&amp;E824&amp;G824</f>
        <v>매트리스더블사이드54M(4개월점검주기)</v>
      </c>
      <c r="B824" s="17" t="s">
        <v>228</v>
      </c>
      <c r="C824" s="18" t="s">
        <v>490</v>
      </c>
      <c r="D824" s="19" t="s">
        <v>278</v>
      </c>
      <c r="E824" s="19">
        <v>5</v>
      </c>
      <c r="F824" s="19" t="s">
        <v>0</v>
      </c>
      <c r="G824" s="20" t="s">
        <v>453</v>
      </c>
      <c r="H824" s="36">
        <v>43900</v>
      </c>
      <c r="I824" s="36">
        <v>39900</v>
      </c>
      <c r="J824" s="25">
        <v>251000</v>
      </c>
    </row>
    <row r="825" spans="1:10" ht="16" x14ac:dyDescent="0.45">
      <c r="A825" s="153" t="str">
        <f>B825&amp;C825&amp;E825&amp;G825</f>
        <v>매트리스더블사이드74M(4개월점검주기)</v>
      </c>
      <c r="B825" s="17" t="s">
        <v>228</v>
      </c>
      <c r="C825" s="18" t="s">
        <v>490</v>
      </c>
      <c r="D825" s="19" t="s">
        <v>278</v>
      </c>
      <c r="E825" s="19">
        <v>7</v>
      </c>
      <c r="F825" s="19" t="s">
        <v>0</v>
      </c>
      <c r="G825" s="20" t="s">
        <v>453</v>
      </c>
      <c r="H825" s="36">
        <v>35900</v>
      </c>
      <c r="I825" s="36">
        <v>31900</v>
      </c>
      <c r="J825" s="25">
        <v>276100</v>
      </c>
    </row>
    <row r="826" spans="1:10" ht="16" x14ac:dyDescent="0.45">
      <c r="A826" s="153" t="str">
        <f>B826&amp;C826&amp;E826&amp;G826</f>
        <v>매트리스더블사이드94M(4개월점검주기)</v>
      </c>
      <c r="B826" s="17" t="s">
        <v>228</v>
      </c>
      <c r="C826" s="18" t="s">
        <v>490</v>
      </c>
      <c r="D826" s="19" t="s">
        <v>278</v>
      </c>
      <c r="E826" s="19">
        <v>9</v>
      </c>
      <c r="F826" s="19" t="s">
        <v>0</v>
      </c>
      <c r="G826" s="20" t="s">
        <v>453</v>
      </c>
      <c r="H826" s="36">
        <v>31900</v>
      </c>
      <c r="I826" s="36">
        <v>27900</v>
      </c>
      <c r="J826" s="25">
        <v>276100</v>
      </c>
    </row>
    <row r="827" spans="1:10" ht="16" x14ac:dyDescent="0.45">
      <c r="A827" s="153" t="str">
        <f>B827&amp;C827&amp;E827&amp;G827</f>
        <v>매트리스더블사이드5베이직케어(4M)</v>
      </c>
      <c r="B827" s="17" t="s">
        <v>228</v>
      </c>
      <c r="C827" s="18" t="s">
        <v>490</v>
      </c>
      <c r="D827" s="19" t="s">
        <v>278</v>
      </c>
      <c r="E827" s="19">
        <v>5</v>
      </c>
      <c r="F827" s="19" t="s">
        <v>0</v>
      </c>
      <c r="G827" s="20" t="s">
        <v>608</v>
      </c>
      <c r="H827" s="36">
        <v>41900</v>
      </c>
      <c r="I827" s="36">
        <v>37900</v>
      </c>
      <c r="J827" s="25">
        <v>239700</v>
      </c>
    </row>
    <row r="828" spans="1:10" ht="16" x14ac:dyDescent="0.45">
      <c r="A828" s="153" t="str">
        <f>B828&amp;C828&amp;E828&amp;G828</f>
        <v>매트리스더블사이드7베이직케어(4M)</v>
      </c>
      <c r="B828" s="17" t="s">
        <v>228</v>
      </c>
      <c r="C828" s="18" t="s">
        <v>490</v>
      </c>
      <c r="D828" s="19" t="s">
        <v>278</v>
      </c>
      <c r="E828" s="19">
        <v>7</v>
      </c>
      <c r="F828" s="19" t="s">
        <v>0</v>
      </c>
      <c r="G828" s="20" t="s">
        <v>608</v>
      </c>
      <c r="H828" s="36">
        <v>33900</v>
      </c>
      <c r="I828" s="36">
        <v>29900</v>
      </c>
      <c r="J828" s="25">
        <v>263700</v>
      </c>
    </row>
    <row r="829" spans="1:10" ht="16" x14ac:dyDescent="0.45">
      <c r="A829" s="153" t="str">
        <f>B829&amp;C829&amp;E829&amp;G829</f>
        <v>매트리스더블사이드9베이직케어(4M)</v>
      </c>
      <c r="B829" s="17" t="s">
        <v>228</v>
      </c>
      <c r="C829" s="18" t="s">
        <v>490</v>
      </c>
      <c r="D829" s="19" t="s">
        <v>278</v>
      </c>
      <c r="E829" s="19">
        <v>9</v>
      </c>
      <c r="F829" s="19" t="s">
        <v>0</v>
      </c>
      <c r="G829" s="20" t="s">
        <v>608</v>
      </c>
      <c r="H829" s="36">
        <v>29900</v>
      </c>
      <c r="I829" s="36">
        <v>25900</v>
      </c>
      <c r="J829" s="25">
        <v>263700</v>
      </c>
    </row>
    <row r="830" spans="1:10" ht="16" x14ac:dyDescent="0.45">
      <c r="A830" s="153" t="str">
        <f>B830&amp;C830&amp;E830&amp;G830</f>
        <v>매트리스더블사이드5서비스프리</v>
      </c>
      <c r="B830" s="17" t="s">
        <v>228</v>
      </c>
      <c r="C830" s="18" t="s">
        <v>490</v>
      </c>
      <c r="D830" s="19" t="s">
        <v>278</v>
      </c>
      <c r="E830" s="19">
        <v>5</v>
      </c>
      <c r="F830" s="19" t="s">
        <v>0</v>
      </c>
      <c r="G830" s="20" t="s">
        <v>183</v>
      </c>
      <c r="H830" s="36">
        <v>39900</v>
      </c>
      <c r="I830" s="36">
        <v>35900</v>
      </c>
      <c r="J830" s="25">
        <v>231100</v>
      </c>
    </row>
    <row r="831" spans="1:10" ht="16" x14ac:dyDescent="0.45">
      <c r="A831" s="153" t="str">
        <f>B831&amp;C831&amp;E831&amp;G831</f>
        <v>매트리스더블사이드7서비스프리</v>
      </c>
      <c r="B831" s="17" t="s">
        <v>228</v>
      </c>
      <c r="C831" s="18" t="s">
        <v>490</v>
      </c>
      <c r="D831" s="19" t="s">
        <v>278</v>
      </c>
      <c r="E831" s="19">
        <v>7</v>
      </c>
      <c r="F831" s="19" t="s">
        <v>0</v>
      </c>
      <c r="G831" s="20" t="s">
        <v>183</v>
      </c>
      <c r="H831" s="36">
        <v>31900</v>
      </c>
      <c r="I831" s="36">
        <v>27900</v>
      </c>
      <c r="J831" s="25">
        <v>254200</v>
      </c>
    </row>
    <row r="832" spans="1:10" ht="16" x14ac:dyDescent="0.45">
      <c r="A832" s="153" t="str">
        <f>B832&amp;C832&amp;E832&amp;G832</f>
        <v>매트리스더블사이드9서비스프리</v>
      </c>
      <c r="B832" s="17" t="s">
        <v>228</v>
      </c>
      <c r="C832" s="18" t="s">
        <v>490</v>
      </c>
      <c r="D832" s="19" t="s">
        <v>278</v>
      </c>
      <c r="E832" s="19">
        <v>9</v>
      </c>
      <c r="F832" s="19" t="s">
        <v>0</v>
      </c>
      <c r="G832" s="20" t="s">
        <v>183</v>
      </c>
      <c r="H832" s="36">
        <v>27900</v>
      </c>
      <c r="I832" s="36">
        <v>23900</v>
      </c>
      <c r="J832" s="25">
        <v>254200</v>
      </c>
    </row>
    <row r="833" spans="1:10" ht="16" x14ac:dyDescent="0.45">
      <c r="A833" s="153" t="str">
        <f>B833&amp;C833&amp;E833&amp;G833</f>
        <v>매트리스더블사이드51회서비스</v>
      </c>
      <c r="B833" s="17" t="s">
        <v>228</v>
      </c>
      <c r="C833" s="18" t="s">
        <v>490</v>
      </c>
      <c r="D833" s="19" t="s">
        <v>279</v>
      </c>
      <c r="E833" s="19">
        <v>5</v>
      </c>
      <c r="F833" s="19" t="s">
        <v>0</v>
      </c>
      <c r="G833" s="20" t="s">
        <v>457</v>
      </c>
      <c r="H833" s="36">
        <v>36900</v>
      </c>
      <c r="I833" s="36">
        <v>32900</v>
      </c>
      <c r="J833" s="25">
        <v>231100</v>
      </c>
    </row>
    <row r="834" spans="1:10" ht="16" x14ac:dyDescent="0.45">
      <c r="A834" s="153" t="str">
        <f>B834&amp;C834&amp;E834&amp;G834</f>
        <v>매트리스더블사이드71회서비스</v>
      </c>
      <c r="B834" s="17" t="s">
        <v>228</v>
      </c>
      <c r="C834" s="18" t="s">
        <v>490</v>
      </c>
      <c r="D834" s="19" t="s">
        <v>279</v>
      </c>
      <c r="E834" s="19">
        <v>7</v>
      </c>
      <c r="F834" s="19" t="s">
        <v>0</v>
      </c>
      <c r="G834" s="20" t="s">
        <v>457</v>
      </c>
      <c r="H834" s="36">
        <v>29900</v>
      </c>
      <c r="I834" s="36">
        <v>25900</v>
      </c>
      <c r="J834" s="25">
        <v>254200</v>
      </c>
    </row>
    <row r="835" spans="1:10" ht="16" x14ac:dyDescent="0.45">
      <c r="A835" s="153" t="str">
        <f>B835&amp;C835&amp;E835&amp;G835</f>
        <v>매트리스더블사이드91회서비스</v>
      </c>
      <c r="B835" s="17" t="s">
        <v>228</v>
      </c>
      <c r="C835" s="18" t="s">
        <v>490</v>
      </c>
      <c r="D835" s="19" t="s">
        <v>279</v>
      </c>
      <c r="E835" s="19">
        <v>9</v>
      </c>
      <c r="F835" s="19" t="s">
        <v>0</v>
      </c>
      <c r="G835" s="20" t="s">
        <v>457</v>
      </c>
      <c r="H835" s="36">
        <v>25900</v>
      </c>
      <c r="I835" s="36">
        <v>21900</v>
      </c>
      <c r="J835" s="25">
        <v>254200</v>
      </c>
    </row>
    <row r="836" spans="1:10" ht="16" x14ac:dyDescent="0.45">
      <c r="A836" s="153" t="str">
        <f>B836&amp;C836&amp;E836&amp;G836</f>
        <v>매트리스더블사이드54M(4개월점검주기)</v>
      </c>
      <c r="B836" s="17" t="s">
        <v>228</v>
      </c>
      <c r="C836" s="18" t="s">
        <v>490</v>
      </c>
      <c r="D836" s="19" t="s">
        <v>279</v>
      </c>
      <c r="E836" s="19">
        <v>5</v>
      </c>
      <c r="F836" s="19" t="s">
        <v>0</v>
      </c>
      <c r="G836" s="20" t="s">
        <v>453</v>
      </c>
      <c r="H836" s="36">
        <v>38900</v>
      </c>
      <c r="I836" s="36">
        <v>34900</v>
      </c>
      <c r="J836" s="25">
        <v>231100</v>
      </c>
    </row>
    <row r="837" spans="1:10" ht="16" x14ac:dyDescent="0.45">
      <c r="A837" s="153" t="str">
        <f>B837&amp;C837&amp;E837&amp;G837</f>
        <v>매트리스더블사이드74M(4개월점검주기)</v>
      </c>
      <c r="B837" s="17" t="s">
        <v>228</v>
      </c>
      <c r="C837" s="18" t="s">
        <v>490</v>
      </c>
      <c r="D837" s="19" t="s">
        <v>279</v>
      </c>
      <c r="E837" s="19">
        <v>7</v>
      </c>
      <c r="F837" s="19" t="s">
        <v>0</v>
      </c>
      <c r="G837" s="20" t="s">
        <v>453</v>
      </c>
      <c r="H837" s="36">
        <v>31900</v>
      </c>
      <c r="I837" s="36">
        <v>27900</v>
      </c>
      <c r="J837" s="25">
        <v>254200</v>
      </c>
    </row>
    <row r="838" spans="1:10" ht="16" x14ac:dyDescent="0.45">
      <c r="A838" s="153" t="str">
        <f>B838&amp;C838&amp;E838&amp;G838</f>
        <v>매트리스더블사이드94M(4개월점검주기)</v>
      </c>
      <c r="B838" s="17" t="s">
        <v>228</v>
      </c>
      <c r="C838" s="18" t="s">
        <v>490</v>
      </c>
      <c r="D838" s="19" t="s">
        <v>279</v>
      </c>
      <c r="E838" s="19">
        <v>9</v>
      </c>
      <c r="F838" s="19" t="s">
        <v>0</v>
      </c>
      <c r="G838" s="20" t="s">
        <v>453</v>
      </c>
      <c r="H838" s="36">
        <v>27900</v>
      </c>
      <c r="I838" s="36">
        <v>23900</v>
      </c>
      <c r="J838" s="25">
        <v>254200</v>
      </c>
    </row>
    <row r="839" spans="1:10" ht="16" x14ac:dyDescent="0.45">
      <c r="A839" s="153" t="str">
        <f>B839&amp;C839&amp;E839&amp;G839</f>
        <v>매트리스더블사이드5베이직케어(4M)</v>
      </c>
      <c r="B839" s="17" t="s">
        <v>228</v>
      </c>
      <c r="C839" s="18" t="s">
        <v>490</v>
      </c>
      <c r="D839" s="19" t="s">
        <v>279</v>
      </c>
      <c r="E839" s="19">
        <v>5</v>
      </c>
      <c r="F839" s="19" t="s">
        <v>0</v>
      </c>
      <c r="G839" s="20" t="s">
        <v>608</v>
      </c>
      <c r="H839" s="36">
        <v>36900</v>
      </c>
      <c r="I839" s="36">
        <v>32900</v>
      </c>
      <c r="J839" s="25">
        <v>231100</v>
      </c>
    </row>
    <row r="840" spans="1:10" ht="16" x14ac:dyDescent="0.45">
      <c r="A840" s="153" t="str">
        <f>B840&amp;C840&amp;E840&amp;G840</f>
        <v>매트리스더블사이드7베이직케어(4M)</v>
      </c>
      <c r="B840" s="17" t="s">
        <v>228</v>
      </c>
      <c r="C840" s="18" t="s">
        <v>490</v>
      </c>
      <c r="D840" s="19" t="s">
        <v>279</v>
      </c>
      <c r="E840" s="19">
        <v>7</v>
      </c>
      <c r="F840" s="19" t="s">
        <v>0</v>
      </c>
      <c r="G840" s="20" t="s">
        <v>608</v>
      </c>
      <c r="H840" s="36">
        <v>29900</v>
      </c>
      <c r="I840" s="36">
        <v>25900</v>
      </c>
      <c r="J840" s="25">
        <v>254200</v>
      </c>
    </row>
    <row r="841" spans="1:10" ht="16" x14ac:dyDescent="0.45">
      <c r="A841" s="153" t="str">
        <f>B841&amp;C841&amp;E841&amp;G841</f>
        <v>매트리스더블사이드9베이직케어(4M)</v>
      </c>
      <c r="B841" s="17" t="s">
        <v>228</v>
      </c>
      <c r="C841" s="18" t="s">
        <v>490</v>
      </c>
      <c r="D841" s="19" t="s">
        <v>279</v>
      </c>
      <c r="E841" s="19">
        <v>9</v>
      </c>
      <c r="F841" s="19" t="s">
        <v>0</v>
      </c>
      <c r="G841" s="20" t="s">
        <v>608</v>
      </c>
      <c r="H841" s="36">
        <v>25900</v>
      </c>
      <c r="I841" s="36">
        <v>21900</v>
      </c>
      <c r="J841" s="25">
        <v>254200</v>
      </c>
    </row>
    <row r="842" spans="1:10" ht="16" x14ac:dyDescent="0.45">
      <c r="A842" s="153" t="str">
        <f>B842&amp;C842&amp;E842&amp;G842</f>
        <v>매트리스더블사이드5서비스프리</v>
      </c>
      <c r="B842" s="17" t="s">
        <v>228</v>
      </c>
      <c r="C842" s="18" t="s">
        <v>490</v>
      </c>
      <c r="D842" s="19" t="s">
        <v>279</v>
      </c>
      <c r="E842" s="19">
        <v>5</v>
      </c>
      <c r="F842" s="19" t="s">
        <v>0</v>
      </c>
      <c r="G842" s="20" t="s">
        <v>183</v>
      </c>
      <c r="H842" s="36">
        <v>34900</v>
      </c>
      <c r="I842" s="36">
        <v>30900</v>
      </c>
      <c r="J842" s="25">
        <v>219800</v>
      </c>
    </row>
    <row r="843" spans="1:10" ht="16" x14ac:dyDescent="0.45">
      <c r="A843" s="153" t="str">
        <f>B843&amp;C843&amp;E843&amp;G843</f>
        <v>매트리스더블사이드7서비스프리</v>
      </c>
      <c r="B843" s="17" t="s">
        <v>228</v>
      </c>
      <c r="C843" s="18" t="s">
        <v>490</v>
      </c>
      <c r="D843" s="19" t="s">
        <v>279</v>
      </c>
      <c r="E843" s="19">
        <v>7</v>
      </c>
      <c r="F843" s="19" t="s">
        <v>0</v>
      </c>
      <c r="G843" s="20" t="s">
        <v>183</v>
      </c>
      <c r="H843" s="36">
        <v>27900</v>
      </c>
      <c r="I843" s="36">
        <v>23900</v>
      </c>
      <c r="J843" s="25">
        <v>241800</v>
      </c>
    </row>
    <row r="844" spans="1:10" ht="16" x14ac:dyDescent="0.45">
      <c r="A844" s="153" t="str">
        <f>B844&amp;C844&amp;E844&amp;G844</f>
        <v>매트리스더블사이드9서비스프리</v>
      </c>
      <c r="B844" s="17" t="s">
        <v>228</v>
      </c>
      <c r="C844" s="18" t="s">
        <v>490</v>
      </c>
      <c r="D844" s="19" t="s">
        <v>279</v>
      </c>
      <c r="E844" s="19">
        <v>9</v>
      </c>
      <c r="F844" s="19" t="s">
        <v>0</v>
      </c>
      <c r="G844" s="20" t="s">
        <v>183</v>
      </c>
      <c r="H844" s="36">
        <v>23900</v>
      </c>
      <c r="I844" s="36">
        <v>19900</v>
      </c>
      <c r="J844" s="25">
        <v>241800</v>
      </c>
    </row>
    <row r="845" spans="1:10" ht="16" x14ac:dyDescent="0.45">
      <c r="A845" s="153" t="str">
        <f>B845&amp;C845&amp;E845&amp;G845</f>
        <v>매트리스더블체인지51회서비스</v>
      </c>
      <c r="B845" s="17" t="s">
        <v>228</v>
      </c>
      <c r="C845" s="18" t="s">
        <v>491</v>
      </c>
      <c r="D845" s="19" t="s">
        <v>231</v>
      </c>
      <c r="E845" s="19">
        <v>5</v>
      </c>
      <c r="F845" s="19" t="s">
        <v>0</v>
      </c>
      <c r="G845" s="20" t="s">
        <v>457</v>
      </c>
      <c r="H845" s="36">
        <v>44900</v>
      </c>
      <c r="I845" s="36">
        <v>44900</v>
      </c>
      <c r="J845" s="25">
        <v>273400</v>
      </c>
    </row>
    <row r="846" spans="1:10" ht="16" x14ac:dyDescent="0.45">
      <c r="A846" s="153" t="str">
        <f>B846&amp;C846&amp;E846&amp;G846</f>
        <v>매트리스더블체인지71회서비스</v>
      </c>
      <c r="B846" s="17" t="s">
        <v>228</v>
      </c>
      <c r="C846" s="18" t="s">
        <v>491</v>
      </c>
      <c r="D846" s="19" t="s">
        <v>231</v>
      </c>
      <c r="E846" s="19">
        <v>7</v>
      </c>
      <c r="F846" s="19" t="s">
        <v>0</v>
      </c>
      <c r="G846" s="20" t="s">
        <v>457</v>
      </c>
      <c r="H846" s="36">
        <v>37900</v>
      </c>
      <c r="I846" s="36">
        <v>37900</v>
      </c>
      <c r="J846" s="25">
        <v>300700</v>
      </c>
    </row>
    <row r="847" spans="1:10" ht="16" x14ac:dyDescent="0.45">
      <c r="A847" s="153" t="str">
        <f>B847&amp;C847&amp;E847&amp;G847</f>
        <v>매트리스더블체인지91회서비스</v>
      </c>
      <c r="B847" s="17" t="s">
        <v>228</v>
      </c>
      <c r="C847" s="18" t="s">
        <v>491</v>
      </c>
      <c r="D847" s="19" t="s">
        <v>231</v>
      </c>
      <c r="E847" s="19">
        <v>9</v>
      </c>
      <c r="F847" s="19" t="s">
        <v>0</v>
      </c>
      <c r="G847" s="20" t="s">
        <v>457</v>
      </c>
      <c r="H847" s="36">
        <v>33900</v>
      </c>
      <c r="I847" s="36">
        <v>33900</v>
      </c>
      <c r="J847" s="25">
        <v>300700</v>
      </c>
    </row>
    <row r="848" spans="1:10" ht="16" x14ac:dyDescent="0.45">
      <c r="A848" s="153" t="str">
        <f>B848&amp;C848&amp;E848&amp;G848</f>
        <v>매트리스더블체인지54M(4개월점검주기)</v>
      </c>
      <c r="B848" s="17" t="s">
        <v>228</v>
      </c>
      <c r="C848" s="18" t="s">
        <v>491</v>
      </c>
      <c r="D848" s="19" t="s">
        <v>231</v>
      </c>
      <c r="E848" s="19">
        <v>5</v>
      </c>
      <c r="F848" s="19" t="s">
        <v>0</v>
      </c>
      <c r="G848" s="20" t="s">
        <v>453</v>
      </c>
      <c r="H848" s="36">
        <v>46900</v>
      </c>
      <c r="I848" s="36">
        <v>46900</v>
      </c>
      <c r="J848" s="25">
        <v>273400</v>
      </c>
    </row>
    <row r="849" spans="1:10" ht="16" x14ac:dyDescent="0.45">
      <c r="A849" s="153" t="str">
        <f>B849&amp;C849&amp;E849&amp;G849</f>
        <v>매트리스더블체인지64M(4개월점검주기)</v>
      </c>
      <c r="B849" s="17" t="s">
        <v>228</v>
      </c>
      <c r="C849" s="18" t="s">
        <v>491</v>
      </c>
      <c r="D849" s="19" t="s">
        <v>231</v>
      </c>
      <c r="E849" s="19">
        <v>6</v>
      </c>
      <c r="F849" s="19" t="s">
        <v>0</v>
      </c>
      <c r="G849" s="20" t="s">
        <v>453</v>
      </c>
      <c r="H849" s="36">
        <v>40900</v>
      </c>
      <c r="I849" s="36">
        <v>40900</v>
      </c>
      <c r="J849" s="25">
        <v>273400</v>
      </c>
    </row>
    <row r="850" spans="1:10" ht="16" x14ac:dyDescent="0.45">
      <c r="A850" s="153" t="str">
        <f>B850&amp;C850&amp;E850&amp;G850</f>
        <v>매트리스더블체인지74M(4개월점검주기)</v>
      </c>
      <c r="B850" s="17" t="s">
        <v>228</v>
      </c>
      <c r="C850" s="18" t="s">
        <v>491</v>
      </c>
      <c r="D850" s="19" t="s">
        <v>231</v>
      </c>
      <c r="E850" s="19">
        <v>7</v>
      </c>
      <c r="F850" s="19" t="s">
        <v>0</v>
      </c>
      <c r="G850" s="20" t="s">
        <v>453</v>
      </c>
      <c r="H850" s="36">
        <v>39900</v>
      </c>
      <c r="I850" s="36">
        <v>39900</v>
      </c>
      <c r="J850" s="25">
        <v>300700</v>
      </c>
    </row>
    <row r="851" spans="1:10" ht="16" x14ac:dyDescent="0.45">
      <c r="A851" s="153" t="str">
        <f>B851&amp;C851&amp;E851&amp;G851</f>
        <v>매트리스더블체인지94M(4개월점검주기)</v>
      </c>
      <c r="B851" s="17" t="s">
        <v>228</v>
      </c>
      <c r="C851" s="18" t="s">
        <v>491</v>
      </c>
      <c r="D851" s="19" t="s">
        <v>231</v>
      </c>
      <c r="E851" s="19">
        <v>9</v>
      </c>
      <c r="F851" s="19" t="s">
        <v>0</v>
      </c>
      <c r="G851" s="20" t="s">
        <v>453</v>
      </c>
      <c r="H851" s="36">
        <v>35900</v>
      </c>
      <c r="I851" s="36">
        <v>35900</v>
      </c>
      <c r="J851" s="25">
        <v>300700</v>
      </c>
    </row>
    <row r="852" spans="1:10" ht="16" x14ac:dyDescent="0.45">
      <c r="A852" s="153" t="str">
        <f>B852&amp;C852&amp;E852&amp;G852</f>
        <v>매트리스더블체인지5베이직케어(4M)</v>
      </c>
      <c r="B852" s="17" t="s">
        <v>228</v>
      </c>
      <c r="C852" s="18" t="s">
        <v>491</v>
      </c>
      <c r="D852" s="19" t="s">
        <v>231</v>
      </c>
      <c r="E852" s="19">
        <v>5</v>
      </c>
      <c r="F852" s="19" t="s">
        <v>0</v>
      </c>
      <c r="G852" s="20" t="s">
        <v>608</v>
      </c>
      <c r="H852" s="36">
        <v>41900</v>
      </c>
      <c r="I852" s="36">
        <v>41900</v>
      </c>
      <c r="J852" s="25">
        <v>262200</v>
      </c>
    </row>
    <row r="853" spans="1:10" ht="16" x14ac:dyDescent="0.45">
      <c r="A853" s="153" t="str">
        <f>B853&amp;C853&amp;E853&amp;G853</f>
        <v>매트리스더블체인지7베이직케어(4M)</v>
      </c>
      <c r="B853" s="17" t="s">
        <v>228</v>
      </c>
      <c r="C853" s="18" t="s">
        <v>491</v>
      </c>
      <c r="D853" s="19" t="s">
        <v>231</v>
      </c>
      <c r="E853" s="19">
        <v>7</v>
      </c>
      <c r="F853" s="19" t="s">
        <v>0</v>
      </c>
      <c r="G853" s="20" t="s">
        <v>608</v>
      </c>
      <c r="H853" s="36">
        <v>34900</v>
      </c>
      <c r="I853" s="36">
        <v>34900</v>
      </c>
      <c r="J853" s="25">
        <v>288400</v>
      </c>
    </row>
    <row r="854" spans="1:10" ht="16" x14ac:dyDescent="0.45">
      <c r="A854" s="153" t="str">
        <f>B854&amp;C854&amp;E854&amp;G854</f>
        <v>매트리스더블체인지9베이직케어(4M)</v>
      </c>
      <c r="B854" s="17" t="s">
        <v>228</v>
      </c>
      <c r="C854" s="18" t="s">
        <v>491</v>
      </c>
      <c r="D854" s="19" t="s">
        <v>231</v>
      </c>
      <c r="E854" s="19">
        <v>9</v>
      </c>
      <c r="F854" s="19" t="s">
        <v>0</v>
      </c>
      <c r="G854" s="20" t="s">
        <v>608</v>
      </c>
      <c r="H854" s="36">
        <v>30900</v>
      </c>
      <c r="I854" s="36">
        <v>30900</v>
      </c>
      <c r="J854" s="25">
        <v>288400</v>
      </c>
    </row>
    <row r="855" spans="1:10" ht="16" x14ac:dyDescent="0.45">
      <c r="A855" s="153" t="str">
        <f>B855&amp;C855&amp;E855&amp;G855</f>
        <v>매트리스더블체인지5서비스프리</v>
      </c>
      <c r="B855" s="17" t="s">
        <v>228</v>
      </c>
      <c r="C855" s="18" t="s">
        <v>491</v>
      </c>
      <c r="D855" s="19" t="s">
        <v>231</v>
      </c>
      <c r="E855" s="19">
        <v>5</v>
      </c>
      <c r="F855" s="19" t="s">
        <v>0</v>
      </c>
      <c r="G855" s="20" t="s">
        <v>183</v>
      </c>
      <c r="H855" s="36">
        <v>39900</v>
      </c>
      <c r="I855" s="36">
        <v>39900</v>
      </c>
      <c r="J855" s="25">
        <v>251000</v>
      </c>
    </row>
    <row r="856" spans="1:10" ht="16" x14ac:dyDescent="0.45">
      <c r="A856" s="153" t="str">
        <f>B856&amp;C856&amp;E856&amp;G856</f>
        <v>매트리스더블체인지7서비스프리</v>
      </c>
      <c r="B856" s="17" t="s">
        <v>228</v>
      </c>
      <c r="C856" s="18" t="s">
        <v>491</v>
      </c>
      <c r="D856" s="19" t="s">
        <v>231</v>
      </c>
      <c r="E856" s="19">
        <v>7</v>
      </c>
      <c r="F856" s="19" t="s">
        <v>0</v>
      </c>
      <c r="G856" s="20" t="s">
        <v>183</v>
      </c>
      <c r="H856" s="36">
        <v>32900</v>
      </c>
      <c r="I856" s="36">
        <v>32900</v>
      </c>
      <c r="J856" s="25">
        <v>276100</v>
      </c>
    </row>
    <row r="857" spans="1:10" ht="16" x14ac:dyDescent="0.45">
      <c r="A857" s="153" t="str">
        <f>B857&amp;C857&amp;E857&amp;G857</f>
        <v>매트리스더블체인지9서비스프리</v>
      </c>
      <c r="B857" s="17" t="s">
        <v>228</v>
      </c>
      <c r="C857" s="18" t="s">
        <v>491</v>
      </c>
      <c r="D857" s="19" t="s">
        <v>231</v>
      </c>
      <c r="E857" s="19">
        <v>9</v>
      </c>
      <c r="F857" s="19" t="s">
        <v>0</v>
      </c>
      <c r="G857" s="20" t="s">
        <v>183</v>
      </c>
      <c r="H857" s="36">
        <v>28900</v>
      </c>
      <c r="I857" s="36">
        <v>28900</v>
      </c>
      <c r="J857" s="25">
        <v>276100</v>
      </c>
    </row>
    <row r="858" spans="1:10" ht="16" x14ac:dyDescent="0.45">
      <c r="A858" s="153" t="str">
        <f>B858&amp;C858&amp;E858&amp;G858</f>
        <v>매트리스더블체인지51회서비스</v>
      </c>
      <c r="B858" s="17" t="s">
        <v>228</v>
      </c>
      <c r="C858" s="18" t="s">
        <v>491</v>
      </c>
      <c r="D858" s="19" t="s">
        <v>230</v>
      </c>
      <c r="E858" s="19">
        <v>5</v>
      </c>
      <c r="F858" s="19" t="s">
        <v>0</v>
      </c>
      <c r="G858" s="20" t="s">
        <v>457</v>
      </c>
      <c r="H858" s="36">
        <v>38900</v>
      </c>
      <c r="I858" s="36">
        <v>38900</v>
      </c>
      <c r="J858" s="25">
        <v>251000</v>
      </c>
    </row>
    <row r="859" spans="1:10" ht="16" x14ac:dyDescent="0.45">
      <c r="A859" s="153" t="str">
        <f>B859&amp;C859&amp;E859&amp;G859</f>
        <v>매트리스더블체인지71회서비스</v>
      </c>
      <c r="B859" s="17" t="s">
        <v>228</v>
      </c>
      <c r="C859" s="18" t="s">
        <v>491</v>
      </c>
      <c r="D859" s="19" t="s">
        <v>230</v>
      </c>
      <c r="E859" s="19">
        <v>7</v>
      </c>
      <c r="F859" s="19" t="s">
        <v>0</v>
      </c>
      <c r="G859" s="20" t="s">
        <v>457</v>
      </c>
      <c r="H859" s="36">
        <v>31900</v>
      </c>
      <c r="I859" s="36">
        <v>31900</v>
      </c>
      <c r="J859" s="25">
        <v>276100</v>
      </c>
    </row>
    <row r="860" spans="1:10" ht="16" x14ac:dyDescent="0.45">
      <c r="A860" s="153" t="str">
        <f>B860&amp;C860&amp;E860&amp;G860</f>
        <v>매트리스더블체인지91회서비스</v>
      </c>
      <c r="B860" s="17" t="s">
        <v>228</v>
      </c>
      <c r="C860" s="18" t="s">
        <v>491</v>
      </c>
      <c r="D860" s="19" t="s">
        <v>230</v>
      </c>
      <c r="E860" s="19">
        <v>9</v>
      </c>
      <c r="F860" s="19" t="s">
        <v>0</v>
      </c>
      <c r="G860" s="20" t="s">
        <v>457</v>
      </c>
      <c r="H860" s="36">
        <v>27900</v>
      </c>
      <c r="I860" s="36">
        <v>27900</v>
      </c>
      <c r="J860" s="25">
        <v>276100</v>
      </c>
    </row>
    <row r="861" spans="1:10" ht="16" x14ac:dyDescent="0.45">
      <c r="A861" s="153" t="str">
        <f>B861&amp;C861&amp;E861&amp;G861</f>
        <v>매트리스더블체인지54M(4개월점검주기)</v>
      </c>
      <c r="B861" s="17" t="s">
        <v>228</v>
      </c>
      <c r="C861" s="18" t="s">
        <v>491</v>
      </c>
      <c r="D861" s="19" t="s">
        <v>230</v>
      </c>
      <c r="E861" s="19">
        <v>5</v>
      </c>
      <c r="F861" s="19" t="s">
        <v>0</v>
      </c>
      <c r="G861" s="20" t="s">
        <v>453</v>
      </c>
      <c r="H861" s="36">
        <v>40900</v>
      </c>
      <c r="I861" s="36">
        <v>40900</v>
      </c>
      <c r="J861" s="25">
        <v>262200</v>
      </c>
    </row>
    <row r="862" spans="1:10" ht="16" x14ac:dyDescent="0.45">
      <c r="A862" s="153" t="str">
        <f>B862&amp;C862&amp;E862&amp;G862</f>
        <v>매트리스더블체인지64M(4개월점검주기)</v>
      </c>
      <c r="B862" s="17" t="s">
        <v>228</v>
      </c>
      <c r="C862" s="18" t="s">
        <v>491</v>
      </c>
      <c r="D862" s="19" t="s">
        <v>230</v>
      </c>
      <c r="E862" s="19">
        <v>6</v>
      </c>
      <c r="F862" s="19" t="s">
        <v>0</v>
      </c>
      <c r="G862" s="20" t="s">
        <v>453</v>
      </c>
      <c r="H862" s="36">
        <v>36900</v>
      </c>
      <c r="I862" s="36">
        <v>36900</v>
      </c>
      <c r="J862" s="25">
        <v>262200</v>
      </c>
    </row>
    <row r="863" spans="1:10" ht="16" x14ac:dyDescent="0.45">
      <c r="A863" s="153" t="str">
        <f>B863&amp;C863&amp;E863&amp;G863</f>
        <v>매트리스더블체인지74M(4개월점검주기)</v>
      </c>
      <c r="B863" s="17" t="s">
        <v>228</v>
      </c>
      <c r="C863" s="18" t="s">
        <v>491</v>
      </c>
      <c r="D863" s="19" t="s">
        <v>230</v>
      </c>
      <c r="E863" s="19">
        <v>7</v>
      </c>
      <c r="F863" s="19" t="s">
        <v>0</v>
      </c>
      <c r="G863" s="20" t="s">
        <v>453</v>
      </c>
      <c r="H863" s="36">
        <v>33900</v>
      </c>
      <c r="I863" s="36">
        <v>33900</v>
      </c>
      <c r="J863" s="25">
        <v>288400</v>
      </c>
    </row>
    <row r="864" spans="1:10" ht="16" x14ac:dyDescent="0.45">
      <c r="A864" s="153" t="str">
        <f>B864&amp;C864&amp;E864&amp;G864</f>
        <v>매트리스더블체인지94M(4개월점검주기)</v>
      </c>
      <c r="B864" s="17" t="s">
        <v>228</v>
      </c>
      <c r="C864" s="18" t="s">
        <v>491</v>
      </c>
      <c r="D864" s="19" t="s">
        <v>230</v>
      </c>
      <c r="E864" s="19">
        <v>9</v>
      </c>
      <c r="F864" s="19" t="s">
        <v>0</v>
      </c>
      <c r="G864" s="20" t="s">
        <v>453</v>
      </c>
      <c r="H864" s="36">
        <v>29900</v>
      </c>
      <c r="I864" s="36">
        <v>29900</v>
      </c>
      <c r="J864" s="25">
        <v>288400</v>
      </c>
    </row>
    <row r="865" spans="1:10" ht="16" x14ac:dyDescent="0.45">
      <c r="A865" s="153" t="str">
        <f>B865&amp;C865&amp;E865&amp;G865</f>
        <v>매트리스더블체인지5베이직케어(4M)</v>
      </c>
      <c r="B865" s="17" t="s">
        <v>228</v>
      </c>
      <c r="C865" s="18" t="s">
        <v>491</v>
      </c>
      <c r="D865" s="19" t="s">
        <v>230</v>
      </c>
      <c r="E865" s="19">
        <v>5</v>
      </c>
      <c r="F865" s="19" t="s">
        <v>0</v>
      </c>
      <c r="G865" s="20" t="s">
        <v>608</v>
      </c>
      <c r="H865" s="36">
        <v>35900</v>
      </c>
      <c r="I865" s="36">
        <v>35900</v>
      </c>
      <c r="J865" s="25">
        <v>239700</v>
      </c>
    </row>
    <row r="866" spans="1:10" ht="16" x14ac:dyDescent="0.45">
      <c r="A866" s="153" t="str">
        <f>B866&amp;C866&amp;E866&amp;G866</f>
        <v>매트리스더블체인지7베이직케어(4M)</v>
      </c>
      <c r="B866" s="17" t="s">
        <v>228</v>
      </c>
      <c r="C866" s="18" t="s">
        <v>491</v>
      </c>
      <c r="D866" s="19" t="s">
        <v>230</v>
      </c>
      <c r="E866" s="19">
        <v>7</v>
      </c>
      <c r="F866" s="19" t="s">
        <v>0</v>
      </c>
      <c r="G866" s="20" t="s">
        <v>608</v>
      </c>
      <c r="H866" s="36">
        <v>28900</v>
      </c>
      <c r="I866" s="36">
        <v>28900</v>
      </c>
      <c r="J866" s="25">
        <v>263700</v>
      </c>
    </row>
    <row r="867" spans="1:10" ht="16" x14ac:dyDescent="0.45">
      <c r="A867" s="153" t="str">
        <f>B867&amp;C867&amp;E867&amp;G867</f>
        <v>매트리스더블체인지9베이직케어(4M)</v>
      </c>
      <c r="B867" s="17" t="s">
        <v>228</v>
      </c>
      <c r="C867" s="18" t="s">
        <v>491</v>
      </c>
      <c r="D867" s="19" t="s">
        <v>230</v>
      </c>
      <c r="E867" s="19">
        <v>9</v>
      </c>
      <c r="F867" s="19" t="s">
        <v>0</v>
      </c>
      <c r="G867" s="20" t="s">
        <v>608</v>
      </c>
      <c r="H867" s="36">
        <v>24900</v>
      </c>
      <c r="I867" s="36">
        <v>24900</v>
      </c>
      <c r="J867" s="25">
        <v>263700</v>
      </c>
    </row>
    <row r="868" spans="1:10" ht="16" x14ac:dyDescent="0.45">
      <c r="A868" s="153" t="str">
        <f>B868&amp;C868&amp;E868&amp;G868</f>
        <v>매트리스더블체인지5서비스프리</v>
      </c>
      <c r="B868" s="17" t="s">
        <v>228</v>
      </c>
      <c r="C868" s="18" t="s">
        <v>491</v>
      </c>
      <c r="D868" s="19" t="s">
        <v>230</v>
      </c>
      <c r="E868" s="19">
        <v>5</v>
      </c>
      <c r="F868" s="19" t="s">
        <v>0</v>
      </c>
      <c r="G868" s="20" t="s">
        <v>183</v>
      </c>
      <c r="H868" s="36">
        <v>33900</v>
      </c>
      <c r="I868" s="36">
        <v>33900</v>
      </c>
      <c r="J868" s="25">
        <v>231100</v>
      </c>
    </row>
    <row r="869" spans="1:10" ht="16" x14ac:dyDescent="0.45">
      <c r="A869" s="153" t="str">
        <f>B869&amp;C869&amp;E869&amp;G869</f>
        <v>매트리스더블체인지7서비스프리</v>
      </c>
      <c r="B869" s="17" t="s">
        <v>228</v>
      </c>
      <c r="C869" s="18" t="s">
        <v>491</v>
      </c>
      <c r="D869" s="19" t="s">
        <v>230</v>
      </c>
      <c r="E869" s="19">
        <v>7</v>
      </c>
      <c r="F869" s="19" t="s">
        <v>0</v>
      </c>
      <c r="G869" s="20" t="s">
        <v>183</v>
      </c>
      <c r="H869" s="36">
        <v>26900</v>
      </c>
      <c r="I869" s="36">
        <v>26900</v>
      </c>
      <c r="J869" s="25">
        <v>254200</v>
      </c>
    </row>
    <row r="870" spans="1:10" ht="16" x14ac:dyDescent="0.45">
      <c r="A870" s="153" t="str">
        <f>B870&amp;C870&amp;E870&amp;G870</f>
        <v>매트리스더블체인지9서비스프리</v>
      </c>
      <c r="B870" s="17" t="s">
        <v>228</v>
      </c>
      <c r="C870" s="18" t="s">
        <v>491</v>
      </c>
      <c r="D870" s="19" t="s">
        <v>230</v>
      </c>
      <c r="E870" s="19">
        <v>9</v>
      </c>
      <c r="F870" s="19" t="s">
        <v>0</v>
      </c>
      <c r="G870" s="20" t="s">
        <v>183</v>
      </c>
      <c r="H870" s="36">
        <v>22900</v>
      </c>
      <c r="I870" s="36">
        <v>22900</v>
      </c>
      <c r="J870" s="25">
        <v>254200</v>
      </c>
    </row>
    <row r="871" spans="1:10" ht="16" x14ac:dyDescent="0.45">
      <c r="A871" s="153" t="str">
        <f>B871&amp;C871&amp;E871&amp;G871</f>
        <v>매트리스더블체인지51회서비스</v>
      </c>
      <c r="B871" s="17" t="s">
        <v>228</v>
      </c>
      <c r="C871" s="18" t="s">
        <v>491</v>
      </c>
      <c r="D871" s="19" t="s">
        <v>229</v>
      </c>
      <c r="E871" s="19">
        <v>5</v>
      </c>
      <c r="F871" s="19" t="s">
        <v>0</v>
      </c>
      <c r="G871" s="20" t="s">
        <v>457</v>
      </c>
      <c r="H871" s="36">
        <v>32900</v>
      </c>
      <c r="I871" s="36">
        <v>32900</v>
      </c>
      <c r="J871" s="25">
        <v>231100</v>
      </c>
    </row>
    <row r="872" spans="1:10" ht="16" x14ac:dyDescent="0.45">
      <c r="A872" s="153" t="str">
        <f>B872&amp;C872&amp;E872&amp;G872</f>
        <v>매트리스더블체인지71회서비스</v>
      </c>
      <c r="B872" s="17" t="s">
        <v>228</v>
      </c>
      <c r="C872" s="18" t="s">
        <v>491</v>
      </c>
      <c r="D872" s="19" t="s">
        <v>229</v>
      </c>
      <c r="E872" s="19">
        <v>7</v>
      </c>
      <c r="F872" s="19" t="s">
        <v>0</v>
      </c>
      <c r="G872" s="20" t="s">
        <v>457</v>
      </c>
      <c r="H872" s="36">
        <v>25900</v>
      </c>
      <c r="I872" s="36">
        <v>25900</v>
      </c>
      <c r="J872" s="25">
        <v>254200</v>
      </c>
    </row>
    <row r="873" spans="1:10" ht="16" x14ac:dyDescent="0.45">
      <c r="A873" s="153" t="str">
        <f>B873&amp;C873&amp;E873&amp;G873</f>
        <v>매트리스더블체인지91회서비스</v>
      </c>
      <c r="B873" s="17" t="s">
        <v>228</v>
      </c>
      <c r="C873" s="18" t="s">
        <v>491</v>
      </c>
      <c r="D873" s="19" t="s">
        <v>229</v>
      </c>
      <c r="E873" s="19">
        <v>9</v>
      </c>
      <c r="F873" s="19" t="s">
        <v>0</v>
      </c>
      <c r="G873" s="20" t="s">
        <v>457</v>
      </c>
      <c r="H873" s="36">
        <v>21900</v>
      </c>
      <c r="I873" s="36">
        <v>21900</v>
      </c>
      <c r="J873" s="25">
        <v>254200</v>
      </c>
    </row>
    <row r="874" spans="1:10" ht="16" x14ac:dyDescent="0.45">
      <c r="A874" s="153" t="str">
        <f>B874&amp;C874&amp;E874&amp;G874</f>
        <v>매트리스더블체인지54M(4개월점검주기)</v>
      </c>
      <c r="B874" s="17" t="s">
        <v>228</v>
      </c>
      <c r="C874" s="18" t="s">
        <v>491</v>
      </c>
      <c r="D874" s="19" t="s">
        <v>229</v>
      </c>
      <c r="E874" s="19">
        <v>5</v>
      </c>
      <c r="F874" s="19" t="s">
        <v>0</v>
      </c>
      <c r="G874" s="20" t="s">
        <v>453</v>
      </c>
      <c r="H874" s="36">
        <v>34900</v>
      </c>
      <c r="I874" s="36">
        <v>34900</v>
      </c>
      <c r="J874" s="25">
        <v>231100</v>
      </c>
    </row>
    <row r="875" spans="1:10" ht="16" x14ac:dyDescent="0.45">
      <c r="A875" s="153" t="str">
        <f>B875&amp;C875&amp;E875&amp;G875</f>
        <v>매트리스더블체인지64M(4개월점검주기)</v>
      </c>
      <c r="B875" s="17" t="s">
        <v>228</v>
      </c>
      <c r="C875" s="18" t="s">
        <v>491</v>
      </c>
      <c r="D875" s="19" t="s">
        <v>229</v>
      </c>
      <c r="E875" s="19">
        <v>6</v>
      </c>
      <c r="F875" s="19" t="s">
        <v>0</v>
      </c>
      <c r="G875" s="20" t="s">
        <v>453</v>
      </c>
      <c r="H875" s="36">
        <v>31900</v>
      </c>
      <c r="I875" s="36">
        <v>31900</v>
      </c>
      <c r="J875" s="25">
        <v>231100</v>
      </c>
    </row>
    <row r="876" spans="1:10" ht="16" x14ac:dyDescent="0.45">
      <c r="A876" s="153" t="str">
        <f>B876&amp;C876&amp;E876&amp;G876</f>
        <v>매트리스더블체인지74M(4개월점검주기)</v>
      </c>
      <c r="B876" s="17" t="s">
        <v>228</v>
      </c>
      <c r="C876" s="18" t="s">
        <v>491</v>
      </c>
      <c r="D876" s="19" t="s">
        <v>229</v>
      </c>
      <c r="E876" s="19">
        <v>7</v>
      </c>
      <c r="F876" s="19" t="s">
        <v>0</v>
      </c>
      <c r="G876" s="20" t="s">
        <v>453</v>
      </c>
      <c r="H876" s="36">
        <v>27900</v>
      </c>
      <c r="I876" s="36">
        <v>27900</v>
      </c>
      <c r="J876" s="25">
        <v>254200</v>
      </c>
    </row>
    <row r="877" spans="1:10" ht="16" x14ac:dyDescent="0.45">
      <c r="A877" s="153" t="str">
        <f>B877&amp;C877&amp;E877&amp;G877</f>
        <v>매트리스더블체인지94M(4개월점검주기)</v>
      </c>
      <c r="B877" s="17" t="s">
        <v>228</v>
      </c>
      <c r="C877" s="18" t="s">
        <v>491</v>
      </c>
      <c r="D877" s="19" t="s">
        <v>229</v>
      </c>
      <c r="E877" s="19">
        <v>9</v>
      </c>
      <c r="F877" s="19" t="s">
        <v>0</v>
      </c>
      <c r="G877" s="20" t="s">
        <v>453</v>
      </c>
      <c r="H877" s="36">
        <v>23900</v>
      </c>
      <c r="I877" s="36">
        <v>23900</v>
      </c>
      <c r="J877" s="25">
        <v>254200</v>
      </c>
    </row>
    <row r="878" spans="1:10" ht="16" x14ac:dyDescent="0.45">
      <c r="A878" s="153" t="str">
        <f>B878&amp;C878&amp;E878&amp;G878</f>
        <v>매트리스더블체인지5베이직케어(4M)</v>
      </c>
      <c r="B878" s="17" t="s">
        <v>228</v>
      </c>
      <c r="C878" s="18" t="s">
        <v>491</v>
      </c>
      <c r="D878" s="19" t="s">
        <v>229</v>
      </c>
      <c r="E878" s="19">
        <v>5</v>
      </c>
      <c r="F878" s="19" t="s">
        <v>0</v>
      </c>
      <c r="G878" s="20" t="s">
        <v>608</v>
      </c>
      <c r="H878" s="36">
        <v>29900</v>
      </c>
      <c r="I878" s="36">
        <v>29900</v>
      </c>
      <c r="J878" s="25">
        <v>208600</v>
      </c>
    </row>
    <row r="879" spans="1:10" ht="16" x14ac:dyDescent="0.45">
      <c r="A879" s="153" t="str">
        <f>B879&amp;C879&amp;E879&amp;G879</f>
        <v>매트리스더블체인지7베이직케어(4M)</v>
      </c>
      <c r="B879" s="17" t="s">
        <v>228</v>
      </c>
      <c r="C879" s="18" t="s">
        <v>491</v>
      </c>
      <c r="D879" s="19" t="s">
        <v>229</v>
      </c>
      <c r="E879" s="19">
        <v>7</v>
      </c>
      <c r="F879" s="19" t="s">
        <v>0</v>
      </c>
      <c r="G879" s="20" t="s">
        <v>608</v>
      </c>
      <c r="H879" s="36">
        <v>22900</v>
      </c>
      <c r="I879" s="36">
        <v>22900</v>
      </c>
      <c r="J879" s="25">
        <v>229500</v>
      </c>
    </row>
    <row r="880" spans="1:10" ht="16" x14ac:dyDescent="0.45">
      <c r="A880" s="153" t="str">
        <f>B880&amp;C880&amp;E880&amp;G880</f>
        <v>매트리스더블체인지9베이직케어(4M)</v>
      </c>
      <c r="B880" s="17" t="s">
        <v>228</v>
      </c>
      <c r="C880" s="18" t="s">
        <v>491</v>
      </c>
      <c r="D880" s="19" t="s">
        <v>229</v>
      </c>
      <c r="E880" s="19">
        <v>9</v>
      </c>
      <c r="F880" s="19" t="s">
        <v>0</v>
      </c>
      <c r="G880" s="20" t="s">
        <v>608</v>
      </c>
      <c r="H880" s="36">
        <v>18900</v>
      </c>
      <c r="I880" s="36">
        <v>18900</v>
      </c>
      <c r="J880" s="25">
        <v>229500</v>
      </c>
    </row>
    <row r="881" spans="1:10" ht="16" x14ac:dyDescent="0.45">
      <c r="A881" s="153" t="str">
        <f>B881&amp;C881&amp;E881&amp;G881</f>
        <v>매트리스더블체인지5서비스프리</v>
      </c>
      <c r="B881" s="17" t="s">
        <v>228</v>
      </c>
      <c r="C881" s="18" t="s">
        <v>491</v>
      </c>
      <c r="D881" s="19" t="s">
        <v>229</v>
      </c>
      <c r="E881" s="19">
        <v>5</v>
      </c>
      <c r="F881" s="19" t="s">
        <v>0</v>
      </c>
      <c r="G881" s="20" t="s">
        <v>183</v>
      </c>
      <c r="H881" s="36">
        <v>27900</v>
      </c>
      <c r="I881" s="36">
        <v>27900</v>
      </c>
      <c r="J881" s="25">
        <v>208600</v>
      </c>
    </row>
    <row r="882" spans="1:10" ht="16" x14ac:dyDescent="0.45">
      <c r="A882" s="153" t="str">
        <f>B882&amp;C882&amp;E882&amp;G882</f>
        <v>매트리스더블체인지7서비스프리</v>
      </c>
      <c r="B882" s="17" t="s">
        <v>228</v>
      </c>
      <c r="C882" s="18" t="s">
        <v>491</v>
      </c>
      <c r="D882" s="19" t="s">
        <v>229</v>
      </c>
      <c r="E882" s="19">
        <v>7</v>
      </c>
      <c r="F882" s="19" t="s">
        <v>0</v>
      </c>
      <c r="G882" s="20" t="s">
        <v>183</v>
      </c>
      <c r="H882" s="36">
        <v>20900</v>
      </c>
      <c r="I882" s="36">
        <v>20900</v>
      </c>
      <c r="J882" s="25">
        <v>229500</v>
      </c>
    </row>
    <row r="883" spans="1:10" ht="16" x14ac:dyDescent="0.45">
      <c r="A883" s="153" t="str">
        <f>B883&amp;C883&amp;E883&amp;G883</f>
        <v>매트리스더블체인지9서비스프리</v>
      </c>
      <c r="B883" s="17" t="s">
        <v>228</v>
      </c>
      <c r="C883" s="18" t="s">
        <v>491</v>
      </c>
      <c r="D883" s="19" t="s">
        <v>229</v>
      </c>
      <c r="E883" s="19">
        <v>9</v>
      </c>
      <c r="F883" s="19" t="s">
        <v>0</v>
      </c>
      <c r="G883" s="20" t="s">
        <v>183</v>
      </c>
      <c r="H883" s="36">
        <v>16900</v>
      </c>
      <c r="I883" s="36">
        <v>16900</v>
      </c>
      <c r="J883" s="25">
        <v>229500</v>
      </c>
    </row>
    <row r="884" spans="1:10" ht="16" x14ac:dyDescent="0.45">
      <c r="A884" s="153" t="str">
        <f>B884&amp;C884&amp;E884&amp;G884</f>
        <v>매트리스루네어51회서비스</v>
      </c>
      <c r="B884" s="17" t="s">
        <v>985</v>
      </c>
      <c r="C884" s="18" t="s">
        <v>986</v>
      </c>
      <c r="D884" s="19" t="s">
        <v>988</v>
      </c>
      <c r="E884" s="19">
        <v>5</v>
      </c>
      <c r="F884" s="19" t="s">
        <v>0</v>
      </c>
      <c r="G884" s="20" t="s">
        <v>457</v>
      </c>
      <c r="H884" s="36">
        <v>48900</v>
      </c>
      <c r="I884" s="36">
        <v>43900</v>
      </c>
      <c r="J884" s="25">
        <v>262200</v>
      </c>
    </row>
    <row r="885" spans="1:10" ht="16" x14ac:dyDescent="0.45">
      <c r="A885" s="153" t="str">
        <f>B885&amp;C885&amp;E885&amp;G885</f>
        <v>매트리스루네어71회서비스</v>
      </c>
      <c r="B885" s="17" t="s">
        <v>985</v>
      </c>
      <c r="C885" s="18" t="s">
        <v>986</v>
      </c>
      <c r="D885" s="19" t="s">
        <v>988</v>
      </c>
      <c r="E885" s="19">
        <v>7</v>
      </c>
      <c r="F885" s="19" t="s">
        <v>0</v>
      </c>
      <c r="G885" s="20" t="s">
        <v>457</v>
      </c>
      <c r="H885" s="36">
        <v>39900</v>
      </c>
      <c r="I885" s="36">
        <v>34900</v>
      </c>
      <c r="J885" s="25">
        <v>288400</v>
      </c>
    </row>
    <row r="886" spans="1:10" ht="16" x14ac:dyDescent="0.45">
      <c r="A886" s="153" t="str">
        <f>B886&amp;C886&amp;E886&amp;G886</f>
        <v>매트리스루네어91회서비스</v>
      </c>
      <c r="B886" s="17" t="s">
        <v>985</v>
      </c>
      <c r="C886" s="18" t="s">
        <v>986</v>
      </c>
      <c r="D886" s="19" t="s">
        <v>988</v>
      </c>
      <c r="E886" s="19">
        <v>9</v>
      </c>
      <c r="F886" s="19" t="s">
        <v>0</v>
      </c>
      <c r="G886" s="20" t="s">
        <v>457</v>
      </c>
      <c r="H886" s="36">
        <v>35900</v>
      </c>
      <c r="I886" s="36">
        <v>30900</v>
      </c>
      <c r="J886" s="25">
        <v>288400</v>
      </c>
    </row>
    <row r="887" spans="1:10" ht="16" x14ac:dyDescent="0.45">
      <c r="A887" s="153" t="str">
        <f>B887&amp;C887&amp;E887&amp;G887</f>
        <v>매트리스루네어54M(4개월점검주기)</v>
      </c>
      <c r="B887" s="17" t="s">
        <v>985</v>
      </c>
      <c r="C887" s="18" t="s">
        <v>986</v>
      </c>
      <c r="D887" s="19" t="s">
        <v>988</v>
      </c>
      <c r="E887" s="19">
        <v>5</v>
      </c>
      <c r="F887" s="19" t="s">
        <v>0</v>
      </c>
      <c r="G887" s="20" t="s">
        <v>453</v>
      </c>
      <c r="H887" s="36">
        <v>50900</v>
      </c>
      <c r="I887" s="36">
        <v>45900</v>
      </c>
      <c r="J887" s="25">
        <v>273400</v>
      </c>
    </row>
    <row r="888" spans="1:10" ht="16" x14ac:dyDescent="0.45">
      <c r="A888" s="153" t="str">
        <f>B888&amp;C888&amp;E888&amp;G888</f>
        <v>매트리스루네어74M(4개월점검주기)</v>
      </c>
      <c r="B888" s="17" t="s">
        <v>985</v>
      </c>
      <c r="C888" s="18" t="s">
        <v>986</v>
      </c>
      <c r="D888" s="19" t="s">
        <v>988</v>
      </c>
      <c r="E888" s="19">
        <v>7</v>
      </c>
      <c r="F888" s="19" t="s">
        <v>0</v>
      </c>
      <c r="G888" s="20" t="s">
        <v>453</v>
      </c>
      <c r="H888" s="36">
        <v>41900</v>
      </c>
      <c r="I888" s="36">
        <v>36900</v>
      </c>
      <c r="J888" s="25">
        <v>300700</v>
      </c>
    </row>
    <row r="889" spans="1:10" ht="16" x14ac:dyDescent="0.45">
      <c r="A889" s="153" t="str">
        <f>B889&amp;C889&amp;E889&amp;G889</f>
        <v>매트리스루네어94M(4개월점검주기)</v>
      </c>
      <c r="B889" s="17" t="s">
        <v>985</v>
      </c>
      <c r="C889" s="18" t="s">
        <v>986</v>
      </c>
      <c r="D889" s="19" t="s">
        <v>988</v>
      </c>
      <c r="E889" s="19">
        <v>9</v>
      </c>
      <c r="F889" s="19" t="s">
        <v>0</v>
      </c>
      <c r="G889" s="20" t="s">
        <v>453</v>
      </c>
      <c r="H889" s="36">
        <v>37900</v>
      </c>
      <c r="I889" s="36">
        <v>32900</v>
      </c>
      <c r="J889" s="25">
        <v>300700</v>
      </c>
    </row>
    <row r="890" spans="1:10" ht="16" x14ac:dyDescent="0.45">
      <c r="A890" s="153" t="str">
        <f>B890&amp;C890&amp;E890&amp;G890</f>
        <v>매트리스루네어5베이직케어(4M)</v>
      </c>
      <c r="B890" s="17" t="s">
        <v>985</v>
      </c>
      <c r="C890" s="18" t="s">
        <v>986</v>
      </c>
      <c r="D890" s="19" t="s">
        <v>988</v>
      </c>
      <c r="E890" s="19">
        <v>5</v>
      </c>
      <c r="F890" s="19" t="s">
        <v>0</v>
      </c>
      <c r="G890" s="20" t="s">
        <v>608</v>
      </c>
      <c r="H890" s="36">
        <v>46900</v>
      </c>
      <c r="I890" s="36">
        <v>41900</v>
      </c>
      <c r="J890" s="25">
        <v>251000</v>
      </c>
    </row>
    <row r="891" spans="1:10" ht="16" x14ac:dyDescent="0.45">
      <c r="A891" s="153" t="str">
        <f>B891&amp;C891&amp;E891&amp;G891</f>
        <v>매트리스루네어7베이직케어(4M)</v>
      </c>
      <c r="B891" s="17" t="s">
        <v>985</v>
      </c>
      <c r="C891" s="18" t="s">
        <v>986</v>
      </c>
      <c r="D891" s="19" t="s">
        <v>988</v>
      </c>
      <c r="E891" s="19">
        <v>7</v>
      </c>
      <c r="F891" s="19" t="s">
        <v>0</v>
      </c>
      <c r="G891" s="20" t="s">
        <v>608</v>
      </c>
      <c r="H891" s="36">
        <v>37900</v>
      </c>
      <c r="I891" s="36">
        <v>32900</v>
      </c>
      <c r="J891" s="25">
        <v>276100</v>
      </c>
    </row>
    <row r="892" spans="1:10" ht="16" x14ac:dyDescent="0.45">
      <c r="A892" s="153" t="str">
        <f>B892&amp;C892&amp;E892&amp;G892</f>
        <v>매트리스루네어9베이직케어(4M)</v>
      </c>
      <c r="B892" s="17" t="s">
        <v>985</v>
      </c>
      <c r="C892" s="18" t="s">
        <v>986</v>
      </c>
      <c r="D892" s="19" t="s">
        <v>988</v>
      </c>
      <c r="E892" s="19">
        <v>9</v>
      </c>
      <c r="F892" s="19" t="s">
        <v>0</v>
      </c>
      <c r="G892" s="20" t="s">
        <v>608</v>
      </c>
      <c r="H892" s="36">
        <v>33900</v>
      </c>
      <c r="I892" s="36">
        <v>28900</v>
      </c>
      <c r="J892" s="25">
        <v>276100</v>
      </c>
    </row>
    <row r="893" spans="1:10" ht="16" x14ac:dyDescent="0.45">
      <c r="A893" s="153" t="str">
        <f>B893&amp;C893&amp;E893&amp;G893</f>
        <v>매트리스루네어5서비스프리</v>
      </c>
      <c r="B893" s="17" t="s">
        <v>985</v>
      </c>
      <c r="C893" s="18" t="s">
        <v>986</v>
      </c>
      <c r="D893" s="19" t="s">
        <v>988</v>
      </c>
      <c r="E893" s="19">
        <v>5</v>
      </c>
      <c r="F893" s="19" t="s">
        <v>0</v>
      </c>
      <c r="G893" s="20" t="s">
        <v>183</v>
      </c>
      <c r="H893" s="36">
        <v>44900</v>
      </c>
      <c r="I893" s="36">
        <v>39900</v>
      </c>
      <c r="J893" s="25">
        <v>251000</v>
      </c>
    </row>
    <row r="894" spans="1:10" ht="16" x14ac:dyDescent="0.45">
      <c r="A894" s="153" t="str">
        <f>B894&amp;C894&amp;E894&amp;G894</f>
        <v>매트리스루네어7서비스프리</v>
      </c>
      <c r="B894" s="17" t="s">
        <v>985</v>
      </c>
      <c r="C894" s="18" t="s">
        <v>986</v>
      </c>
      <c r="D894" s="19" t="s">
        <v>988</v>
      </c>
      <c r="E894" s="19">
        <v>7</v>
      </c>
      <c r="F894" s="19" t="s">
        <v>0</v>
      </c>
      <c r="G894" s="20" t="s">
        <v>183</v>
      </c>
      <c r="H894" s="36">
        <v>35900</v>
      </c>
      <c r="I894" s="36">
        <v>30900</v>
      </c>
      <c r="J894" s="25">
        <v>276100</v>
      </c>
    </row>
    <row r="895" spans="1:10" ht="16" x14ac:dyDescent="0.45">
      <c r="A895" s="153" t="str">
        <f>B895&amp;C895&amp;E895&amp;G895</f>
        <v>매트리스루네어9서비스프리</v>
      </c>
      <c r="B895" s="17" t="s">
        <v>985</v>
      </c>
      <c r="C895" s="18" t="s">
        <v>986</v>
      </c>
      <c r="D895" s="19" t="s">
        <v>988</v>
      </c>
      <c r="E895" s="19">
        <v>9</v>
      </c>
      <c r="F895" s="19" t="s">
        <v>0</v>
      </c>
      <c r="G895" s="20" t="s">
        <v>183</v>
      </c>
      <c r="H895" s="36">
        <v>31900</v>
      </c>
      <c r="I895" s="36">
        <v>26900</v>
      </c>
      <c r="J895" s="25">
        <v>276100</v>
      </c>
    </row>
    <row r="896" spans="1:10" ht="16" x14ac:dyDescent="0.45">
      <c r="A896" s="153" t="str">
        <f>B896&amp;C896&amp;E896&amp;G896</f>
        <v>매트리스루네어51회서비스</v>
      </c>
      <c r="B896" s="17" t="s">
        <v>985</v>
      </c>
      <c r="C896" s="18" t="s">
        <v>986</v>
      </c>
      <c r="D896" s="19" t="s">
        <v>987</v>
      </c>
      <c r="E896" s="19">
        <v>5</v>
      </c>
      <c r="F896" s="19" t="s">
        <v>0</v>
      </c>
      <c r="G896" s="20" t="s">
        <v>457</v>
      </c>
      <c r="H896" s="36">
        <v>56900</v>
      </c>
      <c r="I896" s="36">
        <v>51900</v>
      </c>
      <c r="J896" s="25">
        <v>273400</v>
      </c>
    </row>
    <row r="897" spans="1:10" ht="16" x14ac:dyDescent="0.45">
      <c r="A897" s="153" t="str">
        <f>B897&amp;C897&amp;E897&amp;G897</f>
        <v>매트리스루네어71회서비스</v>
      </c>
      <c r="B897" s="17" t="s">
        <v>985</v>
      </c>
      <c r="C897" s="18" t="s">
        <v>986</v>
      </c>
      <c r="D897" s="19" t="s">
        <v>987</v>
      </c>
      <c r="E897" s="19">
        <v>7</v>
      </c>
      <c r="F897" s="19" t="s">
        <v>0</v>
      </c>
      <c r="G897" s="20" t="s">
        <v>457</v>
      </c>
      <c r="H897" s="36">
        <v>44900</v>
      </c>
      <c r="I897" s="36">
        <v>39900</v>
      </c>
      <c r="J897" s="25">
        <v>300700</v>
      </c>
    </row>
    <row r="898" spans="1:10" ht="16" x14ac:dyDescent="0.45">
      <c r="A898" s="153" t="str">
        <f>B898&amp;C898&amp;E898&amp;G898</f>
        <v>매트리스루네어91회서비스</v>
      </c>
      <c r="B898" s="17" t="s">
        <v>985</v>
      </c>
      <c r="C898" s="18" t="s">
        <v>986</v>
      </c>
      <c r="D898" s="19" t="s">
        <v>987</v>
      </c>
      <c r="E898" s="19">
        <v>9</v>
      </c>
      <c r="F898" s="19" t="s">
        <v>0</v>
      </c>
      <c r="G898" s="20" t="s">
        <v>457</v>
      </c>
      <c r="H898" s="36">
        <v>40900</v>
      </c>
      <c r="I898" s="36">
        <v>35900</v>
      </c>
      <c r="J898" s="25">
        <v>300700</v>
      </c>
    </row>
    <row r="899" spans="1:10" ht="16" x14ac:dyDescent="0.45">
      <c r="A899" s="153" t="str">
        <f>B899&amp;C899&amp;E899&amp;G899</f>
        <v>매트리스루네어54M(4개월점검주기)</v>
      </c>
      <c r="B899" s="17" t="s">
        <v>985</v>
      </c>
      <c r="C899" s="18" t="s">
        <v>986</v>
      </c>
      <c r="D899" s="19" t="s">
        <v>987</v>
      </c>
      <c r="E899" s="19">
        <v>5</v>
      </c>
      <c r="F899" s="19" t="s">
        <v>0</v>
      </c>
      <c r="G899" s="20" t="s">
        <v>453</v>
      </c>
      <c r="H899" s="36">
        <v>58900</v>
      </c>
      <c r="I899" s="36">
        <v>53900</v>
      </c>
      <c r="J899" s="25">
        <v>284700</v>
      </c>
    </row>
    <row r="900" spans="1:10" ht="16" x14ac:dyDescent="0.45">
      <c r="A900" s="153" t="str">
        <f>B900&amp;C900&amp;E900&amp;G900</f>
        <v>매트리스루네어74M(4개월점검주기)</v>
      </c>
      <c r="B900" s="17" t="s">
        <v>985</v>
      </c>
      <c r="C900" s="18" t="s">
        <v>986</v>
      </c>
      <c r="D900" s="19" t="s">
        <v>987</v>
      </c>
      <c r="E900" s="19">
        <v>7</v>
      </c>
      <c r="F900" s="19" t="s">
        <v>0</v>
      </c>
      <c r="G900" s="20" t="s">
        <v>453</v>
      </c>
      <c r="H900" s="36">
        <v>46900</v>
      </c>
      <c r="I900" s="36">
        <v>41900</v>
      </c>
      <c r="J900" s="25">
        <v>313200</v>
      </c>
    </row>
    <row r="901" spans="1:10" ht="16" x14ac:dyDescent="0.45">
      <c r="A901" s="153" t="str">
        <f>B901&amp;C901&amp;E901&amp;G901</f>
        <v>매트리스루네어94M(4개월점검주기)</v>
      </c>
      <c r="B901" s="17" t="s">
        <v>985</v>
      </c>
      <c r="C901" s="18" t="s">
        <v>986</v>
      </c>
      <c r="D901" s="19" t="s">
        <v>987</v>
      </c>
      <c r="E901" s="19">
        <v>9</v>
      </c>
      <c r="F901" s="19" t="s">
        <v>0</v>
      </c>
      <c r="G901" s="20" t="s">
        <v>453</v>
      </c>
      <c r="H901" s="36">
        <v>42900</v>
      </c>
      <c r="I901" s="36">
        <v>37900</v>
      </c>
      <c r="J901" s="25">
        <v>313200</v>
      </c>
    </row>
    <row r="902" spans="1:10" ht="16" x14ac:dyDescent="0.45">
      <c r="A902" s="153" t="str">
        <f>B902&amp;C902&amp;E902&amp;G902</f>
        <v>매트리스루네어5베이직케어(4M)</v>
      </c>
      <c r="B902" s="17" t="s">
        <v>985</v>
      </c>
      <c r="C902" s="18" t="s">
        <v>986</v>
      </c>
      <c r="D902" s="19" t="s">
        <v>987</v>
      </c>
      <c r="E902" s="19">
        <v>5</v>
      </c>
      <c r="F902" s="19" t="s">
        <v>0</v>
      </c>
      <c r="G902" s="20" t="s">
        <v>608</v>
      </c>
      <c r="H902" s="36">
        <v>54900</v>
      </c>
      <c r="I902" s="36">
        <v>49900</v>
      </c>
      <c r="J902" s="25">
        <v>273400</v>
      </c>
    </row>
    <row r="903" spans="1:10" ht="16" x14ac:dyDescent="0.45">
      <c r="A903" s="153" t="str">
        <f>B903&amp;C903&amp;E903&amp;G903</f>
        <v>매트리스루네어7베이직케어(4M)</v>
      </c>
      <c r="B903" s="17" t="s">
        <v>985</v>
      </c>
      <c r="C903" s="18" t="s">
        <v>986</v>
      </c>
      <c r="D903" s="19" t="s">
        <v>987</v>
      </c>
      <c r="E903" s="19">
        <v>7</v>
      </c>
      <c r="F903" s="19" t="s">
        <v>0</v>
      </c>
      <c r="G903" s="20" t="s">
        <v>608</v>
      </c>
      <c r="H903" s="36">
        <v>42900</v>
      </c>
      <c r="I903" s="36">
        <v>37900</v>
      </c>
      <c r="J903" s="25">
        <v>300700</v>
      </c>
    </row>
    <row r="904" spans="1:10" ht="16" x14ac:dyDescent="0.45">
      <c r="A904" s="153" t="str">
        <f>B904&amp;C904&amp;E904&amp;G904</f>
        <v>매트리스루네어9베이직케어(4M)</v>
      </c>
      <c r="B904" s="17" t="s">
        <v>985</v>
      </c>
      <c r="C904" s="18" t="s">
        <v>986</v>
      </c>
      <c r="D904" s="19" t="s">
        <v>987</v>
      </c>
      <c r="E904" s="19">
        <v>9</v>
      </c>
      <c r="F904" s="19" t="s">
        <v>0</v>
      </c>
      <c r="G904" s="20" t="s">
        <v>608</v>
      </c>
      <c r="H904" s="36">
        <v>38900</v>
      </c>
      <c r="I904" s="36">
        <v>33900</v>
      </c>
      <c r="J904" s="25">
        <v>300700</v>
      </c>
    </row>
    <row r="905" spans="1:10" ht="16" x14ac:dyDescent="0.45">
      <c r="A905" s="153" t="str">
        <f>B905&amp;C905&amp;E905&amp;G905</f>
        <v>매트리스루네어5서비스프리</v>
      </c>
      <c r="B905" s="17" t="s">
        <v>985</v>
      </c>
      <c r="C905" s="18" t="s">
        <v>986</v>
      </c>
      <c r="D905" s="19" t="s">
        <v>987</v>
      </c>
      <c r="E905" s="19">
        <v>5</v>
      </c>
      <c r="F905" s="19" t="s">
        <v>0</v>
      </c>
      <c r="G905" s="20" t="s">
        <v>183</v>
      </c>
      <c r="H905" s="36">
        <v>52900</v>
      </c>
      <c r="I905" s="36">
        <v>47900</v>
      </c>
      <c r="J905" s="25">
        <v>273400</v>
      </c>
    </row>
    <row r="906" spans="1:10" ht="16" x14ac:dyDescent="0.45">
      <c r="A906" s="153" t="str">
        <f>B906&amp;C906&amp;E906&amp;G906</f>
        <v>매트리스루네어7서비스프리</v>
      </c>
      <c r="B906" s="17" t="s">
        <v>985</v>
      </c>
      <c r="C906" s="18" t="s">
        <v>986</v>
      </c>
      <c r="D906" s="19" t="s">
        <v>987</v>
      </c>
      <c r="E906" s="19">
        <v>7</v>
      </c>
      <c r="F906" s="19" t="s">
        <v>0</v>
      </c>
      <c r="G906" s="20" t="s">
        <v>183</v>
      </c>
      <c r="H906" s="36">
        <v>40900</v>
      </c>
      <c r="I906" s="36">
        <v>35900</v>
      </c>
      <c r="J906" s="25">
        <v>300700</v>
      </c>
    </row>
    <row r="907" spans="1:10" ht="16" x14ac:dyDescent="0.45">
      <c r="A907" s="153" t="str">
        <f>B907&amp;C907&amp;E907&amp;G907</f>
        <v>매트리스루네어9서비스프리</v>
      </c>
      <c r="B907" s="17" t="s">
        <v>985</v>
      </c>
      <c r="C907" s="18" t="s">
        <v>986</v>
      </c>
      <c r="D907" s="19" t="s">
        <v>987</v>
      </c>
      <c r="E907" s="19">
        <v>9</v>
      </c>
      <c r="F907" s="19" t="s">
        <v>0</v>
      </c>
      <c r="G907" s="20" t="s">
        <v>183</v>
      </c>
      <c r="H907" s="36">
        <v>36900</v>
      </c>
      <c r="I907" s="36">
        <v>31900</v>
      </c>
      <c r="J907" s="25">
        <v>300700</v>
      </c>
    </row>
    <row r="908" spans="1:10" ht="16" x14ac:dyDescent="0.45">
      <c r="A908" s="153" t="str">
        <f>B908&amp;C908&amp;E908&amp;G908</f>
        <v>매트리스루네어51회서비스</v>
      </c>
      <c r="B908" s="17" t="s">
        <v>985</v>
      </c>
      <c r="C908" s="18" t="s">
        <v>986</v>
      </c>
      <c r="D908" s="19" t="s">
        <v>989</v>
      </c>
      <c r="E908" s="19">
        <v>5</v>
      </c>
      <c r="F908" s="19" t="s">
        <v>0</v>
      </c>
      <c r="G908" s="20" t="s">
        <v>457</v>
      </c>
      <c r="H908" s="36">
        <v>43900</v>
      </c>
      <c r="I908" s="36">
        <v>38900</v>
      </c>
      <c r="J908" s="25">
        <v>251000</v>
      </c>
    </row>
    <row r="909" spans="1:10" ht="16" x14ac:dyDescent="0.45">
      <c r="A909" s="153" t="str">
        <f>B909&amp;C909&amp;E909&amp;G909</f>
        <v>매트리스루네어71회서비스</v>
      </c>
      <c r="B909" s="17" t="s">
        <v>985</v>
      </c>
      <c r="C909" s="18" t="s">
        <v>986</v>
      </c>
      <c r="D909" s="19" t="s">
        <v>989</v>
      </c>
      <c r="E909" s="19">
        <v>7</v>
      </c>
      <c r="F909" s="19" t="s">
        <v>0</v>
      </c>
      <c r="G909" s="20" t="s">
        <v>457</v>
      </c>
      <c r="H909" s="36">
        <v>35900</v>
      </c>
      <c r="I909" s="36">
        <v>30900</v>
      </c>
      <c r="J909" s="25">
        <v>276100</v>
      </c>
    </row>
    <row r="910" spans="1:10" ht="16" x14ac:dyDescent="0.45">
      <c r="A910" s="153" t="str">
        <f>B910&amp;C910&amp;E910&amp;G910</f>
        <v>매트리스루네어91회서비스</v>
      </c>
      <c r="B910" s="17" t="s">
        <v>985</v>
      </c>
      <c r="C910" s="18" t="s">
        <v>986</v>
      </c>
      <c r="D910" s="19" t="s">
        <v>989</v>
      </c>
      <c r="E910" s="19">
        <v>9</v>
      </c>
      <c r="F910" s="19" t="s">
        <v>0</v>
      </c>
      <c r="G910" s="20" t="s">
        <v>457</v>
      </c>
      <c r="H910" s="36">
        <v>31900</v>
      </c>
      <c r="I910" s="36">
        <v>26900</v>
      </c>
      <c r="J910" s="25">
        <v>276100</v>
      </c>
    </row>
    <row r="911" spans="1:10" ht="16" x14ac:dyDescent="0.45">
      <c r="A911" s="153" t="str">
        <f>B911&amp;C911&amp;E911&amp;G911</f>
        <v>매트리스루네어54M(4개월점검주기)</v>
      </c>
      <c r="B911" s="17" t="s">
        <v>985</v>
      </c>
      <c r="C911" s="18" t="s">
        <v>986</v>
      </c>
      <c r="D911" s="19" t="s">
        <v>989</v>
      </c>
      <c r="E911" s="19">
        <v>5</v>
      </c>
      <c r="F911" s="19" t="s">
        <v>0</v>
      </c>
      <c r="G911" s="20" t="s">
        <v>453</v>
      </c>
      <c r="H911" s="36">
        <v>45900</v>
      </c>
      <c r="I911" s="36">
        <v>40900</v>
      </c>
      <c r="J911" s="25">
        <v>251000</v>
      </c>
    </row>
    <row r="912" spans="1:10" ht="16" x14ac:dyDescent="0.45">
      <c r="A912" s="153" t="str">
        <f>B912&amp;C912&amp;E912&amp;G912</f>
        <v>매트리스루네어74M(4개월점검주기)</v>
      </c>
      <c r="B912" s="17" t="s">
        <v>985</v>
      </c>
      <c r="C912" s="18" t="s">
        <v>986</v>
      </c>
      <c r="D912" s="19" t="s">
        <v>989</v>
      </c>
      <c r="E912" s="19">
        <v>7</v>
      </c>
      <c r="F912" s="19" t="s">
        <v>0</v>
      </c>
      <c r="G912" s="20" t="s">
        <v>453</v>
      </c>
      <c r="H912" s="36">
        <v>37900</v>
      </c>
      <c r="I912" s="36">
        <v>32900</v>
      </c>
      <c r="J912" s="25">
        <v>276100</v>
      </c>
    </row>
    <row r="913" spans="1:10" ht="16" x14ac:dyDescent="0.45">
      <c r="A913" s="153" t="str">
        <f>B913&amp;C913&amp;E913&amp;G913</f>
        <v>매트리스루네어94M(4개월점검주기)</v>
      </c>
      <c r="B913" s="17" t="s">
        <v>985</v>
      </c>
      <c r="C913" s="18" t="s">
        <v>986</v>
      </c>
      <c r="D913" s="19" t="s">
        <v>989</v>
      </c>
      <c r="E913" s="19">
        <v>9</v>
      </c>
      <c r="F913" s="19" t="s">
        <v>0</v>
      </c>
      <c r="G913" s="20" t="s">
        <v>453</v>
      </c>
      <c r="H913" s="36">
        <v>33900</v>
      </c>
      <c r="I913" s="36">
        <v>28900</v>
      </c>
      <c r="J913" s="25">
        <v>276100</v>
      </c>
    </row>
    <row r="914" spans="1:10" ht="16" x14ac:dyDescent="0.45">
      <c r="A914" s="153" t="str">
        <f>B914&amp;C914&amp;E914&amp;G914</f>
        <v>매트리스루네어5베이직케어(4M)</v>
      </c>
      <c r="B914" s="17" t="s">
        <v>985</v>
      </c>
      <c r="C914" s="18" t="s">
        <v>986</v>
      </c>
      <c r="D914" s="19" t="s">
        <v>989</v>
      </c>
      <c r="E914" s="19">
        <v>5</v>
      </c>
      <c r="F914" s="19" t="s">
        <v>0</v>
      </c>
      <c r="G914" s="20" t="s">
        <v>608</v>
      </c>
      <c r="H914" s="36">
        <v>41900</v>
      </c>
      <c r="I914" s="36">
        <v>36900</v>
      </c>
      <c r="J914" s="25">
        <v>239700</v>
      </c>
    </row>
    <row r="915" spans="1:10" ht="16" x14ac:dyDescent="0.45">
      <c r="A915" s="153" t="str">
        <f>B915&amp;C915&amp;E915&amp;G915</f>
        <v>매트리스루네어7베이직케어(4M)</v>
      </c>
      <c r="B915" s="17" t="s">
        <v>985</v>
      </c>
      <c r="C915" s="18" t="s">
        <v>986</v>
      </c>
      <c r="D915" s="19" t="s">
        <v>989</v>
      </c>
      <c r="E915" s="19">
        <v>7</v>
      </c>
      <c r="F915" s="19" t="s">
        <v>0</v>
      </c>
      <c r="G915" s="20" t="s">
        <v>608</v>
      </c>
      <c r="H915" s="36">
        <v>33900</v>
      </c>
      <c r="I915" s="36">
        <v>28900</v>
      </c>
      <c r="J915" s="25">
        <v>263700</v>
      </c>
    </row>
    <row r="916" spans="1:10" ht="16" x14ac:dyDescent="0.45">
      <c r="A916" s="153" t="str">
        <f>B916&amp;C916&amp;E916&amp;G916</f>
        <v>매트리스루네어9베이직케어(4M)</v>
      </c>
      <c r="B916" s="17" t="s">
        <v>985</v>
      </c>
      <c r="C916" s="18" t="s">
        <v>986</v>
      </c>
      <c r="D916" s="19" t="s">
        <v>989</v>
      </c>
      <c r="E916" s="19">
        <v>9</v>
      </c>
      <c r="F916" s="19" t="s">
        <v>0</v>
      </c>
      <c r="G916" s="20" t="s">
        <v>608</v>
      </c>
      <c r="H916" s="36">
        <v>29900</v>
      </c>
      <c r="I916" s="36">
        <v>24900</v>
      </c>
      <c r="J916" s="25">
        <v>263700</v>
      </c>
    </row>
    <row r="917" spans="1:10" ht="16" x14ac:dyDescent="0.45">
      <c r="A917" s="153" t="str">
        <f>B917&amp;C917&amp;E917&amp;G917</f>
        <v>매트리스루네어5서비스프리</v>
      </c>
      <c r="B917" s="17" t="s">
        <v>985</v>
      </c>
      <c r="C917" s="18" t="s">
        <v>986</v>
      </c>
      <c r="D917" s="19" t="s">
        <v>989</v>
      </c>
      <c r="E917" s="19">
        <v>5</v>
      </c>
      <c r="F917" s="19" t="s">
        <v>0</v>
      </c>
      <c r="G917" s="20" t="s">
        <v>183</v>
      </c>
      <c r="H917" s="36">
        <v>39900</v>
      </c>
      <c r="I917" s="36">
        <v>34900</v>
      </c>
      <c r="J917" s="25">
        <v>231100</v>
      </c>
    </row>
    <row r="918" spans="1:10" ht="16" x14ac:dyDescent="0.45">
      <c r="A918" s="153" t="str">
        <f>B918&amp;C918&amp;E918&amp;G918</f>
        <v>매트리스루네어7서비스프리</v>
      </c>
      <c r="B918" s="17" t="s">
        <v>985</v>
      </c>
      <c r="C918" s="18" t="s">
        <v>986</v>
      </c>
      <c r="D918" s="19" t="s">
        <v>989</v>
      </c>
      <c r="E918" s="19">
        <v>7</v>
      </c>
      <c r="F918" s="19" t="s">
        <v>0</v>
      </c>
      <c r="G918" s="20" t="s">
        <v>183</v>
      </c>
      <c r="H918" s="36">
        <v>31900</v>
      </c>
      <c r="I918" s="36">
        <v>26900</v>
      </c>
      <c r="J918" s="25">
        <v>254200</v>
      </c>
    </row>
    <row r="919" spans="1:10" ht="16" x14ac:dyDescent="0.45">
      <c r="A919" s="153" t="str">
        <f>B919&amp;C919&amp;E919&amp;G919</f>
        <v>매트리스루네어9서비스프리</v>
      </c>
      <c r="B919" s="17" t="s">
        <v>985</v>
      </c>
      <c r="C919" s="18" t="s">
        <v>986</v>
      </c>
      <c r="D919" s="19" t="s">
        <v>989</v>
      </c>
      <c r="E919" s="19">
        <v>9</v>
      </c>
      <c r="F919" s="19" t="s">
        <v>0</v>
      </c>
      <c r="G919" s="20" t="s">
        <v>183</v>
      </c>
      <c r="H919" s="36">
        <v>27900</v>
      </c>
      <c r="I919" s="36">
        <v>22900</v>
      </c>
      <c r="J919" s="25">
        <v>254200</v>
      </c>
    </row>
    <row r="920" spans="1:10" ht="16" x14ac:dyDescent="0.45">
      <c r="A920" s="153" t="str">
        <f>B920&amp;C920&amp;E920&amp;G920</f>
        <v>매트리스루네어51회서비스</v>
      </c>
      <c r="B920" s="17" t="s">
        <v>985</v>
      </c>
      <c r="C920" s="18" t="s">
        <v>986</v>
      </c>
      <c r="D920" s="19" t="s">
        <v>990</v>
      </c>
      <c r="E920" s="19">
        <v>5</v>
      </c>
      <c r="F920" s="19" t="s">
        <v>0</v>
      </c>
      <c r="G920" s="20" t="s">
        <v>457</v>
      </c>
      <c r="H920" s="36">
        <v>38900</v>
      </c>
      <c r="I920" s="36">
        <v>33900</v>
      </c>
      <c r="J920" s="25">
        <v>231100</v>
      </c>
    </row>
    <row r="921" spans="1:10" ht="16" x14ac:dyDescent="0.45">
      <c r="A921" s="153" t="str">
        <f>B921&amp;C921&amp;E921&amp;G921</f>
        <v>매트리스루네어71회서비스</v>
      </c>
      <c r="B921" s="17" t="s">
        <v>985</v>
      </c>
      <c r="C921" s="18" t="s">
        <v>986</v>
      </c>
      <c r="D921" s="19" t="s">
        <v>990</v>
      </c>
      <c r="E921" s="19">
        <v>7</v>
      </c>
      <c r="F921" s="19" t="s">
        <v>0</v>
      </c>
      <c r="G921" s="20" t="s">
        <v>457</v>
      </c>
      <c r="H921" s="36">
        <v>31900</v>
      </c>
      <c r="I921" s="36">
        <v>26900</v>
      </c>
      <c r="J921" s="25">
        <v>254200</v>
      </c>
    </row>
    <row r="922" spans="1:10" ht="16" x14ac:dyDescent="0.45">
      <c r="A922" s="153" t="str">
        <f>B922&amp;C922&amp;E922&amp;G922</f>
        <v>매트리스루네어91회서비스</v>
      </c>
      <c r="B922" s="17" t="s">
        <v>985</v>
      </c>
      <c r="C922" s="18" t="s">
        <v>986</v>
      </c>
      <c r="D922" s="19" t="s">
        <v>990</v>
      </c>
      <c r="E922" s="19">
        <v>9</v>
      </c>
      <c r="F922" s="19" t="s">
        <v>0</v>
      </c>
      <c r="G922" s="20" t="s">
        <v>457</v>
      </c>
      <c r="H922" s="36">
        <v>27900</v>
      </c>
      <c r="I922" s="36">
        <v>22900</v>
      </c>
      <c r="J922" s="25">
        <v>254200</v>
      </c>
    </row>
    <row r="923" spans="1:10" ht="16" x14ac:dyDescent="0.45">
      <c r="A923" s="153" t="str">
        <f>B923&amp;C923&amp;E923&amp;G923</f>
        <v>매트리스루네어54M(4개월점검주기)</v>
      </c>
      <c r="B923" s="17" t="s">
        <v>985</v>
      </c>
      <c r="C923" s="18" t="s">
        <v>986</v>
      </c>
      <c r="D923" s="19" t="s">
        <v>990</v>
      </c>
      <c r="E923" s="19">
        <v>5</v>
      </c>
      <c r="F923" s="19" t="s">
        <v>0</v>
      </c>
      <c r="G923" s="20" t="s">
        <v>453</v>
      </c>
      <c r="H923" s="36">
        <v>40900</v>
      </c>
      <c r="I923" s="36">
        <v>35900</v>
      </c>
      <c r="J923" s="25">
        <v>239700</v>
      </c>
    </row>
    <row r="924" spans="1:10" ht="16" x14ac:dyDescent="0.45">
      <c r="A924" s="153" t="str">
        <f>B924&amp;C924&amp;E924&amp;G924</f>
        <v>매트리스루네어74M(4개월점검주기)</v>
      </c>
      <c r="B924" s="17" t="s">
        <v>985</v>
      </c>
      <c r="C924" s="18" t="s">
        <v>986</v>
      </c>
      <c r="D924" s="19" t="s">
        <v>990</v>
      </c>
      <c r="E924" s="19">
        <v>7</v>
      </c>
      <c r="F924" s="19" t="s">
        <v>0</v>
      </c>
      <c r="G924" s="20" t="s">
        <v>453</v>
      </c>
      <c r="H924" s="36">
        <v>33900</v>
      </c>
      <c r="I924" s="36">
        <v>28900</v>
      </c>
      <c r="J924" s="25">
        <v>263700</v>
      </c>
    </row>
    <row r="925" spans="1:10" ht="16" x14ac:dyDescent="0.45">
      <c r="A925" s="153" t="str">
        <f>B925&amp;C925&amp;E925&amp;G925</f>
        <v>매트리스루네어94M(4개월점검주기)</v>
      </c>
      <c r="B925" s="17" t="s">
        <v>985</v>
      </c>
      <c r="C925" s="18" t="s">
        <v>986</v>
      </c>
      <c r="D925" s="19" t="s">
        <v>990</v>
      </c>
      <c r="E925" s="19">
        <v>9</v>
      </c>
      <c r="F925" s="19" t="s">
        <v>0</v>
      </c>
      <c r="G925" s="20" t="s">
        <v>453</v>
      </c>
      <c r="H925" s="36">
        <v>29900</v>
      </c>
      <c r="I925" s="36">
        <v>24900</v>
      </c>
      <c r="J925" s="25">
        <v>263700</v>
      </c>
    </row>
    <row r="926" spans="1:10" ht="16" x14ac:dyDescent="0.45">
      <c r="A926" s="153" t="str">
        <f>B926&amp;C926&amp;E926&amp;G926</f>
        <v>매트리스루네어5베이직케어(4M)</v>
      </c>
      <c r="B926" s="17" t="s">
        <v>985</v>
      </c>
      <c r="C926" s="18" t="s">
        <v>986</v>
      </c>
      <c r="D926" s="19" t="s">
        <v>990</v>
      </c>
      <c r="E926" s="19">
        <v>5</v>
      </c>
      <c r="F926" s="19" t="s">
        <v>0</v>
      </c>
      <c r="G926" s="20" t="s">
        <v>608</v>
      </c>
      <c r="H926" s="36">
        <v>36900</v>
      </c>
      <c r="I926" s="36">
        <v>31900</v>
      </c>
      <c r="J926" s="25">
        <v>219800</v>
      </c>
    </row>
    <row r="927" spans="1:10" ht="16" x14ac:dyDescent="0.45">
      <c r="A927" s="153" t="str">
        <f>B927&amp;C927&amp;E927&amp;G927</f>
        <v>매트리스루네어7베이직케어(4M)</v>
      </c>
      <c r="B927" s="17" t="s">
        <v>985</v>
      </c>
      <c r="C927" s="18" t="s">
        <v>986</v>
      </c>
      <c r="D927" s="19" t="s">
        <v>990</v>
      </c>
      <c r="E927" s="19">
        <v>7</v>
      </c>
      <c r="F927" s="19" t="s">
        <v>0</v>
      </c>
      <c r="G927" s="20" t="s">
        <v>608</v>
      </c>
      <c r="H927" s="36">
        <v>29900</v>
      </c>
      <c r="I927" s="36">
        <v>24900</v>
      </c>
      <c r="J927" s="25">
        <v>241800</v>
      </c>
    </row>
    <row r="928" spans="1:10" ht="16" x14ac:dyDescent="0.45">
      <c r="A928" s="153" t="str">
        <f>B928&amp;C928&amp;E928&amp;G928</f>
        <v>매트리스루네어9베이직케어(4M)</v>
      </c>
      <c r="B928" s="17" t="s">
        <v>985</v>
      </c>
      <c r="C928" s="18" t="s">
        <v>986</v>
      </c>
      <c r="D928" s="19" t="s">
        <v>990</v>
      </c>
      <c r="E928" s="19">
        <v>9</v>
      </c>
      <c r="F928" s="19" t="s">
        <v>0</v>
      </c>
      <c r="G928" s="20" t="s">
        <v>608</v>
      </c>
      <c r="H928" s="36">
        <v>25900</v>
      </c>
      <c r="I928" s="36">
        <v>20900</v>
      </c>
      <c r="J928" s="25">
        <v>241800</v>
      </c>
    </row>
    <row r="929" spans="1:10" ht="16" x14ac:dyDescent="0.45">
      <c r="A929" s="153" t="str">
        <f>B929&amp;C929&amp;E929&amp;G929</f>
        <v>매트리스루네어5서비스프리</v>
      </c>
      <c r="B929" s="17" t="s">
        <v>985</v>
      </c>
      <c r="C929" s="18" t="s">
        <v>986</v>
      </c>
      <c r="D929" s="19" t="s">
        <v>990</v>
      </c>
      <c r="E929" s="19">
        <v>5</v>
      </c>
      <c r="F929" s="19" t="s">
        <v>0</v>
      </c>
      <c r="G929" s="20" t="s">
        <v>183</v>
      </c>
      <c r="H929" s="36">
        <v>34900</v>
      </c>
      <c r="I929" s="36">
        <v>29900</v>
      </c>
      <c r="J929" s="25">
        <v>208600</v>
      </c>
    </row>
    <row r="930" spans="1:10" ht="16" x14ac:dyDescent="0.45">
      <c r="A930" s="153" t="str">
        <f>B930&amp;C930&amp;E930&amp;G930</f>
        <v>매트리스루네어7서비스프리</v>
      </c>
      <c r="B930" s="17" t="s">
        <v>985</v>
      </c>
      <c r="C930" s="18" t="s">
        <v>986</v>
      </c>
      <c r="D930" s="19" t="s">
        <v>990</v>
      </c>
      <c r="E930" s="19">
        <v>7</v>
      </c>
      <c r="F930" s="19" t="s">
        <v>0</v>
      </c>
      <c r="G930" s="20" t="s">
        <v>183</v>
      </c>
      <c r="H930" s="36">
        <v>27900</v>
      </c>
      <c r="I930" s="36">
        <v>22900</v>
      </c>
      <c r="J930" s="25">
        <v>229500</v>
      </c>
    </row>
    <row r="931" spans="1:10" ht="16" x14ac:dyDescent="0.45">
      <c r="A931" s="153" t="str">
        <f>B931&amp;C931&amp;E931&amp;G931</f>
        <v>매트리스루네어9서비스프리</v>
      </c>
      <c r="B931" s="17" t="s">
        <v>985</v>
      </c>
      <c r="C931" s="18" t="s">
        <v>986</v>
      </c>
      <c r="D931" s="19" t="s">
        <v>990</v>
      </c>
      <c r="E931" s="19">
        <v>9</v>
      </c>
      <c r="F931" s="19" t="s">
        <v>0</v>
      </c>
      <c r="G931" s="20" t="s">
        <v>183</v>
      </c>
      <c r="H931" s="36">
        <v>23900</v>
      </c>
      <c r="I931" s="36">
        <v>18900</v>
      </c>
      <c r="J931" s="25">
        <v>229500</v>
      </c>
    </row>
    <row r="932" spans="1:10" ht="16" x14ac:dyDescent="0.45">
      <c r="A932" s="153" t="str">
        <f>B932&amp;C932&amp;E932&amp;G932</f>
        <v>매트리스매트리스_리퍼브71회서비스</v>
      </c>
      <c r="B932" s="17" t="s">
        <v>228</v>
      </c>
      <c r="C932" s="18" t="s">
        <v>482</v>
      </c>
      <c r="D932" s="19" t="s">
        <v>257</v>
      </c>
      <c r="E932" s="19">
        <v>7</v>
      </c>
      <c r="F932" s="19" t="s">
        <v>0</v>
      </c>
      <c r="G932" s="20" t="s">
        <v>457</v>
      </c>
      <c r="H932" s="36">
        <v>24900</v>
      </c>
      <c r="I932" s="36">
        <v>24900</v>
      </c>
      <c r="J932" s="25">
        <v>217600</v>
      </c>
    </row>
    <row r="933" spans="1:10" ht="16" x14ac:dyDescent="0.45">
      <c r="A933" s="153" t="str">
        <f>B933&amp;C933&amp;E933&amp;G933</f>
        <v>매트리스매트리스_리퍼브54M(4개월점검주기)</v>
      </c>
      <c r="B933" s="17" t="s">
        <v>228</v>
      </c>
      <c r="C933" s="18" t="s">
        <v>482</v>
      </c>
      <c r="D933" s="19" t="s">
        <v>257</v>
      </c>
      <c r="E933" s="19">
        <v>5</v>
      </c>
      <c r="F933" s="19" t="s">
        <v>0</v>
      </c>
      <c r="G933" s="20" t="s">
        <v>453</v>
      </c>
      <c r="H933" s="36">
        <v>32900</v>
      </c>
      <c r="I933" s="36">
        <v>32900</v>
      </c>
      <c r="J933" s="25">
        <v>208000</v>
      </c>
    </row>
    <row r="934" spans="1:10" ht="16" x14ac:dyDescent="0.45">
      <c r="A934" s="153" t="str">
        <f>B934&amp;C934&amp;E934&amp;G934</f>
        <v>매트리스매트리스_리퍼브64M(4개월점검주기)</v>
      </c>
      <c r="B934" s="17" t="s">
        <v>228</v>
      </c>
      <c r="C934" s="18" t="s">
        <v>482</v>
      </c>
      <c r="D934" s="19" t="s">
        <v>257</v>
      </c>
      <c r="E934" s="19">
        <v>6</v>
      </c>
      <c r="F934" s="19" t="s">
        <v>0</v>
      </c>
      <c r="G934" s="20" t="s">
        <v>453</v>
      </c>
      <c r="H934" s="36">
        <v>29900</v>
      </c>
      <c r="I934" s="36">
        <v>29900</v>
      </c>
      <c r="J934" s="25">
        <v>228800</v>
      </c>
    </row>
    <row r="935" spans="1:10" ht="16" x14ac:dyDescent="0.45">
      <c r="A935" s="153" t="str">
        <f>B935&amp;C935&amp;E935&amp;G935</f>
        <v>매트리스매트리스_리퍼브74M(4개월점검주기)</v>
      </c>
      <c r="B935" s="17" t="s">
        <v>228</v>
      </c>
      <c r="C935" s="18" t="s">
        <v>482</v>
      </c>
      <c r="D935" s="19" t="s">
        <v>257</v>
      </c>
      <c r="E935" s="19">
        <v>7</v>
      </c>
      <c r="F935" s="19" t="s">
        <v>0</v>
      </c>
      <c r="G935" s="20" t="s">
        <v>453</v>
      </c>
      <c r="H935" s="36">
        <v>26900</v>
      </c>
      <c r="I935" s="36">
        <v>26900</v>
      </c>
      <c r="J935" s="25">
        <v>228800</v>
      </c>
    </row>
    <row r="936" spans="1:10" ht="16" x14ac:dyDescent="0.45">
      <c r="A936" s="153" t="str">
        <f>B936&amp;C936&amp;E936&amp;G936</f>
        <v>매트리스매트리스_리퍼브7서비스프리</v>
      </c>
      <c r="B936" s="17" t="s">
        <v>228</v>
      </c>
      <c r="C936" s="18" t="s">
        <v>482</v>
      </c>
      <c r="D936" s="19" t="s">
        <v>257</v>
      </c>
      <c r="E936" s="19">
        <v>7</v>
      </c>
      <c r="F936" s="19" t="s">
        <v>0</v>
      </c>
      <c r="G936" s="20" t="s">
        <v>183</v>
      </c>
      <c r="H936" s="36">
        <v>20900</v>
      </c>
      <c r="I936" s="36">
        <v>20900</v>
      </c>
      <c r="J936" s="25">
        <v>206600</v>
      </c>
    </row>
    <row r="937" spans="1:10" ht="16" x14ac:dyDescent="0.45">
      <c r="A937" s="153" t="str">
        <f>B937&amp;C937&amp;E937&amp;G937</f>
        <v>매트리스매트리스_리퍼브71회서비스</v>
      </c>
      <c r="B937" s="17" t="s">
        <v>228</v>
      </c>
      <c r="C937" s="18" t="s">
        <v>482</v>
      </c>
      <c r="D937" s="19" t="s">
        <v>258</v>
      </c>
      <c r="E937" s="19">
        <v>7</v>
      </c>
      <c r="F937" s="19" t="s">
        <v>0</v>
      </c>
      <c r="G937" s="20" t="s">
        <v>457</v>
      </c>
      <c r="H937" s="36">
        <v>24900</v>
      </c>
      <c r="I937" s="36">
        <v>24900</v>
      </c>
      <c r="J937" s="25">
        <v>217600</v>
      </c>
    </row>
    <row r="938" spans="1:10" ht="16" x14ac:dyDescent="0.45">
      <c r="A938" s="153" t="str">
        <f>B938&amp;C938&amp;E938&amp;G938</f>
        <v>매트리스매트리스_리퍼브54M(4개월점검주기)</v>
      </c>
      <c r="B938" s="17" t="s">
        <v>228</v>
      </c>
      <c r="C938" s="18" t="s">
        <v>482</v>
      </c>
      <c r="D938" s="19" t="s">
        <v>258</v>
      </c>
      <c r="E938" s="19">
        <v>5</v>
      </c>
      <c r="F938" s="19" t="s">
        <v>0</v>
      </c>
      <c r="G938" s="20" t="s">
        <v>453</v>
      </c>
      <c r="H938" s="36">
        <v>32900</v>
      </c>
      <c r="I938" s="36">
        <v>32900</v>
      </c>
      <c r="J938" s="25">
        <v>208000</v>
      </c>
    </row>
    <row r="939" spans="1:10" ht="16" x14ac:dyDescent="0.45">
      <c r="A939" s="153" t="str">
        <f>B939&amp;C939&amp;E939&amp;G939</f>
        <v>매트리스매트리스_리퍼브64M(4개월점검주기)</v>
      </c>
      <c r="B939" s="17" t="s">
        <v>228</v>
      </c>
      <c r="C939" s="18" t="s">
        <v>482</v>
      </c>
      <c r="D939" s="19" t="s">
        <v>258</v>
      </c>
      <c r="E939" s="19">
        <v>6</v>
      </c>
      <c r="F939" s="19" t="s">
        <v>0</v>
      </c>
      <c r="G939" s="20" t="s">
        <v>453</v>
      </c>
      <c r="H939" s="36">
        <v>29900</v>
      </c>
      <c r="I939" s="36">
        <v>29900</v>
      </c>
      <c r="J939" s="25">
        <v>228800</v>
      </c>
    </row>
    <row r="940" spans="1:10" ht="16" x14ac:dyDescent="0.45">
      <c r="A940" s="153" t="str">
        <f>B940&amp;C940&amp;E940&amp;G940</f>
        <v>매트리스매트리스_리퍼브74M(4개월점검주기)</v>
      </c>
      <c r="B940" s="17" t="s">
        <v>228</v>
      </c>
      <c r="C940" s="18" t="s">
        <v>482</v>
      </c>
      <c r="D940" s="19" t="s">
        <v>258</v>
      </c>
      <c r="E940" s="19">
        <v>7</v>
      </c>
      <c r="F940" s="19" t="s">
        <v>0</v>
      </c>
      <c r="G940" s="20" t="s">
        <v>453</v>
      </c>
      <c r="H940" s="36">
        <v>26900</v>
      </c>
      <c r="I940" s="36">
        <v>26900</v>
      </c>
      <c r="J940" s="25">
        <v>228800</v>
      </c>
    </row>
    <row r="941" spans="1:10" ht="16" x14ac:dyDescent="0.45">
      <c r="A941" s="153" t="str">
        <f>B941&amp;C941&amp;E941&amp;G941</f>
        <v>매트리스매트리스_리퍼브7서비스프리</v>
      </c>
      <c r="B941" s="17" t="s">
        <v>228</v>
      </c>
      <c r="C941" s="18" t="s">
        <v>482</v>
      </c>
      <c r="D941" s="19" t="s">
        <v>258</v>
      </c>
      <c r="E941" s="19">
        <v>7</v>
      </c>
      <c r="F941" s="19" t="s">
        <v>0</v>
      </c>
      <c r="G941" s="20" t="s">
        <v>183</v>
      </c>
      <c r="H941" s="36">
        <v>20900</v>
      </c>
      <c r="I941" s="36">
        <v>20900</v>
      </c>
      <c r="J941" s="25">
        <v>206600</v>
      </c>
    </row>
    <row r="942" spans="1:10" ht="16" x14ac:dyDescent="0.45">
      <c r="A942" s="153" t="str">
        <f>B942&amp;C942&amp;E942&amp;G942</f>
        <v>매트리스매트리스_리퍼브71회서비스</v>
      </c>
      <c r="B942" s="17" t="s">
        <v>228</v>
      </c>
      <c r="C942" s="18" t="s">
        <v>482</v>
      </c>
      <c r="D942" s="19" t="s">
        <v>259</v>
      </c>
      <c r="E942" s="19">
        <v>7</v>
      </c>
      <c r="F942" s="19" t="s">
        <v>0</v>
      </c>
      <c r="G942" s="20" t="s">
        <v>457</v>
      </c>
      <c r="H942" s="36">
        <v>21900</v>
      </c>
      <c r="I942" s="36">
        <v>21900</v>
      </c>
      <c r="J942" s="25">
        <v>206600</v>
      </c>
    </row>
    <row r="943" spans="1:10" ht="16" x14ac:dyDescent="0.45">
      <c r="A943" s="153" t="str">
        <f>B943&amp;C943&amp;E943&amp;G943</f>
        <v>매트리스매트리스_리퍼브54M(4개월점검주기)</v>
      </c>
      <c r="B943" s="17" t="s">
        <v>228</v>
      </c>
      <c r="C943" s="18" t="s">
        <v>482</v>
      </c>
      <c r="D943" s="19" t="s">
        <v>259</v>
      </c>
      <c r="E943" s="19">
        <v>5</v>
      </c>
      <c r="F943" s="19" t="s">
        <v>0</v>
      </c>
      <c r="G943" s="20" t="s">
        <v>453</v>
      </c>
      <c r="H943" s="36">
        <v>29900</v>
      </c>
      <c r="I943" s="36">
        <v>29900</v>
      </c>
      <c r="J943" s="25">
        <v>197800</v>
      </c>
    </row>
    <row r="944" spans="1:10" ht="16" x14ac:dyDescent="0.45">
      <c r="A944" s="153" t="str">
        <f>B944&amp;C944&amp;E944&amp;G944</f>
        <v>매트리스매트리스_리퍼브64M(4개월점검주기)</v>
      </c>
      <c r="B944" s="17" t="s">
        <v>228</v>
      </c>
      <c r="C944" s="18" t="s">
        <v>482</v>
      </c>
      <c r="D944" s="19" t="s">
        <v>259</v>
      </c>
      <c r="E944" s="19">
        <v>6</v>
      </c>
      <c r="F944" s="19" t="s">
        <v>0</v>
      </c>
      <c r="G944" s="20" t="s">
        <v>453</v>
      </c>
      <c r="H944" s="36">
        <v>26900</v>
      </c>
      <c r="I944" s="36">
        <v>26900</v>
      </c>
      <c r="J944" s="25">
        <v>217600</v>
      </c>
    </row>
    <row r="945" spans="1:10" ht="16" x14ac:dyDescent="0.45">
      <c r="A945" s="153" t="str">
        <f>B945&amp;C945&amp;E945&amp;G945</f>
        <v>매트리스매트리스_리퍼브74M(4개월점검주기)</v>
      </c>
      <c r="B945" s="17" t="s">
        <v>228</v>
      </c>
      <c r="C945" s="18" t="s">
        <v>482</v>
      </c>
      <c r="D945" s="19" t="s">
        <v>259</v>
      </c>
      <c r="E945" s="19">
        <v>7</v>
      </c>
      <c r="F945" s="19" t="s">
        <v>0</v>
      </c>
      <c r="G945" s="20" t="s">
        <v>453</v>
      </c>
      <c r="H945" s="36">
        <v>23900</v>
      </c>
      <c r="I945" s="36">
        <v>23900</v>
      </c>
      <c r="J945" s="25">
        <v>217600</v>
      </c>
    </row>
    <row r="946" spans="1:10" ht="16" x14ac:dyDescent="0.45">
      <c r="A946" s="153" t="str">
        <f>B946&amp;C946&amp;E946&amp;G946</f>
        <v>매트리스매트리스_리퍼브7서비스프리</v>
      </c>
      <c r="B946" s="17" t="s">
        <v>228</v>
      </c>
      <c r="C946" s="18" t="s">
        <v>482</v>
      </c>
      <c r="D946" s="19" t="s">
        <v>259</v>
      </c>
      <c r="E946" s="19">
        <v>7</v>
      </c>
      <c r="F946" s="19" t="s">
        <v>0</v>
      </c>
      <c r="G946" s="20" t="s">
        <v>183</v>
      </c>
      <c r="H946" s="36">
        <v>17900</v>
      </c>
      <c r="I946" s="36">
        <v>17900</v>
      </c>
      <c r="J946" s="25">
        <v>195400</v>
      </c>
    </row>
    <row r="947" spans="1:10" ht="16" x14ac:dyDescent="0.45">
      <c r="A947" s="153" t="str">
        <f>B947&amp;C947&amp;E947&amp;G947</f>
        <v>매트리스매트리스_리퍼브71회서비스</v>
      </c>
      <c r="B947" s="17" t="s">
        <v>228</v>
      </c>
      <c r="C947" s="18" t="s">
        <v>482</v>
      </c>
      <c r="D947" s="19" t="s">
        <v>260</v>
      </c>
      <c r="E947" s="19">
        <v>7</v>
      </c>
      <c r="F947" s="19" t="s">
        <v>0</v>
      </c>
      <c r="G947" s="20" t="s">
        <v>457</v>
      </c>
      <c r="H947" s="36">
        <v>21900</v>
      </c>
      <c r="I947" s="36">
        <v>21900</v>
      </c>
      <c r="J947" s="25">
        <v>206600</v>
      </c>
    </row>
    <row r="948" spans="1:10" ht="16" x14ac:dyDescent="0.45">
      <c r="A948" s="153" t="str">
        <f>B948&amp;C948&amp;E948&amp;G948</f>
        <v>매트리스매트리스_리퍼브54M(4개월점검주기)</v>
      </c>
      <c r="B948" s="17" t="s">
        <v>228</v>
      </c>
      <c r="C948" s="18" t="s">
        <v>482</v>
      </c>
      <c r="D948" s="19" t="s">
        <v>260</v>
      </c>
      <c r="E948" s="19">
        <v>5</v>
      </c>
      <c r="F948" s="19" t="s">
        <v>0</v>
      </c>
      <c r="G948" s="20" t="s">
        <v>453</v>
      </c>
      <c r="H948" s="36">
        <v>29900</v>
      </c>
      <c r="I948" s="36">
        <v>29900</v>
      </c>
      <c r="J948" s="25">
        <v>197800</v>
      </c>
    </row>
    <row r="949" spans="1:10" ht="16" x14ac:dyDescent="0.45">
      <c r="A949" s="153" t="str">
        <f>B949&amp;C949&amp;E949&amp;G949</f>
        <v>매트리스매트리스_리퍼브64M(4개월점검주기)</v>
      </c>
      <c r="B949" s="17" t="s">
        <v>228</v>
      </c>
      <c r="C949" s="18" t="s">
        <v>482</v>
      </c>
      <c r="D949" s="19" t="s">
        <v>260</v>
      </c>
      <c r="E949" s="19">
        <v>6</v>
      </c>
      <c r="F949" s="19" t="s">
        <v>0</v>
      </c>
      <c r="G949" s="20" t="s">
        <v>453</v>
      </c>
      <c r="H949" s="36">
        <v>26900</v>
      </c>
      <c r="I949" s="36">
        <v>26900</v>
      </c>
      <c r="J949" s="25">
        <v>217600</v>
      </c>
    </row>
    <row r="950" spans="1:10" ht="16" x14ac:dyDescent="0.45">
      <c r="A950" s="153" t="str">
        <f>B950&amp;C950&amp;E950&amp;G950</f>
        <v>매트리스매트리스_리퍼브74M(4개월점검주기)</v>
      </c>
      <c r="B950" s="17" t="s">
        <v>228</v>
      </c>
      <c r="C950" s="18" t="s">
        <v>482</v>
      </c>
      <c r="D950" s="19" t="s">
        <v>260</v>
      </c>
      <c r="E950" s="19">
        <v>7</v>
      </c>
      <c r="F950" s="19" t="s">
        <v>0</v>
      </c>
      <c r="G950" s="20" t="s">
        <v>453</v>
      </c>
      <c r="H950" s="36">
        <v>23900</v>
      </c>
      <c r="I950" s="36">
        <v>23900</v>
      </c>
      <c r="J950" s="25">
        <v>217600</v>
      </c>
    </row>
    <row r="951" spans="1:10" ht="16" x14ac:dyDescent="0.45">
      <c r="A951" s="153" t="str">
        <f>B951&amp;C951&amp;E951&amp;G951</f>
        <v>매트리스매트리스_리퍼브7서비스프리</v>
      </c>
      <c r="B951" s="17" t="s">
        <v>228</v>
      </c>
      <c r="C951" s="18" t="s">
        <v>482</v>
      </c>
      <c r="D951" s="19" t="s">
        <v>260</v>
      </c>
      <c r="E951" s="19">
        <v>7</v>
      </c>
      <c r="F951" s="19" t="s">
        <v>0</v>
      </c>
      <c r="G951" s="20" t="s">
        <v>183</v>
      </c>
      <c r="H951" s="36">
        <v>17900</v>
      </c>
      <c r="I951" s="36">
        <v>17900</v>
      </c>
      <c r="J951" s="25">
        <v>195400</v>
      </c>
    </row>
    <row r="952" spans="1:10" ht="16" x14ac:dyDescent="0.45">
      <c r="A952" s="153" t="str">
        <f>B952&amp;C952&amp;E952&amp;G952</f>
        <v>매트리스매트리스_리퍼브71회서비스</v>
      </c>
      <c r="B952" s="17" t="s">
        <v>228</v>
      </c>
      <c r="C952" s="18" t="s">
        <v>482</v>
      </c>
      <c r="D952" s="19" t="s">
        <v>261</v>
      </c>
      <c r="E952" s="19">
        <v>7</v>
      </c>
      <c r="F952" s="19" t="s">
        <v>0</v>
      </c>
      <c r="G952" s="20" t="s">
        <v>457</v>
      </c>
      <c r="H952" s="36">
        <v>18900</v>
      </c>
      <c r="I952" s="36">
        <v>18900</v>
      </c>
      <c r="J952" s="25">
        <v>195400</v>
      </c>
    </row>
    <row r="953" spans="1:10" ht="16" x14ac:dyDescent="0.45">
      <c r="A953" s="153" t="str">
        <f>B953&amp;C953&amp;E953&amp;G953</f>
        <v>매트리스매트리스_리퍼브54M(4개월점검주기)</v>
      </c>
      <c r="B953" s="17" t="s">
        <v>228</v>
      </c>
      <c r="C953" s="18" t="s">
        <v>482</v>
      </c>
      <c r="D953" s="19" t="s">
        <v>261</v>
      </c>
      <c r="E953" s="19">
        <v>5</v>
      </c>
      <c r="F953" s="19" t="s">
        <v>0</v>
      </c>
      <c r="G953" s="20" t="s">
        <v>453</v>
      </c>
      <c r="H953" s="36">
        <v>26900</v>
      </c>
      <c r="I953" s="36">
        <v>26900</v>
      </c>
      <c r="J953" s="25">
        <v>187700</v>
      </c>
    </row>
    <row r="954" spans="1:10" ht="16" x14ac:dyDescent="0.45">
      <c r="A954" s="153" t="str">
        <f>B954&amp;C954&amp;E954&amp;G954</f>
        <v>매트리스매트리스_리퍼브64M(4개월점검주기)</v>
      </c>
      <c r="B954" s="17" t="s">
        <v>228</v>
      </c>
      <c r="C954" s="18" t="s">
        <v>482</v>
      </c>
      <c r="D954" s="19" t="s">
        <v>261</v>
      </c>
      <c r="E954" s="19">
        <v>6</v>
      </c>
      <c r="F954" s="19" t="s">
        <v>0</v>
      </c>
      <c r="G954" s="20" t="s">
        <v>453</v>
      </c>
      <c r="H954" s="36">
        <v>23900</v>
      </c>
      <c r="I954" s="36">
        <v>23900</v>
      </c>
      <c r="J954" s="25">
        <v>206600</v>
      </c>
    </row>
    <row r="955" spans="1:10" ht="16" x14ac:dyDescent="0.45">
      <c r="A955" s="153" t="str">
        <f>B955&amp;C955&amp;E955&amp;G955</f>
        <v>매트리스매트리스_리퍼브74M(4개월점검주기)</v>
      </c>
      <c r="B955" s="17" t="s">
        <v>228</v>
      </c>
      <c r="C955" s="18" t="s">
        <v>482</v>
      </c>
      <c r="D955" s="19" t="s">
        <v>261</v>
      </c>
      <c r="E955" s="19">
        <v>7</v>
      </c>
      <c r="F955" s="19" t="s">
        <v>0</v>
      </c>
      <c r="G955" s="20" t="s">
        <v>453</v>
      </c>
      <c r="H955" s="36">
        <v>20900</v>
      </c>
      <c r="I955" s="36">
        <v>20900</v>
      </c>
      <c r="J955" s="25">
        <v>206600</v>
      </c>
    </row>
    <row r="956" spans="1:10" ht="16" x14ac:dyDescent="0.45">
      <c r="A956" s="153" t="str">
        <f>B956&amp;C956&amp;E956&amp;G956</f>
        <v>매트리스매트리스_리퍼브7서비스프리</v>
      </c>
      <c r="B956" s="17" t="s">
        <v>228</v>
      </c>
      <c r="C956" s="18" t="s">
        <v>482</v>
      </c>
      <c r="D956" s="19" t="s">
        <v>261</v>
      </c>
      <c r="E956" s="19">
        <v>7</v>
      </c>
      <c r="F956" s="19" t="s">
        <v>0</v>
      </c>
      <c r="G956" s="20" t="s">
        <v>183</v>
      </c>
      <c r="H956" s="36">
        <v>14900</v>
      </c>
      <c r="I956" s="36">
        <v>14900</v>
      </c>
      <c r="J956" s="25">
        <v>195400</v>
      </c>
    </row>
    <row r="957" spans="1:10" ht="16" x14ac:dyDescent="0.45">
      <c r="A957" s="153" t="str">
        <f>B957&amp;C957&amp;E957&amp;G957</f>
        <v>매트리스매트리스_리퍼브71회서비스</v>
      </c>
      <c r="B957" s="17" t="s">
        <v>228</v>
      </c>
      <c r="C957" s="18" t="s">
        <v>482</v>
      </c>
      <c r="D957" s="19" t="s">
        <v>262</v>
      </c>
      <c r="E957" s="19">
        <v>7</v>
      </c>
      <c r="F957" s="19" t="s">
        <v>0</v>
      </c>
      <c r="G957" s="20" t="s">
        <v>457</v>
      </c>
      <c r="H957" s="36">
        <v>18900</v>
      </c>
      <c r="I957" s="36">
        <v>18900</v>
      </c>
      <c r="J957" s="25">
        <v>195400</v>
      </c>
    </row>
    <row r="958" spans="1:10" ht="16" x14ac:dyDescent="0.45">
      <c r="A958" s="153" t="str">
        <f>B958&amp;C958&amp;E958&amp;G958</f>
        <v>매트리스매트리스_리퍼브54M(4개월점검주기)</v>
      </c>
      <c r="B958" s="17" t="s">
        <v>228</v>
      </c>
      <c r="C958" s="18" t="s">
        <v>482</v>
      </c>
      <c r="D958" s="19" t="s">
        <v>262</v>
      </c>
      <c r="E958" s="19">
        <v>5</v>
      </c>
      <c r="F958" s="19" t="s">
        <v>0</v>
      </c>
      <c r="G958" s="20" t="s">
        <v>453</v>
      </c>
      <c r="H958" s="36">
        <v>26900</v>
      </c>
      <c r="I958" s="36">
        <v>26900</v>
      </c>
      <c r="J958" s="25">
        <v>187700</v>
      </c>
    </row>
    <row r="959" spans="1:10" ht="16" x14ac:dyDescent="0.45">
      <c r="A959" s="153" t="str">
        <f>B959&amp;C959&amp;E959&amp;G959</f>
        <v>매트리스매트리스_리퍼브64M(4개월점검주기)</v>
      </c>
      <c r="B959" s="17" t="s">
        <v>228</v>
      </c>
      <c r="C959" s="18" t="s">
        <v>482</v>
      </c>
      <c r="D959" s="19" t="s">
        <v>262</v>
      </c>
      <c r="E959" s="19">
        <v>6</v>
      </c>
      <c r="F959" s="19" t="s">
        <v>0</v>
      </c>
      <c r="G959" s="20" t="s">
        <v>453</v>
      </c>
      <c r="H959" s="36">
        <v>23900</v>
      </c>
      <c r="I959" s="36">
        <v>23900</v>
      </c>
      <c r="J959" s="25">
        <v>206600</v>
      </c>
    </row>
    <row r="960" spans="1:10" ht="16" x14ac:dyDescent="0.45">
      <c r="A960" s="153" t="str">
        <f>B960&amp;C960&amp;E960&amp;G960</f>
        <v>매트리스매트리스_리퍼브74M(4개월점검주기)</v>
      </c>
      <c r="B960" s="17" t="s">
        <v>228</v>
      </c>
      <c r="C960" s="18" t="s">
        <v>482</v>
      </c>
      <c r="D960" s="19" t="s">
        <v>262</v>
      </c>
      <c r="E960" s="19">
        <v>7</v>
      </c>
      <c r="F960" s="19" t="s">
        <v>0</v>
      </c>
      <c r="G960" s="20" t="s">
        <v>453</v>
      </c>
      <c r="H960" s="36">
        <v>20900</v>
      </c>
      <c r="I960" s="36">
        <v>20900</v>
      </c>
      <c r="J960" s="25">
        <v>206600</v>
      </c>
    </row>
    <row r="961" spans="1:10" ht="16" x14ac:dyDescent="0.45">
      <c r="A961" s="153" t="str">
        <f>B961&amp;C961&amp;E961&amp;G961</f>
        <v>매트리스매트리스_리퍼브7서비스프리</v>
      </c>
      <c r="B961" s="17" t="s">
        <v>228</v>
      </c>
      <c r="C961" s="18" t="s">
        <v>482</v>
      </c>
      <c r="D961" s="19" t="s">
        <v>262</v>
      </c>
      <c r="E961" s="19">
        <v>7</v>
      </c>
      <c r="F961" s="19" t="s">
        <v>0</v>
      </c>
      <c r="G961" s="20" t="s">
        <v>183</v>
      </c>
      <c r="H961" s="36">
        <v>14900</v>
      </c>
      <c r="I961" s="36">
        <v>14900</v>
      </c>
      <c r="J961" s="25">
        <v>195400</v>
      </c>
    </row>
    <row r="962" spans="1:10" ht="16" x14ac:dyDescent="0.45">
      <c r="A962" s="153" t="str">
        <f>B962&amp;C962&amp;E962&amp;G962</f>
        <v>매트리스메모리폼 매트리스51회서비스</v>
      </c>
      <c r="B962" s="17" t="s">
        <v>228</v>
      </c>
      <c r="C962" s="18" t="s">
        <v>492</v>
      </c>
      <c r="D962" s="19" t="s">
        <v>246</v>
      </c>
      <c r="E962" s="19">
        <v>5</v>
      </c>
      <c r="F962" s="19" t="s">
        <v>0</v>
      </c>
      <c r="G962" s="20" t="s">
        <v>457</v>
      </c>
      <c r="H962" s="36">
        <v>37900</v>
      </c>
      <c r="I962" s="36">
        <v>37900</v>
      </c>
      <c r="J962" s="25">
        <v>251000</v>
      </c>
    </row>
    <row r="963" spans="1:10" ht="16" x14ac:dyDescent="0.45">
      <c r="A963" s="153" t="str">
        <f>B963&amp;C963&amp;E963&amp;G963</f>
        <v>매트리스메모리폼 매트리스71회서비스</v>
      </c>
      <c r="B963" s="17" t="s">
        <v>228</v>
      </c>
      <c r="C963" s="18" t="s">
        <v>492</v>
      </c>
      <c r="D963" s="19" t="s">
        <v>246</v>
      </c>
      <c r="E963" s="19">
        <v>7</v>
      </c>
      <c r="F963" s="19" t="s">
        <v>0</v>
      </c>
      <c r="G963" s="20" t="s">
        <v>457</v>
      </c>
      <c r="H963" s="36">
        <v>30900</v>
      </c>
      <c r="I963" s="36">
        <v>30900</v>
      </c>
      <c r="J963" s="25">
        <v>276100</v>
      </c>
    </row>
    <row r="964" spans="1:10" ht="16" x14ac:dyDescent="0.45">
      <c r="A964" s="153" t="str">
        <f>B964&amp;C964&amp;E964&amp;G964</f>
        <v>매트리스메모리폼 매트리스91회서비스</v>
      </c>
      <c r="B964" s="17" t="s">
        <v>228</v>
      </c>
      <c r="C964" s="18" t="s">
        <v>492</v>
      </c>
      <c r="D964" s="19" t="s">
        <v>246</v>
      </c>
      <c r="E964" s="19">
        <v>9</v>
      </c>
      <c r="F964" s="19" t="s">
        <v>0</v>
      </c>
      <c r="G964" s="20" t="s">
        <v>457</v>
      </c>
      <c r="H964" s="36">
        <v>26900</v>
      </c>
      <c r="I964" s="36">
        <v>26900</v>
      </c>
      <c r="J964" s="25">
        <v>276100</v>
      </c>
    </row>
    <row r="965" spans="1:10" ht="16" x14ac:dyDescent="0.45">
      <c r="A965" s="153" t="str">
        <f>B965&amp;C965&amp;E965&amp;G965</f>
        <v>매트리스메모리폼 매트리스54M(4개월점검주기)</v>
      </c>
      <c r="B965" s="17" t="s">
        <v>228</v>
      </c>
      <c r="C965" s="18" t="s">
        <v>492</v>
      </c>
      <c r="D965" s="19" t="s">
        <v>246</v>
      </c>
      <c r="E965" s="19">
        <v>5</v>
      </c>
      <c r="F965" s="19" t="s">
        <v>0</v>
      </c>
      <c r="G965" s="20" t="s">
        <v>453</v>
      </c>
      <c r="H965" s="36">
        <v>39900</v>
      </c>
      <c r="I965" s="36">
        <v>39900</v>
      </c>
      <c r="J965" s="25">
        <v>251000</v>
      </c>
    </row>
    <row r="966" spans="1:10" ht="16" x14ac:dyDescent="0.45">
      <c r="A966" s="153" t="str">
        <f>B966&amp;C966&amp;E966&amp;G966</f>
        <v>매트리스메모리폼 매트리스64M(4개월점검주기)</v>
      </c>
      <c r="B966" s="17" t="s">
        <v>228</v>
      </c>
      <c r="C966" s="18" t="s">
        <v>492</v>
      </c>
      <c r="D966" s="19" t="s">
        <v>246</v>
      </c>
      <c r="E966" s="19">
        <v>6</v>
      </c>
      <c r="F966" s="19" t="s">
        <v>0</v>
      </c>
      <c r="G966" s="20" t="s">
        <v>453</v>
      </c>
      <c r="H966" s="36">
        <v>36900</v>
      </c>
      <c r="I966" s="36">
        <v>36900</v>
      </c>
      <c r="J966" s="25">
        <v>251000</v>
      </c>
    </row>
    <row r="967" spans="1:10" ht="16" x14ac:dyDescent="0.45">
      <c r="A967" s="153" t="str">
        <f>B967&amp;C967&amp;E967&amp;G967</f>
        <v>매트리스메모리폼 매트리스74M(4개월점검주기)</v>
      </c>
      <c r="B967" s="17" t="s">
        <v>228</v>
      </c>
      <c r="C967" s="18" t="s">
        <v>492</v>
      </c>
      <c r="D967" s="19" t="s">
        <v>246</v>
      </c>
      <c r="E967" s="19">
        <v>7</v>
      </c>
      <c r="F967" s="19" t="s">
        <v>0</v>
      </c>
      <c r="G967" s="20" t="s">
        <v>453</v>
      </c>
      <c r="H967" s="36">
        <v>32900</v>
      </c>
      <c r="I967" s="36">
        <v>32900</v>
      </c>
      <c r="J967" s="25">
        <v>276100</v>
      </c>
    </row>
    <row r="968" spans="1:10" ht="16" x14ac:dyDescent="0.45">
      <c r="A968" s="153" t="str">
        <f>B968&amp;C968&amp;E968&amp;G968</f>
        <v>매트리스메모리폼 매트리스94M(4개월점검주기)</v>
      </c>
      <c r="B968" s="17" t="s">
        <v>228</v>
      </c>
      <c r="C968" s="18" t="s">
        <v>492</v>
      </c>
      <c r="D968" s="19" t="s">
        <v>246</v>
      </c>
      <c r="E968" s="19">
        <v>9</v>
      </c>
      <c r="F968" s="19" t="s">
        <v>0</v>
      </c>
      <c r="G968" s="20" t="s">
        <v>453</v>
      </c>
      <c r="H968" s="36">
        <v>28900</v>
      </c>
      <c r="I968" s="36">
        <v>28900</v>
      </c>
      <c r="J968" s="25">
        <v>276100</v>
      </c>
    </row>
    <row r="969" spans="1:10" ht="16" x14ac:dyDescent="0.45">
      <c r="A969" s="153" t="str">
        <f>B969&amp;C969&amp;E969&amp;G969</f>
        <v>매트리스메모리폼 매트리스5베이직케어(4M)</v>
      </c>
      <c r="B969" s="17" t="s">
        <v>228</v>
      </c>
      <c r="C969" s="18" t="s">
        <v>492</v>
      </c>
      <c r="D969" s="19" t="s">
        <v>246</v>
      </c>
      <c r="E969" s="19">
        <v>5</v>
      </c>
      <c r="F969" s="19" t="s">
        <v>0</v>
      </c>
      <c r="G969" s="20" t="s">
        <v>608</v>
      </c>
      <c r="H969" s="36">
        <v>37900</v>
      </c>
      <c r="I969" s="36">
        <v>37900</v>
      </c>
      <c r="J969" s="25">
        <v>251000</v>
      </c>
    </row>
    <row r="970" spans="1:10" ht="16" x14ac:dyDescent="0.45">
      <c r="A970" s="153" t="str">
        <f>B970&amp;C970&amp;E970&amp;G970</f>
        <v>매트리스메모리폼 매트리스7베이직케어(4M)</v>
      </c>
      <c r="B970" s="17" t="s">
        <v>228</v>
      </c>
      <c r="C970" s="18" t="s">
        <v>492</v>
      </c>
      <c r="D970" s="19" t="s">
        <v>246</v>
      </c>
      <c r="E970" s="19">
        <v>7</v>
      </c>
      <c r="F970" s="19" t="s">
        <v>0</v>
      </c>
      <c r="G970" s="20" t="s">
        <v>608</v>
      </c>
      <c r="H970" s="36">
        <v>30900</v>
      </c>
      <c r="I970" s="36">
        <v>30900</v>
      </c>
      <c r="J970" s="25">
        <v>276100</v>
      </c>
    </row>
    <row r="971" spans="1:10" ht="16" x14ac:dyDescent="0.45">
      <c r="A971" s="153" t="str">
        <f>B971&amp;C971&amp;E971&amp;G971</f>
        <v>매트리스메모리폼 매트리스9베이직케어(4M)</v>
      </c>
      <c r="B971" s="17" t="s">
        <v>228</v>
      </c>
      <c r="C971" s="18" t="s">
        <v>492</v>
      </c>
      <c r="D971" s="19" t="s">
        <v>246</v>
      </c>
      <c r="E971" s="19">
        <v>9</v>
      </c>
      <c r="F971" s="19" t="s">
        <v>0</v>
      </c>
      <c r="G971" s="20" t="s">
        <v>608</v>
      </c>
      <c r="H971" s="36">
        <v>26900</v>
      </c>
      <c r="I971" s="36">
        <v>26900</v>
      </c>
      <c r="J971" s="25">
        <v>276100</v>
      </c>
    </row>
    <row r="972" spans="1:10" ht="16" x14ac:dyDescent="0.45">
      <c r="A972" s="153" t="str">
        <f>B972&amp;C972&amp;E972&amp;G972</f>
        <v>매트리스메모리폼 매트리스5서비스프리</v>
      </c>
      <c r="B972" s="17" t="s">
        <v>228</v>
      </c>
      <c r="C972" s="18" t="s">
        <v>492</v>
      </c>
      <c r="D972" s="19" t="s">
        <v>246</v>
      </c>
      <c r="E972" s="19">
        <v>5</v>
      </c>
      <c r="F972" s="19" t="s">
        <v>0</v>
      </c>
      <c r="G972" s="20" t="s">
        <v>183</v>
      </c>
      <c r="H972" s="36">
        <v>35900</v>
      </c>
      <c r="I972" s="36">
        <v>35900</v>
      </c>
      <c r="J972" s="25">
        <v>239700</v>
      </c>
    </row>
    <row r="973" spans="1:10" ht="16" x14ac:dyDescent="0.45">
      <c r="A973" s="153" t="str">
        <f>B973&amp;C973&amp;E973&amp;G973</f>
        <v>매트리스메모리폼 매트리스7서비스프리</v>
      </c>
      <c r="B973" s="17" t="s">
        <v>228</v>
      </c>
      <c r="C973" s="18" t="s">
        <v>492</v>
      </c>
      <c r="D973" s="19" t="s">
        <v>246</v>
      </c>
      <c r="E973" s="19">
        <v>7</v>
      </c>
      <c r="F973" s="19" t="s">
        <v>0</v>
      </c>
      <c r="G973" s="20" t="s">
        <v>183</v>
      </c>
      <c r="H973" s="36">
        <v>28900</v>
      </c>
      <c r="I973" s="36">
        <v>28900</v>
      </c>
      <c r="J973" s="25">
        <v>263700</v>
      </c>
    </row>
    <row r="974" spans="1:10" ht="16" x14ac:dyDescent="0.45">
      <c r="A974" s="153" t="str">
        <f>B974&amp;C974&amp;E974&amp;G974</f>
        <v>매트리스메모리폼 매트리스9서비스프리</v>
      </c>
      <c r="B974" s="17" t="s">
        <v>228</v>
      </c>
      <c r="C974" s="18" t="s">
        <v>492</v>
      </c>
      <c r="D974" s="19" t="s">
        <v>246</v>
      </c>
      <c r="E974" s="19">
        <v>9</v>
      </c>
      <c r="F974" s="19" t="s">
        <v>0</v>
      </c>
      <c r="G974" s="20" t="s">
        <v>183</v>
      </c>
      <c r="H974" s="36">
        <v>24900</v>
      </c>
      <c r="I974" s="36">
        <v>24900</v>
      </c>
      <c r="J974" s="25">
        <v>263700</v>
      </c>
    </row>
    <row r="975" spans="1:10" ht="16" x14ac:dyDescent="0.45">
      <c r="A975" s="153" t="str">
        <f>B975&amp;C975&amp;E975&amp;G975</f>
        <v>매트리스메모리폼 매트리스51회서비스</v>
      </c>
      <c r="B975" s="17" t="s">
        <v>228</v>
      </c>
      <c r="C975" s="18" t="s">
        <v>492</v>
      </c>
      <c r="D975" s="19" t="s">
        <v>242</v>
      </c>
      <c r="E975" s="19">
        <v>5</v>
      </c>
      <c r="F975" s="19" t="s">
        <v>0</v>
      </c>
      <c r="G975" s="20" t="s">
        <v>457</v>
      </c>
      <c r="H975" s="36">
        <v>37900</v>
      </c>
      <c r="I975" s="36">
        <v>37900</v>
      </c>
      <c r="J975" s="25">
        <v>251000</v>
      </c>
    </row>
    <row r="976" spans="1:10" ht="16" x14ac:dyDescent="0.45">
      <c r="A976" s="153" t="str">
        <f>B976&amp;C976&amp;E976&amp;G976</f>
        <v>매트리스메모리폼 매트리스71회서비스</v>
      </c>
      <c r="B976" s="17" t="s">
        <v>228</v>
      </c>
      <c r="C976" s="18" t="s">
        <v>492</v>
      </c>
      <c r="D976" s="19" t="s">
        <v>242</v>
      </c>
      <c r="E976" s="19">
        <v>7</v>
      </c>
      <c r="F976" s="19" t="s">
        <v>0</v>
      </c>
      <c r="G976" s="20" t="s">
        <v>457</v>
      </c>
      <c r="H976" s="36">
        <v>30900</v>
      </c>
      <c r="I976" s="36">
        <v>30900</v>
      </c>
      <c r="J976" s="25">
        <v>276100</v>
      </c>
    </row>
    <row r="977" spans="1:10" ht="16" x14ac:dyDescent="0.45">
      <c r="A977" s="153" t="str">
        <f>B977&amp;C977&amp;E977&amp;G977</f>
        <v>매트리스메모리폼 매트리스91회서비스</v>
      </c>
      <c r="B977" s="17" t="s">
        <v>228</v>
      </c>
      <c r="C977" s="18" t="s">
        <v>492</v>
      </c>
      <c r="D977" s="19" t="s">
        <v>242</v>
      </c>
      <c r="E977" s="19">
        <v>9</v>
      </c>
      <c r="F977" s="19" t="s">
        <v>0</v>
      </c>
      <c r="G977" s="20" t="s">
        <v>457</v>
      </c>
      <c r="H977" s="36">
        <v>26900</v>
      </c>
      <c r="I977" s="36">
        <v>26900</v>
      </c>
      <c r="J977" s="25">
        <v>276100</v>
      </c>
    </row>
    <row r="978" spans="1:10" ht="16" x14ac:dyDescent="0.45">
      <c r="A978" s="153" t="str">
        <f>B978&amp;C978&amp;E978&amp;G978</f>
        <v>매트리스메모리폼 매트리스54M(4개월점검주기)</v>
      </c>
      <c r="B978" s="17" t="s">
        <v>228</v>
      </c>
      <c r="C978" s="18" t="s">
        <v>492</v>
      </c>
      <c r="D978" s="19" t="s">
        <v>242</v>
      </c>
      <c r="E978" s="19">
        <v>5</v>
      </c>
      <c r="F978" s="19" t="s">
        <v>0</v>
      </c>
      <c r="G978" s="20" t="s">
        <v>453</v>
      </c>
      <c r="H978" s="36">
        <v>39900</v>
      </c>
      <c r="I978" s="36">
        <v>39900</v>
      </c>
      <c r="J978" s="25">
        <v>251000</v>
      </c>
    </row>
    <row r="979" spans="1:10" ht="16" x14ac:dyDescent="0.45">
      <c r="A979" s="153" t="str">
        <f>B979&amp;C979&amp;E979&amp;G979</f>
        <v>매트리스메모리폼 매트리스64M(4개월점검주기)</v>
      </c>
      <c r="B979" s="17" t="s">
        <v>228</v>
      </c>
      <c r="C979" s="18" t="s">
        <v>492</v>
      </c>
      <c r="D979" s="19" t="s">
        <v>242</v>
      </c>
      <c r="E979" s="19">
        <v>6</v>
      </c>
      <c r="F979" s="19" t="s">
        <v>0</v>
      </c>
      <c r="G979" s="20" t="s">
        <v>453</v>
      </c>
      <c r="H979" s="36">
        <v>36900</v>
      </c>
      <c r="I979" s="36">
        <v>36900</v>
      </c>
      <c r="J979" s="25">
        <v>251000</v>
      </c>
    </row>
    <row r="980" spans="1:10" ht="16" x14ac:dyDescent="0.45">
      <c r="A980" s="153" t="str">
        <f>B980&amp;C980&amp;E980&amp;G980</f>
        <v>매트리스메모리폼 매트리스74M(4개월점검주기)</v>
      </c>
      <c r="B980" s="17" t="s">
        <v>228</v>
      </c>
      <c r="C980" s="18" t="s">
        <v>492</v>
      </c>
      <c r="D980" s="19" t="s">
        <v>242</v>
      </c>
      <c r="E980" s="19">
        <v>7</v>
      </c>
      <c r="F980" s="19" t="s">
        <v>0</v>
      </c>
      <c r="G980" s="20" t="s">
        <v>453</v>
      </c>
      <c r="H980" s="36">
        <v>32900</v>
      </c>
      <c r="I980" s="36">
        <v>32900</v>
      </c>
      <c r="J980" s="25">
        <v>276100</v>
      </c>
    </row>
    <row r="981" spans="1:10" ht="16" x14ac:dyDescent="0.45">
      <c r="A981" s="153" t="str">
        <f>B981&amp;C981&amp;E981&amp;G981</f>
        <v>매트리스메모리폼 매트리스94M(4개월점검주기)</v>
      </c>
      <c r="B981" s="17" t="s">
        <v>228</v>
      </c>
      <c r="C981" s="18" t="s">
        <v>492</v>
      </c>
      <c r="D981" s="19" t="s">
        <v>242</v>
      </c>
      <c r="E981" s="19">
        <v>9</v>
      </c>
      <c r="F981" s="19" t="s">
        <v>0</v>
      </c>
      <c r="G981" s="20" t="s">
        <v>453</v>
      </c>
      <c r="H981" s="36">
        <v>28900</v>
      </c>
      <c r="I981" s="36">
        <v>28900</v>
      </c>
      <c r="J981" s="25">
        <v>276100</v>
      </c>
    </row>
    <row r="982" spans="1:10" ht="16" x14ac:dyDescent="0.45">
      <c r="A982" s="153" t="str">
        <f>B982&amp;C982&amp;E982&amp;G982</f>
        <v>매트리스메모리폼 매트리스5베이직케어(4M)</v>
      </c>
      <c r="B982" s="17" t="s">
        <v>228</v>
      </c>
      <c r="C982" s="18" t="s">
        <v>492</v>
      </c>
      <c r="D982" s="19" t="s">
        <v>242</v>
      </c>
      <c r="E982" s="19">
        <v>5</v>
      </c>
      <c r="F982" s="19" t="s">
        <v>0</v>
      </c>
      <c r="G982" s="20" t="s">
        <v>608</v>
      </c>
      <c r="H982" s="36">
        <v>37900</v>
      </c>
      <c r="I982" s="36">
        <v>37900</v>
      </c>
      <c r="J982" s="25">
        <v>251000</v>
      </c>
    </row>
    <row r="983" spans="1:10" ht="16" x14ac:dyDescent="0.45">
      <c r="A983" s="153" t="str">
        <f>B983&amp;C983&amp;E983&amp;G983</f>
        <v>매트리스메모리폼 매트리스7베이직케어(4M)</v>
      </c>
      <c r="B983" s="17" t="s">
        <v>228</v>
      </c>
      <c r="C983" s="18" t="s">
        <v>492</v>
      </c>
      <c r="D983" s="19" t="s">
        <v>242</v>
      </c>
      <c r="E983" s="19">
        <v>7</v>
      </c>
      <c r="F983" s="19" t="s">
        <v>0</v>
      </c>
      <c r="G983" s="20" t="s">
        <v>608</v>
      </c>
      <c r="H983" s="36">
        <v>30900</v>
      </c>
      <c r="I983" s="36">
        <v>30900</v>
      </c>
      <c r="J983" s="25">
        <v>276100</v>
      </c>
    </row>
    <row r="984" spans="1:10" ht="16" x14ac:dyDescent="0.45">
      <c r="A984" s="153" t="str">
        <f>B984&amp;C984&amp;E984&amp;G984</f>
        <v>매트리스메모리폼 매트리스9베이직케어(4M)</v>
      </c>
      <c r="B984" s="17" t="s">
        <v>228</v>
      </c>
      <c r="C984" s="18" t="s">
        <v>492</v>
      </c>
      <c r="D984" s="19" t="s">
        <v>242</v>
      </c>
      <c r="E984" s="19">
        <v>9</v>
      </c>
      <c r="F984" s="19" t="s">
        <v>0</v>
      </c>
      <c r="G984" s="20" t="s">
        <v>608</v>
      </c>
      <c r="H984" s="36">
        <v>26900</v>
      </c>
      <c r="I984" s="36">
        <v>26900</v>
      </c>
      <c r="J984" s="25">
        <v>276100</v>
      </c>
    </row>
    <row r="985" spans="1:10" ht="16" x14ac:dyDescent="0.45">
      <c r="A985" s="153" t="str">
        <f>B985&amp;C985&amp;E985&amp;G985</f>
        <v>매트리스메모리폼 매트리스5서비스프리</v>
      </c>
      <c r="B985" s="17" t="s">
        <v>228</v>
      </c>
      <c r="C985" s="18" t="s">
        <v>492</v>
      </c>
      <c r="D985" s="19" t="s">
        <v>242</v>
      </c>
      <c r="E985" s="19">
        <v>5</v>
      </c>
      <c r="F985" s="19" t="s">
        <v>0</v>
      </c>
      <c r="G985" s="20" t="s">
        <v>183</v>
      </c>
      <c r="H985" s="36">
        <v>35900</v>
      </c>
      <c r="I985" s="36">
        <v>35900</v>
      </c>
      <c r="J985" s="25">
        <v>239700</v>
      </c>
    </row>
    <row r="986" spans="1:10" ht="16" x14ac:dyDescent="0.45">
      <c r="A986" s="153" t="str">
        <f>B986&amp;C986&amp;E986&amp;G986</f>
        <v>매트리스메모리폼 매트리스7서비스프리</v>
      </c>
      <c r="B986" s="17" t="s">
        <v>228</v>
      </c>
      <c r="C986" s="18" t="s">
        <v>492</v>
      </c>
      <c r="D986" s="19" t="s">
        <v>242</v>
      </c>
      <c r="E986" s="19">
        <v>7</v>
      </c>
      <c r="F986" s="19" t="s">
        <v>0</v>
      </c>
      <c r="G986" s="20" t="s">
        <v>183</v>
      </c>
      <c r="H986" s="36">
        <v>28900</v>
      </c>
      <c r="I986" s="36">
        <v>28900</v>
      </c>
      <c r="J986" s="25">
        <v>263700</v>
      </c>
    </row>
    <row r="987" spans="1:10" ht="16" x14ac:dyDescent="0.45">
      <c r="A987" s="153" t="str">
        <f>B987&amp;C987&amp;E987&amp;G987</f>
        <v>매트리스메모리폼 매트리스9서비스프리</v>
      </c>
      <c r="B987" s="17" t="s">
        <v>228</v>
      </c>
      <c r="C987" s="18" t="s">
        <v>492</v>
      </c>
      <c r="D987" s="19" t="s">
        <v>242</v>
      </c>
      <c r="E987" s="19">
        <v>9</v>
      </c>
      <c r="F987" s="19" t="s">
        <v>0</v>
      </c>
      <c r="G987" s="20" t="s">
        <v>183</v>
      </c>
      <c r="H987" s="36">
        <v>24900</v>
      </c>
      <c r="I987" s="36">
        <v>24900</v>
      </c>
      <c r="J987" s="25">
        <v>263700</v>
      </c>
    </row>
    <row r="988" spans="1:10" ht="16" x14ac:dyDescent="0.45">
      <c r="A988" s="153" t="str">
        <f>B988&amp;C988&amp;E988&amp;G988</f>
        <v>매트리스메모리폼 매트리스51회서비스</v>
      </c>
      <c r="B988" s="17" t="s">
        <v>228</v>
      </c>
      <c r="C988" s="18" t="s">
        <v>492</v>
      </c>
      <c r="D988" s="19" t="s">
        <v>247</v>
      </c>
      <c r="E988" s="19">
        <v>5</v>
      </c>
      <c r="F988" s="19" t="s">
        <v>0</v>
      </c>
      <c r="G988" s="20" t="s">
        <v>457</v>
      </c>
      <c r="H988" s="36">
        <v>31900</v>
      </c>
      <c r="I988" s="36">
        <v>31900</v>
      </c>
      <c r="J988" s="25">
        <v>219800</v>
      </c>
    </row>
    <row r="989" spans="1:10" ht="16" x14ac:dyDescent="0.45">
      <c r="A989" s="153" t="str">
        <f>B989&amp;C989&amp;E989&amp;G989</f>
        <v>매트리스메모리폼 매트리스71회서비스</v>
      </c>
      <c r="B989" s="17" t="s">
        <v>228</v>
      </c>
      <c r="C989" s="18" t="s">
        <v>492</v>
      </c>
      <c r="D989" s="19" t="s">
        <v>247</v>
      </c>
      <c r="E989" s="19">
        <v>7</v>
      </c>
      <c r="F989" s="19" t="s">
        <v>0</v>
      </c>
      <c r="G989" s="20" t="s">
        <v>457</v>
      </c>
      <c r="H989" s="36">
        <v>24900</v>
      </c>
      <c r="I989" s="36">
        <v>24900</v>
      </c>
      <c r="J989" s="25">
        <v>241800</v>
      </c>
    </row>
    <row r="990" spans="1:10" ht="16" x14ac:dyDescent="0.45">
      <c r="A990" s="153" t="str">
        <f>B990&amp;C990&amp;E990&amp;G990</f>
        <v>매트리스메모리폼 매트리스91회서비스</v>
      </c>
      <c r="B990" s="17" t="s">
        <v>228</v>
      </c>
      <c r="C990" s="18" t="s">
        <v>492</v>
      </c>
      <c r="D990" s="19" t="s">
        <v>247</v>
      </c>
      <c r="E990" s="19">
        <v>9</v>
      </c>
      <c r="F990" s="19" t="s">
        <v>0</v>
      </c>
      <c r="G990" s="20" t="s">
        <v>457</v>
      </c>
      <c r="H990" s="36">
        <v>20900</v>
      </c>
      <c r="I990" s="36">
        <v>20900</v>
      </c>
      <c r="J990" s="25">
        <v>241800</v>
      </c>
    </row>
    <row r="991" spans="1:10" ht="16" x14ac:dyDescent="0.45">
      <c r="A991" s="153" t="str">
        <f>B991&amp;C991&amp;E991&amp;G991</f>
        <v>매트리스메모리폼 매트리스54M(4개월점검주기)</v>
      </c>
      <c r="B991" s="17" t="s">
        <v>228</v>
      </c>
      <c r="C991" s="18" t="s">
        <v>492</v>
      </c>
      <c r="D991" s="19" t="s">
        <v>247</v>
      </c>
      <c r="E991" s="19">
        <v>5</v>
      </c>
      <c r="F991" s="19" t="s">
        <v>0</v>
      </c>
      <c r="G991" s="20" t="s">
        <v>453</v>
      </c>
      <c r="H991" s="36">
        <v>33900</v>
      </c>
      <c r="I991" s="36">
        <v>33900</v>
      </c>
      <c r="J991" s="25">
        <v>231100</v>
      </c>
    </row>
    <row r="992" spans="1:10" ht="16" x14ac:dyDescent="0.45">
      <c r="A992" s="153" t="str">
        <f>B992&amp;C992&amp;E992&amp;G992</f>
        <v>매트리스메모리폼 매트리스64M(4개월점검주기)</v>
      </c>
      <c r="B992" s="17" t="s">
        <v>228</v>
      </c>
      <c r="C992" s="18" t="s">
        <v>492</v>
      </c>
      <c r="D992" s="19" t="s">
        <v>247</v>
      </c>
      <c r="E992" s="19">
        <v>6</v>
      </c>
      <c r="F992" s="19" t="s">
        <v>0</v>
      </c>
      <c r="G992" s="20" t="s">
        <v>453</v>
      </c>
      <c r="H992" s="36">
        <v>31900</v>
      </c>
      <c r="I992" s="36">
        <v>31900</v>
      </c>
      <c r="J992" s="25">
        <v>231100</v>
      </c>
    </row>
    <row r="993" spans="1:10" ht="16" x14ac:dyDescent="0.45">
      <c r="A993" s="153" t="str">
        <f>B993&amp;C993&amp;E993&amp;G993</f>
        <v>매트리스메모리폼 매트리스74M(4개월점검주기)</v>
      </c>
      <c r="B993" s="17" t="s">
        <v>228</v>
      </c>
      <c r="C993" s="18" t="s">
        <v>492</v>
      </c>
      <c r="D993" s="19" t="s">
        <v>247</v>
      </c>
      <c r="E993" s="19">
        <v>7</v>
      </c>
      <c r="F993" s="19" t="s">
        <v>0</v>
      </c>
      <c r="G993" s="20" t="s">
        <v>453</v>
      </c>
      <c r="H993" s="36">
        <v>26900</v>
      </c>
      <c r="I993" s="36">
        <v>26900</v>
      </c>
      <c r="J993" s="25">
        <v>254200</v>
      </c>
    </row>
    <row r="994" spans="1:10" ht="16" x14ac:dyDescent="0.45">
      <c r="A994" s="153" t="str">
        <f>B994&amp;C994&amp;E994&amp;G994</f>
        <v>매트리스메모리폼 매트리스94M(4개월점검주기)</v>
      </c>
      <c r="B994" s="17" t="s">
        <v>228</v>
      </c>
      <c r="C994" s="18" t="s">
        <v>492</v>
      </c>
      <c r="D994" s="19" t="s">
        <v>247</v>
      </c>
      <c r="E994" s="19">
        <v>9</v>
      </c>
      <c r="F994" s="19" t="s">
        <v>0</v>
      </c>
      <c r="G994" s="20" t="s">
        <v>453</v>
      </c>
      <c r="H994" s="36">
        <v>22900</v>
      </c>
      <c r="I994" s="36">
        <v>22900</v>
      </c>
      <c r="J994" s="25">
        <v>254200</v>
      </c>
    </row>
    <row r="995" spans="1:10" ht="16" x14ac:dyDescent="0.45">
      <c r="A995" s="153" t="str">
        <f>B995&amp;C995&amp;E995&amp;G995</f>
        <v>매트리스메모리폼 매트리스5베이직케어(4M)</v>
      </c>
      <c r="B995" s="17" t="s">
        <v>228</v>
      </c>
      <c r="C995" s="18" t="s">
        <v>492</v>
      </c>
      <c r="D995" s="19" t="s">
        <v>247</v>
      </c>
      <c r="E995" s="19">
        <v>5</v>
      </c>
      <c r="F995" s="19" t="s">
        <v>0</v>
      </c>
      <c r="G995" s="20" t="s">
        <v>608</v>
      </c>
      <c r="H995" s="36">
        <v>31900</v>
      </c>
      <c r="I995" s="36">
        <v>31900</v>
      </c>
      <c r="J995" s="25">
        <v>219800</v>
      </c>
    </row>
    <row r="996" spans="1:10" ht="16" x14ac:dyDescent="0.45">
      <c r="A996" s="153" t="str">
        <f>B996&amp;C996&amp;E996&amp;G996</f>
        <v>매트리스메모리폼 매트리스7베이직케어(4M)</v>
      </c>
      <c r="B996" s="17" t="s">
        <v>228</v>
      </c>
      <c r="C996" s="18" t="s">
        <v>492</v>
      </c>
      <c r="D996" s="19" t="s">
        <v>247</v>
      </c>
      <c r="E996" s="19">
        <v>7</v>
      </c>
      <c r="F996" s="19" t="s">
        <v>0</v>
      </c>
      <c r="G996" s="20" t="s">
        <v>608</v>
      </c>
      <c r="H996" s="36">
        <v>24900</v>
      </c>
      <c r="I996" s="36">
        <v>24900</v>
      </c>
      <c r="J996" s="25">
        <v>241800</v>
      </c>
    </row>
    <row r="997" spans="1:10" ht="16" x14ac:dyDescent="0.45">
      <c r="A997" s="153" t="str">
        <f>B997&amp;C997&amp;E997&amp;G997</f>
        <v>매트리스메모리폼 매트리스9베이직케어(4M)</v>
      </c>
      <c r="B997" s="17" t="s">
        <v>228</v>
      </c>
      <c r="C997" s="18" t="s">
        <v>492</v>
      </c>
      <c r="D997" s="19" t="s">
        <v>247</v>
      </c>
      <c r="E997" s="19">
        <v>9</v>
      </c>
      <c r="F997" s="19" t="s">
        <v>0</v>
      </c>
      <c r="G997" s="20" t="s">
        <v>608</v>
      </c>
      <c r="H997" s="36">
        <v>20900</v>
      </c>
      <c r="I997" s="36">
        <v>20900</v>
      </c>
      <c r="J997" s="25">
        <v>241800</v>
      </c>
    </row>
    <row r="998" spans="1:10" ht="16" x14ac:dyDescent="0.45">
      <c r="A998" s="153" t="str">
        <f>B998&amp;C998&amp;E998&amp;G998</f>
        <v>매트리스메모리폼 매트리스5서비스프리</v>
      </c>
      <c r="B998" s="17" t="s">
        <v>228</v>
      </c>
      <c r="C998" s="18" t="s">
        <v>492</v>
      </c>
      <c r="D998" s="19" t="s">
        <v>247</v>
      </c>
      <c r="E998" s="19">
        <v>5</v>
      </c>
      <c r="F998" s="19" t="s">
        <v>0</v>
      </c>
      <c r="G998" s="20" t="s">
        <v>183</v>
      </c>
      <c r="H998" s="36">
        <v>29900</v>
      </c>
      <c r="I998" s="36">
        <v>29900</v>
      </c>
      <c r="J998" s="25">
        <v>208600</v>
      </c>
    </row>
    <row r="999" spans="1:10" ht="16" x14ac:dyDescent="0.45">
      <c r="A999" s="153" t="str">
        <f>B999&amp;C999&amp;E999&amp;G999</f>
        <v>매트리스메모리폼 매트리스7서비스프리</v>
      </c>
      <c r="B999" s="17" t="s">
        <v>228</v>
      </c>
      <c r="C999" s="18" t="s">
        <v>492</v>
      </c>
      <c r="D999" s="19" t="s">
        <v>247</v>
      </c>
      <c r="E999" s="19">
        <v>7</v>
      </c>
      <c r="F999" s="19" t="s">
        <v>0</v>
      </c>
      <c r="G999" s="20" t="s">
        <v>183</v>
      </c>
      <c r="H999" s="36">
        <v>22900</v>
      </c>
      <c r="I999" s="36">
        <v>22900</v>
      </c>
      <c r="J999" s="25">
        <v>229500</v>
      </c>
    </row>
    <row r="1000" spans="1:10" ht="16" x14ac:dyDescent="0.45">
      <c r="A1000" s="153" t="str">
        <f>B1000&amp;C1000&amp;E1000&amp;G1000</f>
        <v>매트리스메모리폼 매트리스9서비스프리</v>
      </c>
      <c r="B1000" s="17" t="s">
        <v>228</v>
      </c>
      <c r="C1000" s="18" t="s">
        <v>492</v>
      </c>
      <c r="D1000" s="19" t="s">
        <v>247</v>
      </c>
      <c r="E1000" s="19">
        <v>9</v>
      </c>
      <c r="F1000" s="19" t="s">
        <v>0</v>
      </c>
      <c r="G1000" s="20" t="s">
        <v>183</v>
      </c>
      <c r="H1000" s="36">
        <v>18900</v>
      </c>
      <c r="I1000" s="36">
        <v>18900</v>
      </c>
      <c r="J1000" s="25">
        <v>229500</v>
      </c>
    </row>
    <row r="1001" spans="1:10" ht="16" x14ac:dyDescent="0.45">
      <c r="A1001" s="153" t="str">
        <f>B1001&amp;C1001&amp;E1001&amp;G1001</f>
        <v>매트리스모디51회서비스</v>
      </c>
      <c r="B1001" s="17" t="s">
        <v>228</v>
      </c>
      <c r="C1001" s="18" t="s">
        <v>962</v>
      </c>
      <c r="D1001" s="19" t="s">
        <v>965</v>
      </c>
      <c r="E1001" s="19">
        <v>5</v>
      </c>
      <c r="F1001" s="19" t="s">
        <v>0</v>
      </c>
      <c r="G1001" s="20" t="s">
        <v>457</v>
      </c>
      <c r="H1001" s="36">
        <v>41900</v>
      </c>
      <c r="I1001" s="36">
        <v>41900</v>
      </c>
      <c r="J1001" s="25">
        <v>251000</v>
      </c>
    </row>
    <row r="1002" spans="1:10" ht="16" x14ac:dyDescent="0.45">
      <c r="A1002" s="153" t="str">
        <f>B1002&amp;C1002&amp;E1002&amp;G1002</f>
        <v>매트리스모디71회서비스</v>
      </c>
      <c r="B1002" s="17" t="s">
        <v>228</v>
      </c>
      <c r="C1002" s="18" t="s">
        <v>962</v>
      </c>
      <c r="D1002" s="19" t="s">
        <v>965</v>
      </c>
      <c r="E1002" s="19">
        <v>7</v>
      </c>
      <c r="F1002" s="19" t="s">
        <v>0</v>
      </c>
      <c r="G1002" s="20" t="s">
        <v>457</v>
      </c>
      <c r="H1002" s="36">
        <v>32900</v>
      </c>
      <c r="I1002" s="36">
        <v>32900</v>
      </c>
      <c r="J1002" s="25">
        <v>276100</v>
      </c>
    </row>
    <row r="1003" spans="1:10" ht="16" x14ac:dyDescent="0.45">
      <c r="A1003" s="153" t="str">
        <f>B1003&amp;C1003&amp;E1003&amp;G1003</f>
        <v>매트리스모디91회서비스</v>
      </c>
      <c r="B1003" s="17" t="s">
        <v>228</v>
      </c>
      <c r="C1003" s="18" t="s">
        <v>962</v>
      </c>
      <c r="D1003" s="19" t="s">
        <v>965</v>
      </c>
      <c r="E1003" s="19">
        <v>9</v>
      </c>
      <c r="F1003" s="19" t="s">
        <v>0</v>
      </c>
      <c r="G1003" s="20" t="s">
        <v>457</v>
      </c>
      <c r="H1003" s="36">
        <v>28900</v>
      </c>
      <c r="I1003" s="36">
        <v>28900</v>
      </c>
      <c r="J1003" s="25">
        <v>276100</v>
      </c>
    </row>
    <row r="1004" spans="1:10" ht="16" x14ac:dyDescent="0.45">
      <c r="A1004" s="153" t="str">
        <f>B1004&amp;C1004&amp;E1004&amp;G1004</f>
        <v>매트리스모디54M(4개월점검주기)</v>
      </c>
      <c r="B1004" s="17" t="s">
        <v>228</v>
      </c>
      <c r="C1004" s="18" t="s">
        <v>962</v>
      </c>
      <c r="D1004" s="19" t="s">
        <v>965</v>
      </c>
      <c r="E1004" s="19">
        <v>5</v>
      </c>
      <c r="F1004" s="19" t="s">
        <v>0</v>
      </c>
      <c r="G1004" s="20" t="s">
        <v>453</v>
      </c>
      <c r="H1004" s="36">
        <v>43900</v>
      </c>
      <c r="I1004" s="36">
        <v>43900</v>
      </c>
      <c r="J1004" s="25">
        <v>262200</v>
      </c>
    </row>
    <row r="1005" spans="1:10" ht="16" x14ac:dyDescent="0.45">
      <c r="A1005" s="153" t="str">
        <f>B1005&amp;C1005&amp;E1005&amp;G1005</f>
        <v>매트리스모디74M(4개월점검주기)</v>
      </c>
      <c r="B1005" s="17" t="s">
        <v>228</v>
      </c>
      <c r="C1005" s="18" t="s">
        <v>962</v>
      </c>
      <c r="D1005" s="19" t="s">
        <v>965</v>
      </c>
      <c r="E1005" s="19">
        <v>7</v>
      </c>
      <c r="F1005" s="19" t="s">
        <v>0</v>
      </c>
      <c r="G1005" s="20" t="s">
        <v>453</v>
      </c>
      <c r="H1005" s="36">
        <v>34900</v>
      </c>
      <c r="I1005" s="36">
        <v>34900</v>
      </c>
      <c r="J1005" s="25">
        <v>288400</v>
      </c>
    </row>
    <row r="1006" spans="1:10" ht="16" x14ac:dyDescent="0.45">
      <c r="A1006" s="153" t="str">
        <f>B1006&amp;C1006&amp;E1006&amp;G1006</f>
        <v>매트리스모디94M(4개월점검주기)</v>
      </c>
      <c r="B1006" s="17" t="s">
        <v>228</v>
      </c>
      <c r="C1006" s="18" t="s">
        <v>962</v>
      </c>
      <c r="D1006" s="19" t="s">
        <v>965</v>
      </c>
      <c r="E1006" s="19">
        <v>9</v>
      </c>
      <c r="F1006" s="19" t="s">
        <v>0</v>
      </c>
      <c r="G1006" s="20" t="s">
        <v>453</v>
      </c>
      <c r="H1006" s="36">
        <v>30900</v>
      </c>
      <c r="I1006" s="36">
        <v>30900</v>
      </c>
      <c r="J1006" s="25">
        <v>288400</v>
      </c>
    </row>
    <row r="1007" spans="1:10" ht="16" x14ac:dyDescent="0.45">
      <c r="A1007" s="153" t="str">
        <f>B1007&amp;C1007&amp;E1007&amp;G1007</f>
        <v>매트리스모디5베이직케어(4M)</v>
      </c>
      <c r="B1007" s="17" t="s">
        <v>228</v>
      </c>
      <c r="C1007" s="18" t="s">
        <v>962</v>
      </c>
      <c r="D1007" s="19" t="s">
        <v>965</v>
      </c>
      <c r="E1007" s="19">
        <v>5</v>
      </c>
      <c r="F1007" s="19" t="s">
        <v>0</v>
      </c>
      <c r="G1007" s="20" t="s">
        <v>608</v>
      </c>
      <c r="H1007" s="36">
        <v>39900</v>
      </c>
      <c r="I1007" s="36">
        <v>39900</v>
      </c>
      <c r="J1007" s="25">
        <v>251000</v>
      </c>
    </row>
    <row r="1008" spans="1:10" ht="16" x14ac:dyDescent="0.45">
      <c r="A1008" s="153" t="str">
        <f>B1008&amp;C1008&amp;E1008&amp;G1008</f>
        <v>매트리스모디7베이직케어(4M)</v>
      </c>
      <c r="B1008" s="17" t="s">
        <v>228</v>
      </c>
      <c r="C1008" s="18" t="s">
        <v>962</v>
      </c>
      <c r="D1008" s="19" t="s">
        <v>965</v>
      </c>
      <c r="E1008" s="19">
        <v>7</v>
      </c>
      <c r="F1008" s="19" t="s">
        <v>0</v>
      </c>
      <c r="G1008" s="20" t="s">
        <v>608</v>
      </c>
      <c r="H1008" s="36">
        <v>30900</v>
      </c>
      <c r="I1008" s="36">
        <v>30900</v>
      </c>
      <c r="J1008" s="25">
        <v>276100</v>
      </c>
    </row>
    <row r="1009" spans="1:10" ht="16" x14ac:dyDescent="0.45">
      <c r="A1009" s="153" t="str">
        <f>B1009&amp;C1009&amp;E1009&amp;G1009</f>
        <v>매트리스모디9베이직케어(4M)</v>
      </c>
      <c r="B1009" s="17" t="s">
        <v>228</v>
      </c>
      <c r="C1009" s="18" t="s">
        <v>962</v>
      </c>
      <c r="D1009" s="19" t="s">
        <v>965</v>
      </c>
      <c r="E1009" s="19">
        <v>9</v>
      </c>
      <c r="F1009" s="19" t="s">
        <v>0</v>
      </c>
      <c r="G1009" s="20" t="s">
        <v>608</v>
      </c>
      <c r="H1009" s="36">
        <v>26900</v>
      </c>
      <c r="I1009" s="36">
        <v>26900</v>
      </c>
      <c r="J1009" s="25">
        <v>276100</v>
      </c>
    </row>
    <row r="1010" spans="1:10" ht="16" x14ac:dyDescent="0.45">
      <c r="A1010" s="153" t="str">
        <f>B1010&amp;C1010&amp;E1010&amp;G1010</f>
        <v>매트리스모디5서비스프리</v>
      </c>
      <c r="B1010" s="17" t="s">
        <v>228</v>
      </c>
      <c r="C1010" s="18" t="s">
        <v>962</v>
      </c>
      <c r="D1010" s="19" t="s">
        <v>965</v>
      </c>
      <c r="E1010" s="19">
        <v>5</v>
      </c>
      <c r="F1010" s="19" t="s">
        <v>0</v>
      </c>
      <c r="G1010" s="20" t="s">
        <v>183</v>
      </c>
      <c r="H1010" s="36">
        <v>37900</v>
      </c>
      <c r="I1010" s="36">
        <v>37900</v>
      </c>
      <c r="J1010" s="25">
        <v>239700</v>
      </c>
    </row>
    <row r="1011" spans="1:10" ht="16" x14ac:dyDescent="0.45">
      <c r="A1011" s="153" t="str">
        <f>B1011&amp;C1011&amp;E1011&amp;G1011</f>
        <v>매트리스모디7서비스프리</v>
      </c>
      <c r="B1011" s="17" t="s">
        <v>228</v>
      </c>
      <c r="C1011" s="18" t="s">
        <v>962</v>
      </c>
      <c r="D1011" s="19" t="s">
        <v>965</v>
      </c>
      <c r="E1011" s="19">
        <v>7</v>
      </c>
      <c r="F1011" s="19" t="s">
        <v>0</v>
      </c>
      <c r="G1011" s="20" t="s">
        <v>183</v>
      </c>
      <c r="H1011" s="36">
        <v>28900</v>
      </c>
      <c r="I1011" s="36">
        <v>28900</v>
      </c>
      <c r="J1011" s="25">
        <v>263700</v>
      </c>
    </row>
    <row r="1012" spans="1:10" ht="16" x14ac:dyDescent="0.45">
      <c r="A1012" s="153" t="str">
        <f>B1012&amp;C1012&amp;E1012&amp;G1012</f>
        <v>매트리스모디9서비스프리</v>
      </c>
      <c r="B1012" s="17" t="s">
        <v>228</v>
      </c>
      <c r="C1012" s="18" t="s">
        <v>962</v>
      </c>
      <c r="D1012" s="19" t="s">
        <v>965</v>
      </c>
      <c r="E1012" s="19">
        <v>9</v>
      </c>
      <c r="F1012" s="19" t="s">
        <v>0</v>
      </c>
      <c r="G1012" s="20" t="s">
        <v>183</v>
      </c>
      <c r="H1012" s="36">
        <v>24900</v>
      </c>
      <c r="I1012" s="36">
        <v>24900</v>
      </c>
      <c r="J1012" s="25">
        <v>263700</v>
      </c>
    </row>
    <row r="1013" spans="1:10" ht="16" x14ac:dyDescent="0.45">
      <c r="A1013" s="153" t="str">
        <f>B1013&amp;C1013&amp;E1013&amp;G1013</f>
        <v>매트리스모디51회서비스</v>
      </c>
      <c r="B1013" s="17" t="s">
        <v>228</v>
      </c>
      <c r="C1013" s="18" t="s">
        <v>962</v>
      </c>
      <c r="D1013" s="19" t="s">
        <v>966</v>
      </c>
      <c r="E1013" s="19">
        <v>5</v>
      </c>
      <c r="F1013" s="19" t="s">
        <v>0</v>
      </c>
      <c r="G1013" s="20" t="s">
        <v>457</v>
      </c>
      <c r="H1013" s="36">
        <v>41900</v>
      </c>
      <c r="I1013" s="36">
        <v>41900</v>
      </c>
      <c r="J1013" s="25">
        <v>251000</v>
      </c>
    </row>
    <row r="1014" spans="1:10" ht="16" x14ac:dyDescent="0.45">
      <c r="A1014" s="153" t="str">
        <f>B1014&amp;C1014&amp;E1014&amp;G1014</f>
        <v>매트리스모디71회서비스</v>
      </c>
      <c r="B1014" s="17" t="s">
        <v>228</v>
      </c>
      <c r="C1014" s="18" t="s">
        <v>962</v>
      </c>
      <c r="D1014" s="19" t="s">
        <v>966</v>
      </c>
      <c r="E1014" s="19">
        <v>7</v>
      </c>
      <c r="F1014" s="19" t="s">
        <v>0</v>
      </c>
      <c r="G1014" s="20" t="s">
        <v>457</v>
      </c>
      <c r="H1014" s="36">
        <v>32900</v>
      </c>
      <c r="I1014" s="36">
        <v>32900</v>
      </c>
      <c r="J1014" s="25">
        <v>276100</v>
      </c>
    </row>
    <row r="1015" spans="1:10" ht="16" x14ac:dyDescent="0.45">
      <c r="A1015" s="153" t="str">
        <f>B1015&amp;C1015&amp;E1015&amp;G1015</f>
        <v>매트리스모디91회서비스</v>
      </c>
      <c r="B1015" s="17" t="s">
        <v>228</v>
      </c>
      <c r="C1015" s="18" t="s">
        <v>962</v>
      </c>
      <c r="D1015" s="19" t="s">
        <v>966</v>
      </c>
      <c r="E1015" s="19">
        <v>9</v>
      </c>
      <c r="F1015" s="19" t="s">
        <v>0</v>
      </c>
      <c r="G1015" s="20" t="s">
        <v>457</v>
      </c>
      <c r="H1015" s="36">
        <v>28900</v>
      </c>
      <c r="I1015" s="36">
        <v>28900</v>
      </c>
      <c r="J1015" s="25">
        <v>276100</v>
      </c>
    </row>
    <row r="1016" spans="1:10" ht="16" x14ac:dyDescent="0.45">
      <c r="A1016" s="153" t="str">
        <f>B1016&amp;C1016&amp;E1016&amp;G1016</f>
        <v>매트리스모디54M(4개월점검주기)</v>
      </c>
      <c r="B1016" s="17" t="s">
        <v>228</v>
      </c>
      <c r="C1016" s="18" t="s">
        <v>962</v>
      </c>
      <c r="D1016" s="19" t="s">
        <v>966</v>
      </c>
      <c r="E1016" s="19">
        <v>5</v>
      </c>
      <c r="F1016" s="19" t="s">
        <v>0</v>
      </c>
      <c r="G1016" s="20" t="s">
        <v>453</v>
      </c>
      <c r="H1016" s="36">
        <v>43900</v>
      </c>
      <c r="I1016" s="36">
        <v>43900</v>
      </c>
      <c r="J1016" s="25">
        <v>262200</v>
      </c>
    </row>
    <row r="1017" spans="1:10" ht="16" x14ac:dyDescent="0.45">
      <c r="A1017" s="153" t="str">
        <f>B1017&amp;C1017&amp;E1017&amp;G1017</f>
        <v>매트리스모디74M(4개월점검주기)</v>
      </c>
      <c r="B1017" s="17" t="s">
        <v>228</v>
      </c>
      <c r="C1017" s="18" t="s">
        <v>962</v>
      </c>
      <c r="D1017" s="19" t="s">
        <v>966</v>
      </c>
      <c r="E1017" s="19">
        <v>7</v>
      </c>
      <c r="F1017" s="19" t="s">
        <v>0</v>
      </c>
      <c r="G1017" s="20" t="s">
        <v>453</v>
      </c>
      <c r="H1017" s="36">
        <v>34900</v>
      </c>
      <c r="I1017" s="36">
        <v>34900</v>
      </c>
      <c r="J1017" s="25">
        <v>288400</v>
      </c>
    </row>
    <row r="1018" spans="1:10" ht="16" x14ac:dyDescent="0.45">
      <c r="A1018" s="153" t="str">
        <f>B1018&amp;C1018&amp;E1018&amp;G1018</f>
        <v>매트리스모디94M(4개월점검주기)</v>
      </c>
      <c r="B1018" s="17" t="s">
        <v>228</v>
      </c>
      <c r="C1018" s="18" t="s">
        <v>962</v>
      </c>
      <c r="D1018" s="19" t="s">
        <v>966</v>
      </c>
      <c r="E1018" s="19">
        <v>9</v>
      </c>
      <c r="F1018" s="19" t="s">
        <v>0</v>
      </c>
      <c r="G1018" s="20" t="s">
        <v>453</v>
      </c>
      <c r="H1018" s="36">
        <v>30900</v>
      </c>
      <c r="I1018" s="36">
        <v>30900</v>
      </c>
      <c r="J1018" s="25">
        <v>288400</v>
      </c>
    </row>
    <row r="1019" spans="1:10" ht="16" x14ac:dyDescent="0.45">
      <c r="A1019" s="153" t="str">
        <f>B1019&amp;C1019&amp;E1019&amp;G1019</f>
        <v>매트리스모디5베이직케어(4M)</v>
      </c>
      <c r="B1019" s="17" t="s">
        <v>228</v>
      </c>
      <c r="C1019" s="18" t="s">
        <v>962</v>
      </c>
      <c r="D1019" s="19" t="s">
        <v>966</v>
      </c>
      <c r="E1019" s="19">
        <v>5</v>
      </c>
      <c r="F1019" s="19" t="s">
        <v>0</v>
      </c>
      <c r="G1019" s="20" t="s">
        <v>608</v>
      </c>
      <c r="H1019" s="36">
        <v>39900</v>
      </c>
      <c r="I1019" s="36">
        <v>39900</v>
      </c>
      <c r="J1019" s="25">
        <v>251000</v>
      </c>
    </row>
    <row r="1020" spans="1:10" ht="16" x14ac:dyDescent="0.45">
      <c r="A1020" s="153" t="str">
        <f>B1020&amp;C1020&amp;E1020&amp;G1020</f>
        <v>매트리스모디7베이직케어(4M)</v>
      </c>
      <c r="B1020" s="17" t="s">
        <v>228</v>
      </c>
      <c r="C1020" s="18" t="s">
        <v>962</v>
      </c>
      <c r="D1020" s="19" t="s">
        <v>966</v>
      </c>
      <c r="E1020" s="19">
        <v>7</v>
      </c>
      <c r="F1020" s="19" t="s">
        <v>0</v>
      </c>
      <c r="G1020" s="20" t="s">
        <v>608</v>
      </c>
      <c r="H1020" s="36">
        <v>30900</v>
      </c>
      <c r="I1020" s="36">
        <v>30900</v>
      </c>
      <c r="J1020" s="25">
        <v>276100</v>
      </c>
    </row>
    <row r="1021" spans="1:10" ht="16" x14ac:dyDescent="0.45">
      <c r="A1021" s="153" t="str">
        <f>B1021&amp;C1021&amp;E1021&amp;G1021</f>
        <v>매트리스모디9베이직케어(4M)</v>
      </c>
      <c r="B1021" s="17" t="s">
        <v>228</v>
      </c>
      <c r="C1021" s="18" t="s">
        <v>962</v>
      </c>
      <c r="D1021" s="19" t="s">
        <v>966</v>
      </c>
      <c r="E1021" s="19">
        <v>9</v>
      </c>
      <c r="F1021" s="19" t="s">
        <v>0</v>
      </c>
      <c r="G1021" s="20" t="s">
        <v>608</v>
      </c>
      <c r="H1021" s="36">
        <v>26900</v>
      </c>
      <c r="I1021" s="36">
        <v>26900</v>
      </c>
      <c r="J1021" s="25">
        <v>276100</v>
      </c>
    </row>
    <row r="1022" spans="1:10" ht="16" x14ac:dyDescent="0.45">
      <c r="A1022" s="153" t="str">
        <f>B1022&amp;C1022&amp;E1022&amp;G1022</f>
        <v>매트리스모디5서비스프리</v>
      </c>
      <c r="B1022" s="17" t="s">
        <v>228</v>
      </c>
      <c r="C1022" s="18" t="s">
        <v>962</v>
      </c>
      <c r="D1022" s="19" t="s">
        <v>966</v>
      </c>
      <c r="E1022" s="19">
        <v>5</v>
      </c>
      <c r="F1022" s="19" t="s">
        <v>0</v>
      </c>
      <c r="G1022" s="20" t="s">
        <v>183</v>
      </c>
      <c r="H1022" s="36">
        <v>37900</v>
      </c>
      <c r="I1022" s="36">
        <v>37900</v>
      </c>
      <c r="J1022" s="25">
        <v>239700</v>
      </c>
    </row>
    <row r="1023" spans="1:10" ht="16" x14ac:dyDescent="0.45">
      <c r="A1023" s="153" t="str">
        <f>B1023&amp;C1023&amp;E1023&amp;G1023</f>
        <v>매트리스모디7서비스프리</v>
      </c>
      <c r="B1023" s="17" t="s">
        <v>228</v>
      </c>
      <c r="C1023" s="18" t="s">
        <v>962</v>
      </c>
      <c r="D1023" s="19" t="s">
        <v>966</v>
      </c>
      <c r="E1023" s="19">
        <v>7</v>
      </c>
      <c r="F1023" s="19" t="s">
        <v>0</v>
      </c>
      <c r="G1023" s="20" t="s">
        <v>183</v>
      </c>
      <c r="H1023" s="36">
        <v>28900</v>
      </c>
      <c r="I1023" s="36">
        <v>28900</v>
      </c>
      <c r="J1023" s="25">
        <v>263700</v>
      </c>
    </row>
    <row r="1024" spans="1:10" ht="16" x14ac:dyDescent="0.45">
      <c r="A1024" s="153" t="str">
        <f>B1024&amp;C1024&amp;E1024&amp;G1024</f>
        <v>매트리스모디9서비스프리</v>
      </c>
      <c r="B1024" s="17" t="s">
        <v>228</v>
      </c>
      <c r="C1024" s="18" t="s">
        <v>962</v>
      </c>
      <c r="D1024" s="19" t="s">
        <v>966</v>
      </c>
      <c r="E1024" s="19">
        <v>9</v>
      </c>
      <c r="F1024" s="19" t="s">
        <v>0</v>
      </c>
      <c r="G1024" s="20" t="s">
        <v>183</v>
      </c>
      <c r="H1024" s="36">
        <v>24900</v>
      </c>
      <c r="I1024" s="36">
        <v>24900</v>
      </c>
      <c r="J1024" s="25">
        <v>263700</v>
      </c>
    </row>
    <row r="1025" spans="1:10" ht="16" x14ac:dyDescent="0.45">
      <c r="A1025" s="153" t="str">
        <f>B1025&amp;C1025&amp;E1025&amp;G1025</f>
        <v>매트리스모디51회서비스</v>
      </c>
      <c r="B1025" s="17" t="s">
        <v>228</v>
      </c>
      <c r="C1025" s="18" t="s">
        <v>962</v>
      </c>
      <c r="D1025" s="19" t="s">
        <v>963</v>
      </c>
      <c r="E1025" s="19">
        <v>5</v>
      </c>
      <c r="F1025" s="19" t="s">
        <v>0</v>
      </c>
      <c r="G1025" s="20" t="s">
        <v>457</v>
      </c>
      <c r="H1025" s="36">
        <v>49900</v>
      </c>
      <c r="I1025" s="36">
        <v>49900</v>
      </c>
      <c r="J1025" s="25">
        <v>273400</v>
      </c>
    </row>
    <row r="1026" spans="1:10" ht="16" x14ac:dyDescent="0.45">
      <c r="A1026" s="153" t="str">
        <f>B1026&amp;C1026&amp;E1026&amp;G1026</f>
        <v>매트리스모디71회서비스</v>
      </c>
      <c r="B1026" s="17" t="s">
        <v>228</v>
      </c>
      <c r="C1026" s="18" t="s">
        <v>962</v>
      </c>
      <c r="D1026" s="19" t="s">
        <v>963</v>
      </c>
      <c r="E1026" s="19">
        <v>7</v>
      </c>
      <c r="F1026" s="19" t="s">
        <v>0</v>
      </c>
      <c r="G1026" s="20" t="s">
        <v>457</v>
      </c>
      <c r="H1026" s="36">
        <v>37900</v>
      </c>
      <c r="I1026" s="36">
        <v>37900</v>
      </c>
      <c r="J1026" s="25">
        <v>300700</v>
      </c>
    </row>
    <row r="1027" spans="1:10" ht="16" x14ac:dyDescent="0.45">
      <c r="A1027" s="153" t="str">
        <f>B1027&amp;C1027&amp;E1027&amp;G1027</f>
        <v>매트리스모디91회서비스</v>
      </c>
      <c r="B1027" s="17" t="s">
        <v>228</v>
      </c>
      <c r="C1027" s="18" t="s">
        <v>962</v>
      </c>
      <c r="D1027" s="19" t="s">
        <v>963</v>
      </c>
      <c r="E1027" s="19">
        <v>9</v>
      </c>
      <c r="F1027" s="19" t="s">
        <v>0</v>
      </c>
      <c r="G1027" s="20" t="s">
        <v>457</v>
      </c>
      <c r="H1027" s="36">
        <v>33900</v>
      </c>
      <c r="I1027" s="36">
        <v>33900</v>
      </c>
      <c r="J1027" s="25">
        <v>300700</v>
      </c>
    </row>
    <row r="1028" spans="1:10" ht="16" x14ac:dyDescent="0.45">
      <c r="A1028" s="153" t="str">
        <f>B1028&amp;C1028&amp;E1028&amp;G1028</f>
        <v>매트리스모디54M(4개월점검주기)</v>
      </c>
      <c r="B1028" s="17" t="s">
        <v>228</v>
      </c>
      <c r="C1028" s="18" t="s">
        <v>962</v>
      </c>
      <c r="D1028" s="19" t="s">
        <v>963</v>
      </c>
      <c r="E1028" s="19">
        <v>5</v>
      </c>
      <c r="F1028" s="19" t="s">
        <v>0</v>
      </c>
      <c r="G1028" s="20" t="s">
        <v>453</v>
      </c>
      <c r="H1028" s="36">
        <v>51900</v>
      </c>
      <c r="I1028" s="36">
        <v>51900</v>
      </c>
      <c r="J1028" s="25">
        <v>273400</v>
      </c>
    </row>
    <row r="1029" spans="1:10" ht="16" x14ac:dyDescent="0.45">
      <c r="A1029" s="153" t="str">
        <f>B1029&amp;C1029&amp;E1029&amp;G1029</f>
        <v>매트리스모디74M(4개월점검주기)</v>
      </c>
      <c r="B1029" s="17" t="s">
        <v>228</v>
      </c>
      <c r="C1029" s="18" t="s">
        <v>962</v>
      </c>
      <c r="D1029" s="19" t="s">
        <v>963</v>
      </c>
      <c r="E1029" s="19">
        <v>7</v>
      </c>
      <c r="F1029" s="19" t="s">
        <v>0</v>
      </c>
      <c r="G1029" s="20" t="s">
        <v>453</v>
      </c>
      <c r="H1029" s="36">
        <v>39900</v>
      </c>
      <c r="I1029" s="36">
        <v>39900</v>
      </c>
      <c r="J1029" s="25">
        <v>300700</v>
      </c>
    </row>
    <row r="1030" spans="1:10" ht="16" x14ac:dyDescent="0.45">
      <c r="A1030" s="153" t="str">
        <f>B1030&amp;C1030&amp;E1030&amp;G1030</f>
        <v>매트리스모디94M(4개월점검주기)</v>
      </c>
      <c r="B1030" s="17" t="s">
        <v>228</v>
      </c>
      <c r="C1030" s="18" t="s">
        <v>962</v>
      </c>
      <c r="D1030" s="19" t="s">
        <v>963</v>
      </c>
      <c r="E1030" s="19">
        <v>9</v>
      </c>
      <c r="F1030" s="19" t="s">
        <v>0</v>
      </c>
      <c r="G1030" s="20" t="s">
        <v>453</v>
      </c>
      <c r="H1030" s="36">
        <v>35900</v>
      </c>
      <c r="I1030" s="36">
        <v>35900</v>
      </c>
      <c r="J1030" s="25">
        <v>300700</v>
      </c>
    </row>
    <row r="1031" spans="1:10" ht="16" x14ac:dyDescent="0.45">
      <c r="A1031" s="153" t="str">
        <f>B1031&amp;C1031&amp;E1031&amp;G1031</f>
        <v>매트리스모디5베이직케어(4M)</v>
      </c>
      <c r="B1031" s="17" t="s">
        <v>228</v>
      </c>
      <c r="C1031" s="18" t="s">
        <v>962</v>
      </c>
      <c r="D1031" s="19" t="s">
        <v>963</v>
      </c>
      <c r="E1031" s="19">
        <v>5</v>
      </c>
      <c r="F1031" s="19" t="s">
        <v>0</v>
      </c>
      <c r="G1031" s="20" t="s">
        <v>608</v>
      </c>
      <c r="H1031" s="36">
        <v>47900</v>
      </c>
      <c r="I1031" s="36">
        <v>47900</v>
      </c>
      <c r="J1031" s="25">
        <v>273400</v>
      </c>
    </row>
    <row r="1032" spans="1:10" ht="16" x14ac:dyDescent="0.45">
      <c r="A1032" s="153" t="str">
        <f>B1032&amp;C1032&amp;E1032&amp;G1032</f>
        <v>매트리스모디7베이직케어(4M)</v>
      </c>
      <c r="B1032" s="17" t="s">
        <v>228</v>
      </c>
      <c r="C1032" s="18" t="s">
        <v>962</v>
      </c>
      <c r="D1032" s="19" t="s">
        <v>963</v>
      </c>
      <c r="E1032" s="19">
        <v>7</v>
      </c>
      <c r="F1032" s="19" t="s">
        <v>0</v>
      </c>
      <c r="G1032" s="20" t="s">
        <v>608</v>
      </c>
      <c r="H1032" s="36">
        <v>35900</v>
      </c>
      <c r="I1032" s="36">
        <v>35900</v>
      </c>
      <c r="J1032" s="25">
        <v>300700</v>
      </c>
    </row>
    <row r="1033" spans="1:10" ht="16" x14ac:dyDescent="0.45">
      <c r="A1033" s="153" t="str">
        <f>B1033&amp;C1033&amp;E1033&amp;G1033</f>
        <v>매트리스모디9베이직케어(4M)</v>
      </c>
      <c r="B1033" s="17" t="s">
        <v>228</v>
      </c>
      <c r="C1033" s="18" t="s">
        <v>962</v>
      </c>
      <c r="D1033" s="19" t="s">
        <v>963</v>
      </c>
      <c r="E1033" s="19">
        <v>9</v>
      </c>
      <c r="F1033" s="19" t="s">
        <v>0</v>
      </c>
      <c r="G1033" s="20" t="s">
        <v>608</v>
      </c>
      <c r="H1033" s="36">
        <v>31900</v>
      </c>
      <c r="I1033" s="36">
        <v>31900</v>
      </c>
      <c r="J1033" s="25">
        <v>300700</v>
      </c>
    </row>
    <row r="1034" spans="1:10" ht="16" x14ac:dyDescent="0.45">
      <c r="A1034" s="153" t="str">
        <f>B1034&amp;C1034&amp;E1034&amp;G1034</f>
        <v>매트리스모디5서비스프리</v>
      </c>
      <c r="B1034" s="17" t="s">
        <v>228</v>
      </c>
      <c r="C1034" s="18" t="s">
        <v>962</v>
      </c>
      <c r="D1034" s="19" t="s">
        <v>963</v>
      </c>
      <c r="E1034" s="19">
        <v>5</v>
      </c>
      <c r="F1034" s="19" t="s">
        <v>0</v>
      </c>
      <c r="G1034" s="20" t="s">
        <v>183</v>
      </c>
      <c r="H1034" s="36">
        <v>45900</v>
      </c>
      <c r="I1034" s="36">
        <v>45900</v>
      </c>
      <c r="J1034" s="25">
        <v>262200</v>
      </c>
    </row>
    <row r="1035" spans="1:10" ht="16" x14ac:dyDescent="0.45">
      <c r="A1035" s="153" t="str">
        <f>B1035&amp;C1035&amp;E1035&amp;G1035</f>
        <v>매트리스모디7서비스프리</v>
      </c>
      <c r="B1035" s="17" t="s">
        <v>228</v>
      </c>
      <c r="C1035" s="18" t="s">
        <v>962</v>
      </c>
      <c r="D1035" s="19" t="s">
        <v>963</v>
      </c>
      <c r="E1035" s="19">
        <v>7</v>
      </c>
      <c r="F1035" s="19" t="s">
        <v>0</v>
      </c>
      <c r="G1035" s="20" t="s">
        <v>183</v>
      </c>
      <c r="H1035" s="36">
        <v>33900</v>
      </c>
      <c r="I1035" s="36">
        <v>33900</v>
      </c>
      <c r="J1035" s="25">
        <v>288400</v>
      </c>
    </row>
    <row r="1036" spans="1:10" ht="16" x14ac:dyDescent="0.45">
      <c r="A1036" s="153" t="str">
        <f>B1036&amp;C1036&amp;E1036&amp;G1036</f>
        <v>매트리스모디9서비스프리</v>
      </c>
      <c r="B1036" s="17" t="s">
        <v>228</v>
      </c>
      <c r="C1036" s="18" t="s">
        <v>962</v>
      </c>
      <c r="D1036" s="19" t="s">
        <v>963</v>
      </c>
      <c r="E1036" s="19">
        <v>9</v>
      </c>
      <c r="F1036" s="19" t="s">
        <v>0</v>
      </c>
      <c r="G1036" s="20" t="s">
        <v>183</v>
      </c>
      <c r="H1036" s="36">
        <v>29900</v>
      </c>
      <c r="I1036" s="36">
        <v>29900</v>
      </c>
      <c r="J1036" s="25">
        <v>288400</v>
      </c>
    </row>
    <row r="1037" spans="1:10" ht="16" x14ac:dyDescent="0.45">
      <c r="A1037" s="153" t="str">
        <f>B1037&amp;C1037&amp;E1037&amp;G1037</f>
        <v>매트리스모디51회서비스</v>
      </c>
      <c r="B1037" s="17" t="s">
        <v>228</v>
      </c>
      <c r="C1037" s="18" t="s">
        <v>962</v>
      </c>
      <c r="D1037" s="19" t="s">
        <v>964</v>
      </c>
      <c r="E1037" s="19">
        <v>5</v>
      </c>
      <c r="F1037" s="19" t="s">
        <v>0</v>
      </c>
      <c r="G1037" s="20" t="s">
        <v>457</v>
      </c>
      <c r="H1037" s="36">
        <v>49900</v>
      </c>
      <c r="I1037" s="36">
        <v>49900</v>
      </c>
      <c r="J1037" s="25">
        <v>273400</v>
      </c>
    </row>
    <row r="1038" spans="1:10" ht="16" x14ac:dyDescent="0.45">
      <c r="A1038" s="153" t="str">
        <f>B1038&amp;C1038&amp;E1038&amp;G1038</f>
        <v>매트리스모디71회서비스</v>
      </c>
      <c r="B1038" s="17" t="s">
        <v>228</v>
      </c>
      <c r="C1038" s="18" t="s">
        <v>962</v>
      </c>
      <c r="D1038" s="19" t="s">
        <v>964</v>
      </c>
      <c r="E1038" s="19">
        <v>7</v>
      </c>
      <c r="F1038" s="19" t="s">
        <v>0</v>
      </c>
      <c r="G1038" s="20" t="s">
        <v>457</v>
      </c>
      <c r="H1038" s="36">
        <v>37900</v>
      </c>
      <c r="I1038" s="36">
        <v>37900</v>
      </c>
      <c r="J1038" s="25">
        <v>300700</v>
      </c>
    </row>
    <row r="1039" spans="1:10" ht="16" x14ac:dyDescent="0.45">
      <c r="A1039" s="153" t="str">
        <f>B1039&amp;C1039&amp;E1039&amp;G1039</f>
        <v>매트리스모디91회서비스</v>
      </c>
      <c r="B1039" s="17" t="s">
        <v>228</v>
      </c>
      <c r="C1039" s="18" t="s">
        <v>962</v>
      </c>
      <c r="D1039" s="19" t="s">
        <v>964</v>
      </c>
      <c r="E1039" s="19">
        <v>9</v>
      </c>
      <c r="F1039" s="19" t="s">
        <v>0</v>
      </c>
      <c r="G1039" s="20" t="s">
        <v>457</v>
      </c>
      <c r="H1039" s="36">
        <v>33900</v>
      </c>
      <c r="I1039" s="36">
        <v>33900</v>
      </c>
      <c r="J1039" s="25">
        <v>300700</v>
      </c>
    </row>
    <row r="1040" spans="1:10" ht="16" x14ac:dyDescent="0.45">
      <c r="A1040" s="153" t="str">
        <f>B1040&amp;C1040&amp;E1040&amp;G1040</f>
        <v>매트리스모디54M(4개월점검주기)</v>
      </c>
      <c r="B1040" s="17" t="s">
        <v>228</v>
      </c>
      <c r="C1040" s="18" t="s">
        <v>962</v>
      </c>
      <c r="D1040" s="19" t="s">
        <v>964</v>
      </c>
      <c r="E1040" s="19">
        <v>5</v>
      </c>
      <c r="F1040" s="19" t="s">
        <v>0</v>
      </c>
      <c r="G1040" s="20" t="s">
        <v>453</v>
      </c>
      <c r="H1040" s="36">
        <v>51900</v>
      </c>
      <c r="I1040" s="36">
        <v>51900</v>
      </c>
      <c r="J1040" s="25">
        <v>273400</v>
      </c>
    </row>
    <row r="1041" spans="1:10" ht="16" x14ac:dyDescent="0.45">
      <c r="A1041" s="153" t="str">
        <f>B1041&amp;C1041&amp;E1041&amp;G1041</f>
        <v>매트리스모디74M(4개월점검주기)</v>
      </c>
      <c r="B1041" s="17" t="s">
        <v>228</v>
      </c>
      <c r="C1041" s="18" t="s">
        <v>962</v>
      </c>
      <c r="D1041" s="19" t="s">
        <v>964</v>
      </c>
      <c r="E1041" s="19">
        <v>7</v>
      </c>
      <c r="F1041" s="19" t="s">
        <v>0</v>
      </c>
      <c r="G1041" s="20" t="s">
        <v>453</v>
      </c>
      <c r="H1041" s="36">
        <v>39900</v>
      </c>
      <c r="I1041" s="36">
        <v>39900</v>
      </c>
      <c r="J1041" s="25">
        <v>300700</v>
      </c>
    </row>
    <row r="1042" spans="1:10" ht="16" x14ac:dyDescent="0.45">
      <c r="A1042" s="153" t="str">
        <f>B1042&amp;C1042&amp;E1042&amp;G1042</f>
        <v>매트리스모디94M(4개월점검주기)</v>
      </c>
      <c r="B1042" s="17" t="s">
        <v>228</v>
      </c>
      <c r="C1042" s="18" t="s">
        <v>962</v>
      </c>
      <c r="D1042" s="19" t="s">
        <v>964</v>
      </c>
      <c r="E1042" s="19">
        <v>9</v>
      </c>
      <c r="F1042" s="19" t="s">
        <v>0</v>
      </c>
      <c r="G1042" s="20" t="s">
        <v>453</v>
      </c>
      <c r="H1042" s="36">
        <v>35900</v>
      </c>
      <c r="I1042" s="36">
        <v>35900</v>
      </c>
      <c r="J1042" s="25">
        <v>300700</v>
      </c>
    </row>
    <row r="1043" spans="1:10" ht="16" x14ac:dyDescent="0.45">
      <c r="A1043" s="153" t="str">
        <f>B1043&amp;C1043&amp;E1043&amp;G1043</f>
        <v>매트리스모디5베이직케어(4M)</v>
      </c>
      <c r="B1043" s="17" t="s">
        <v>228</v>
      </c>
      <c r="C1043" s="18" t="s">
        <v>962</v>
      </c>
      <c r="D1043" s="19" t="s">
        <v>964</v>
      </c>
      <c r="E1043" s="19">
        <v>5</v>
      </c>
      <c r="F1043" s="19" t="s">
        <v>0</v>
      </c>
      <c r="G1043" s="20" t="s">
        <v>608</v>
      </c>
      <c r="H1043" s="36">
        <v>47900</v>
      </c>
      <c r="I1043" s="36">
        <v>47900</v>
      </c>
      <c r="J1043" s="25">
        <v>273400</v>
      </c>
    </row>
    <row r="1044" spans="1:10" ht="16" x14ac:dyDescent="0.45">
      <c r="A1044" s="153" t="str">
        <f>B1044&amp;C1044&amp;E1044&amp;G1044</f>
        <v>매트리스모디7베이직케어(4M)</v>
      </c>
      <c r="B1044" s="17" t="s">
        <v>228</v>
      </c>
      <c r="C1044" s="18" t="s">
        <v>962</v>
      </c>
      <c r="D1044" s="19" t="s">
        <v>964</v>
      </c>
      <c r="E1044" s="19">
        <v>7</v>
      </c>
      <c r="F1044" s="19" t="s">
        <v>0</v>
      </c>
      <c r="G1044" s="20" t="s">
        <v>608</v>
      </c>
      <c r="H1044" s="36">
        <v>35900</v>
      </c>
      <c r="I1044" s="36">
        <v>35900</v>
      </c>
      <c r="J1044" s="25">
        <v>300700</v>
      </c>
    </row>
    <row r="1045" spans="1:10" ht="16" x14ac:dyDescent="0.45">
      <c r="A1045" s="153" t="str">
        <f>B1045&amp;C1045&amp;E1045&amp;G1045</f>
        <v>매트리스모디9베이직케어(4M)</v>
      </c>
      <c r="B1045" s="17" t="s">
        <v>228</v>
      </c>
      <c r="C1045" s="18" t="s">
        <v>962</v>
      </c>
      <c r="D1045" s="19" t="s">
        <v>964</v>
      </c>
      <c r="E1045" s="19">
        <v>9</v>
      </c>
      <c r="F1045" s="19" t="s">
        <v>0</v>
      </c>
      <c r="G1045" s="20" t="s">
        <v>608</v>
      </c>
      <c r="H1045" s="36">
        <v>31900</v>
      </c>
      <c r="I1045" s="36">
        <v>31900</v>
      </c>
      <c r="J1045" s="25">
        <v>300700</v>
      </c>
    </row>
    <row r="1046" spans="1:10" ht="16" x14ac:dyDescent="0.45">
      <c r="A1046" s="153" t="str">
        <f>B1046&amp;C1046&amp;E1046&amp;G1046</f>
        <v>매트리스모디5서비스프리</v>
      </c>
      <c r="B1046" s="17" t="s">
        <v>228</v>
      </c>
      <c r="C1046" s="18" t="s">
        <v>962</v>
      </c>
      <c r="D1046" s="19" t="s">
        <v>964</v>
      </c>
      <c r="E1046" s="19">
        <v>5</v>
      </c>
      <c r="F1046" s="19" t="s">
        <v>0</v>
      </c>
      <c r="G1046" s="20" t="s">
        <v>183</v>
      </c>
      <c r="H1046" s="36">
        <v>45900</v>
      </c>
      <c r="I1046" s="36">
        <v>45900</v>
      </c>
      <c r="J1046" s="25">
        <v>262200</v>
      </c>
    </row>
    <row r="1047" spans="1:10" ht="16" x14ac:dyDescent="0.45">
      <c r="A1047" s="153" t="str">
        <f>B1047&amp;C1047&amp;E1047&amp;G1047</f>
        <v>매트리스모디7서비스프리</v>
      </c>
      <c r="B1047" s="17" t="s">
        <v>228</v>
      </c>
      <c r="C1047" s="18" t="s">
        <v>962</v>
      </c>
      <c r="D1047" s="19" t="s">
        <v>964</v>
      </c>
      <c r="E1047" s="19">
        <v>7</v>
      </c>
      <c r="F1047" s="19" t="s">
        <v>0</v>
      </c>
      <c r="G1047" s="20" t="s">
        <v>183</v>
      </c>
      <c r="H1047" s="36">
        <v>33900</v>
      </c>
      <c r="I1047" s="36">
        <v>33900</v>
      </c>
      <c r="J1047" s="25">
        <v>288400</v>
      </c>
    </row>
    <row r="1048" spans="1:10" ht="16" x14ac:dyDescent="0.45">
      <c r="A1048" s="153" t="str">
        <f>B1048&amp;C1048&amp;E1048&amp;G1048</f>
        <v>매트리스모디9서비스프리</v>
      </c>
      <c r="B1048" s="17" t="s">
        <v>228</v>
      </c>
      <c r="C1048" s="18" t="s">
        <v>962</v>
      </c>
      <c r="D1048" s="19" t="s">
        <v>964</v>
      </c>
      <c r="E1048" s="19">
        <v>9</v>
      </c>
      <c r="F1048" s="19" t="s">
        <v>0</v>
      </c>
      <c r="G1048" s="20" t="s">
        <v>183</v>
      </c>
      <c r="H1048" s="36">
        <v>29900</v>
      </c>
      <c r="I1048" s="36">
        <v>29900</v>
      </c>
      <c r="J1048" s="25">
        <v>288400</v>
      </c>
    </row>
    <row r="1049" spans="1:10" ht="16" x14ac:dyDescent="0.45">
      <c r="A1049" s="153" t="str">
        <f>B1049&amp;C1049&amp;E1049&amp;G1049</f>
        <v>매트리스모디51회서비스</v>
      </c>
      <c r="B1049" s="17" t="s">
        <v>228</v>
      </c>
      <c r="C1049" s="18" t="s">
        <v>962</v>
      </c>
      <c r="D1049" s="19" t="s">
        <v>967</v>
      </c>
      <c r="E1049" s="19">
        <v>5</v>
      </c>
      <c r="F1049" s="19" t="s">
        <v>0</v>
      </c>
      <c r="G1049" s="20" t="s">
        <v>457</v>
      </c>
      <c r="H1049" s="36">
        <v>36900</v>
      </c>
      <c r="I1049" s="36">
        <v>36900</v>
      </c>
      <c r="J1049" s="25">
        <v>239700</v>
      </c>
    </row>
    <row r="1050" spans="1:10" ht="16" x14ac:dyDescent="0.45">
      <c r="A1050" s="153" t="str">
        <f>B1050&amp;C1050&amp;E1050&amp;G1050</f>
        <v>매트리스모디71회서비스</v>
      </c>
      <c r="B1050" s="17" t="s">
        <v>228</v>
      </c>
      <c r="C1050" s="18" t="s">
        <v>962</v>
      </c>
      <c r="D1050" s="19" t="s">
        <v>967</v>
      </c>
      <c r="E1050" s="19">
        <v>7</v>
      </c>
      <c r="F1050" s="19" t="s">
        <v>0</v>
      </c>
      <c r="G1050" s="20" t="s">
        <v>457</v>
      </c>
      <c r="H1050" s="36">
        <v>28900</v>
      </c>
      <c r="I1050" s="36">
        <v>28900</v>
      </c>
      <c r="J1050" s="25">
        <v>263700</v>
      </c>
    </row>
    <row r="1051" spans="1:10" ht="16" x14ac:dyDescent="0.45">
      <c r="A1051" s="153" t="str">
        <f>B1051&amp;C1051&amp;E1051&amp;G1051</f>
        <v>매트리스모디91회서비스</v>
      </c>
      <c r="B1051" s="17" t="s">
        <v>228</v>
      </c>
      <c r="C1051" s="18" t="s">
        <v>962</v>
      </c>
      <c r="D1051" s="19" t="s">
        <v>967</v>
      </c>
      <c r="E1051" s="19">
        <v>9</v>
      </c>
      <c r="F1051" s="19" t="s">
        <v>0</v>
      </c>
      <c r="G1051" s="20" t="s">
        <v>457</v>
      </c>
      <c r="H1051" s="36">
        <v>24900</v>
      </c>
      <c r="I1051" s="36">
        <v>24900</v>
      </c>
      <c r="J1051" s="25">
        <v>263700</v>
      </c>
    </row>
    <row r="1052" spans="1:10" ht="16" x14ac:dyDescent="0.45">
      <c r="A1052" s="153" t="str">
        <f>B1052&amp;C1052&amp;E1052&amp;G1052</f>
        <v>매트리스모디54M(4개월점검주기)</v>
      </c>
      <c r="B1052" s="17" t="s">
        <v>228</v>
      </c>
      <c r="C1052" s="18" t="s">
        <v>962</v>
      </c>
      <c r="D1052" s="19" t="s">
        <v>967</v>
      </c>
      <c r="E1052" s="19">
        <v>5</v>
      </c>
      <c r="F1052" s="19" t="s">
        <v>0</v>
      </c>
      <c r="G1052" s="20" t="s">
        <v>453</v>
      </c>
      <c r="H1052" s="36">
        <v>38900</v>
      </c>
      <c r="I1052" s="36">
        <v>38900</v>
      </c>
      <c r="J1052" s="25">
        <v>251000</v>
      </c>
    </row>
    <row r="1053" spans="1:10" ht="16" x14ac:dyDescent="0.45">
      <c r="A1053" s="153" t="str">
        <f>B1053&amp;C1053&amp;E1053&amp;G1053</f>
        <v>매트리스모디74M(4개월점검주기)</v>
      </c>
      <c r="B1053" s="17" t="s">
        <v>228</v>
      </c>
      <c r="C1053" s="18" t="s">
        <v>962</v>
      </c>
      <c r="D1053" s="19" t="s">
        <v>967</v>
      </c>
      <c r="E1053" s="19">
        <v>7</v>
      </c>
      <c r="F1053" s="19" t="s">
        <v>0</v>
      </c>
      <c r="G1053" s="20" t="s">
        <v>453</v>
      </c>
      <c r="H1053" s="36">
        <v>30900</v>
      </c>
      <c r="I1053" s="36">
        <v>30900</v>
      </c>
      <c r="J1053" s="25">
        <v>276100</v>
      </c>
    </row>
    <row r="1054" spans="1:10" ht="16" x14ac:dyDescent="0.45">
      <c r="A1054" s="153" t="str">
        <f>B1054&amp;C1054&amp;E1054&amp;G1054</f>
        <v>매트리스모디94M(4개월점검주기)</v>
      </c>
      <c r="B1054" s="17" t="s">
        <v>228</v>
      </c>
      <c r="C1054" s="18" t="s">
        <v>962</v>
      </c>
      <c r="D1054" s="19" t="s">
        <v>967</v>
      </c>
      <c r="E1054" s="19">
        <v>9</v>
      </c>
      <c r="F1054" s="19" t="s">
        <v>0</v>
      </c>
      <c r="G1054" s="20" t="s">
        <v>453</v>
      </c>
      <c r="H1054" s="36">
        <v>26900</v>
      </c>
      <c r="I1054" s="36">
        <v>26900</v>
      </c>
      <c r="J1054" s="25">
        <v>276100</v>
      </c>
    </row>
    <row r="1055" spans="1:10" ht="16" x14ac:dyDescent="0.45">
      <c r="A1055" s="153" t="str">
        <f>B1055&amp;C1055&amp;E1055&amp;G1055</f>
        <v>매트리스모디5베이직케어(4M)</v>
      </c>
      <c r="B1055" s="17" t="s">
        <v>228</v>
      </c>
      <c r="C1055" s="18" t="s">
        <v>962</v>
      </c>
      <c r="D1055" s="19" t="s">
        <v>967</v>
      </c>
      <c r="E1055" s="19">
        <v>5</v>
      </c>
      <c r="F1055" s="19" t="s">
        <v>0</v>
      </c>
      <c r="G1055" s="20" t="s">
        <v>608</v>
      </c>
      <c r="H1055" s="36">
        <v>34900</v>
      </c>
      <c r="I1055" s="36">
        <v>34900</v>
      </c>
      <c r="J1055" s="25">
        <v>231100</v>
      </c>
    </row>
    <row r="1056" spans="1:10" ht="16" x14ac:dyDescent="0.45">
      <c r="A1056" s="153" t="str">
        <f>B1056&amp;C1056&amp;E1056&amp;G1056</f>
        <v>매트리스모디7베이직케어(4M)</v>
      </c>
      <c r="B1056" s="17" t="s">
        <v>228</v>
      </c>
      <c r="C1056" s="18" t="s">
        <v>962</v>
      </c>
      <c r="D1056" s="19" t="s">
        <v>967</v>
      </c>
      <c r="E1056" s="19">
        <v>7</v>
      </c>
      <c r="F1056" s="19" t="s">
        <v>0</v>
      </c>
      <c r="G1056" s="20" t="s">
        <v>608</v>
      </c>
      <c r="H1056" s="36">
        <v>26900</v>
      </c>
      <c r="I1056" s="36">
        <v>26900</v>
      </c>
      <c r="J1056" s="25">
        <v>254200</v>
      </c>
    </row>
    <row r="1057" spans="1:10" ht="16" x14ac:dyDescent="0.45">
      <c r="A1057" s="153" t="str">
        <f>B1057&amp;C1057&amp;E1057&amp;G1057</f>
        <v>매트리스모디9베이직케어(4M)</v>
      </c>
      <c r="B1057" s="17" t="s">
        <v>228</v>
      </c>
      <c r="C1057" s="18" t="s">
        <v>962</v>
      </c>
      <c r="D1057" s="19" t="s">
        <v>967</v>
      </c>
      <c r="E1057" s="19">
        <v>9</v>
      </c>
      <c r="F1057" s="19" t="s">
        <v>0</v>
      </c>
      <c r="G1057" s="20" t="s">
        <v>608</v>
      </c>
      <c r="H1057" s="36">
        <v>22900</v>
      </c>
      <c r="I1057" s="36">
        <v>22900</v>
      </c>
      <c r="J1057" s="25">
        <v>254200</v>
      </c>
    </row>
    <row r="1058" spans="1:10" ht="16" x14ac:dyDescent="0.45">
      <c r="A1058" s="153" t="str">
        <f>B1058&amp;C1058&amp;E1058&amp;G1058</f>
        <v>매트리스모디5서비스프리</v>
      </c>
      <c r="B1058" s="17" t="s">
        <v>228</v>
      </c>
      <c r="C1058" s="18" t="s">
        <v>962</v>
      </c>
      <c r="D1058" s="19" t="s">
        <v>967</v>
      </c>
      <c r="E1058" s="19">
        <v>5</v>
      </c>
      <c r="F1058" s="19" t="s">
        <v>0</v>
      </c>
      <c r="G1058" s="20" t="s">
        <v>183</v>
      </c>
      <c r="H1058" s="36">
        <v>32900</v>
      </c>
      <c r="I1058" s="36">
        <v>32900</v>
      </c>
      <c r="J1058" s="25">
        <v>219800</v>
      </c>
    </row>
    <row r="1059" spans="1:10" ht="16" x14ac:dyDescent="0.45">
      <c r="A1059" s="153" t="str">
        <f>B1059&amp;C1059&amp;E1059&amp;G1059</f>
        <v>매트리스모디7서비스프리</v>
      </c>
      <c r="B1059" s="17" t="s">
        <v>228</v>
      </c>
      <c r="C1059" s="18" t="s">
        <v>962</v>
      </c>
      <c r="D1059" s="19" t="s">
        <v>967</v>
      </c>
      <c r="E1059" s="19">
        <v>7</v>
      </c>
      <c r="F1059" s="19" t="s">
        <v>0</v>
      </c>
      <c r="G1059" s="20" t="s">
        <v>183</v>
      </c>
      <c r="H1059" s="36">
        <v>24900</v>
      </c>
      <c r="I1059" s="36">
        <v>24900</v>
      </c>
      <c r="J1059" s="25">
        <v>241800</v>
      </c>
    </row>
    <row r="1060" spans="1:10" ht="16" x14ac:dyDescent="0.45">
      <c r="A1060" s="153" t="str">
        <f>B1060&amp;C1060&amp;E1060&amp;G1060</f>
        <v>매트리스모디9서비스프리</v>
      </c>
      <c r="B1060" s="17" t="s">
        <v>228</v>
      </c>
      <c r="C1060" s="18" t="s">
        <v>962</v>
      </c>
      <c r="D1060" s="19" t="s">
        <v>967</v>
      </c>
      <c r="E1060" s="19">
        <v>9</v>
      </c>
      <c r="F1060" s="19" t="s">
        <v>0</v>
      </c>
      <c r="G1060" s="20" t="s">
        <v>183</v>
      </c>
      <c r="H1060" s="36">
        <v>20900</v>
      </c>
      <c r="I1060" s="36">
        <v>20900</v>
      </c>
      <c r="J1060" s="25">
        <v>241800</v>
      </c>
    </row>
    <row r="1061" spans="1:10" ht="16" x14ac:dyDescent="0.45">
      <c r="A1061" s="153" t="str">
        <f>B1061&amp;C1061&amp;E1061&amp;G1061</f>
        <v>매트리스모디51회서비스</v>
      </c>
      <c r="B1061" s="17" t="s">
        <v>228</v>
      </c>
      <c r="C1061" s="18" t="s">
        <v>962</v>
      </c>
      <c r="D1061" s="19" t="s">
        <v>968</v>
      </c>
      <c r="E1061" s="19">
        <v>5</v>
      </c>
      <c r="F1061" s="19" t="s">
        <v>0</v>
      </c>
      <c r="G1061" s="20" t="s">
        <v>457</v>
      </c>
      <c r="H1061" s="36">
        <v>36900</v>
      </c>
      <c r="I1061" s="36">
        <v>36900</v>
      </c>
      <c r="J1061" s="25">
        <v>239700</v>
      </c>
    </row>
    <row r="1062" spans="1:10" ht="16" x14ac:dyDescent="0.45">
      <c r="A1062" s="153" t="str">
        <f>B1062&amp;C1062&amp;E1062&amp;G1062</f>
        <v>매트리스모디71회서비스</v>
      </c>
      <c r="B1062" s="17" t="s">
        <v>228</v>
      </c>
      <c r="C1062" s="18" t="s">
        <v>962</v>
      </c>
      <c r="D1062" s="19" t="s">
        <v>968</v>
      </c>
      <c r="E1062" s="19">
        <v>7</v>
      </c>
      <c r="F1062" s="19" t="s">
        <v>0</v>
      </c>
      <c r="G1062" s="20" t="s">
        <v>457</v>
      </c>
      <c r="H1062" s="36">
        <v>28900</v>
      </c>
      <c r="I1062" s="36">
        <v>28900</v>
      </c>
      <c r="J1062" s="25">
        <v>263700</v>
      </c>
    </row>
    <row r="1063" spans="1:10" ht="16" x14ac:dyDescent="0.45">
      <c r="A1063" s="153" t="str">
        <f>B1063&amp;C1063&amp;E1063&amp;G1063</f>
        <v>매트리스모디91회서비스</v>
      </c>
      <c r="B1063" s="17" t="s">
        <v>228</v>
      </c>
      <c r="C1063" s="18" t="s">
        <v>962</v>
      </c>
      <c r="D1063" s="19" t="s">
        <v>968</v>
      </c>
      <c r="E1063" s="19">
        <v>9</v>
      </c>
      <c r="F1063" s="19" t="s">
        <v>0</v>
      </c>
      <c r="G1063" s="20" t="s">
        <v>457</v>
      </c>
      <c r="H1063" s="36">
        <v>24900</v>
      </c>
      <c r="I1063" s="36">
        <v>24900</v>
      </c>
      <c r="J1063" s="25">
        <v>263700</v>
      </c>
    </row>
    <row r="1064" spans="1:10" ht="16" x14ac:dyDescent="0.45">
      <c r="A1064" s="153" t="str">
        <f>B1064&amp;C1064&amp;E1064&amp;G1064</f>
        <v>매트리스모디54M(4개월점검주기)</v>
      </c>
      <c r="B1064" s="17" t="s">
        <v>228</v>
      </c>
      <c r="C1064" s="18" t="s">
        <v>962</v>
      </c>
      <c r="D1064" s="19" t="s">
        <v>968</v>
      </c>
      <c r="E1064" s="19">
        <v>5</v>
      </c>
      <c r="F1064" s="19" t="s">
        <v>0</v>
      </c>
      <c r="G1064" s="20" t="s">
        <v>453</v>
      </c>
      <c r="H1064" s="36">
        <v>38900</v>
      </c>
      <c r="I1064" s="36">
        <v>38900</v>
      </c>
      <c r="J1064" s="25">
        <v>251000</v>
      </c>
    </row>
    <row r="1065" spans="1:10" ht="16" x14ac:dyDescent="0.45">
      <c r="A1065" s="153" t="str">
        <f>B1065&amp;C1065&amp;E1065&amp;G1065</f>
        <v>매트리스모디74M(4개월점검주기)</v>
      </c>
      <c r="B1065" s="17" t="s">
        <v>228</v>
      </c>
      <c r="C1065" s="18" t="s">
        <v>962</v>
      </c>
      <c r="D1065" s="19" t="s">
        <v>968</v>
      </c>
      <c r="E1065" s="19">
        <v>7</v>
      </c>
      <c r="F1065" s="19" t="s">
        <v>0</v>
      </c>
      <c r="G1065" s="20" t="s">
        <v>453</v>
      </c>
      <c r="H1065" s="36">
        <v>30900</v>
      </c>
      <c r="I1065" s="36">
        <v>30900</v>
      </c>
      <c r="J1065" s="25">
        <v>276100</v>
      </c>
    </row>
    <row r="1066" spans="1:10" ht="16" x14ac:dyDescent="0.45">
      <c r="A1066" s="153" t="str">
        <f>B1066&amp;C1066&amp;E1066&amp;G1066</f>
        <v>매트리스모디94M(4개월점검주기)</v>
      </c>
      <c r="B1066" s="17" t="s">
        <v>228</v>
      </c>
      <c r="C1066" s="18" t="s">
        <v>962</v>
      </c>
      <c r="D1066" s="19" t="s">
        <v>968</v>
      </c>
      <c r="E1066" s="19">
        <v>9</v>
      </c>
      <c r="F1066" s="19" t="s">
        <v>0</v>
      </c>
      <c r="G1066" s="20" t="s">
        <v>453</v>
      </c>
      <c r="H1066" s="36">
        <v>26900</v>
      </c>
      <c r="I1066" s="36">
        <v>26900</v>
      </c>
      <c r="J1066" s="25">
        <v>276100</v>
      </c>
    </row>
    <row r="1067" spans="1:10" ht="16" x14ac:dyDescent="0.45">
      <c r="A1067" s="153" t="str">
        <f>B1067&amp;C1067&amp;E1067&amp;G1067</f>
        <v>매트리스모디5베이직케어(4M)</v>
      </c>
      <c r="B1067" s="17" t="s">
        <v>228</v>
      </c>
      <c r="C1067" s="18" t="s">
        <v>962</v>
      </c>
      <c r="D1067" s="19" t="s">
        <v>968</v>
      </c>
      <c r="E1067" s="19">
        <v>5</v>
      </c>
      <c r="F1067" s="19" t="s">
        <v>0</v>
      </c>
      <c r="G1067" s="20" t="s">
        <v>608</v>
      </c>
      <c r="H1067" s="36">
        <v>34900</v>
      </c>
      <c r="I1067" s="36">
        <v>34900</v>
      </c>
      <c r="J1067" s="25">
        <v>231100</v>
      </c>
    </row>
    <row r="1068" spans="1:10" ht="16" x14ac:dyDescent="0.45">
      <c r="A1068" s="153" t="str">
        <f>B1068&amp;C1068&amp;E1068&amp;G1068</f>
        <v>매트리스모디7베이직케어(4M)</v>
      </c>
      <c r="B1068" s="17" t="s">
        <v>228</v>
      </c>
      <c r="C1068" s="18" t="s">
        <v>962</v>
      </c>
      <c r="D1068" s="19" t="s">
        <v>968</v>
      </c>
      <c r="E1068" s="19">
        <v>7</v>
      </c>
      <c r="F1068" s="19" t="s">
        <v>0</v>
      </c>
      <c r="G1068" s="20" t="s">
        <v>608</v>
      </c>
      <c r="H1068" s="36">
        <v>26900</v>
      </c>
      <c r="I1068" s="36">
        <v>26900</v>
      </c>
      <c r="J1068" s="25">
        <v>254200</v>
      </c>
    </row>
    <row r="1069" spans="1:10" ht="16" x14ac:dyDescent="0.45">
      <c r="A1069" s="153" t="str">
        <f>B1069&amp;C1069&amp;E1069&amp;G1069</f>
        <v>매트리스모디9베이직케어(4M)</v>
      </c>
      <c r="B1069" s="17" t="s">
        <v>228</v>
      </c>
      <c r="C1069" s="18" t="s">
        <v>962</v>
      </c>
      <c r="D1069" s="19" t="s">
        <v>968</v>
      </c>
      <c r="E1069" s="19">
        <v>9</v>
      </c>
      <c r="F1069" s="19" t="s">
        <v>0</v>
      </c>
      <c r="G1069" s="20" t="s">
        <v>608</v>
      </c>
      <c r="H1069" s="36">
        <v>22900</v>
      </c>
      <c r="I1069" s="36">
        <v>22900</v>
      </c>
      <c r="J1069" s="25">
        <v>254200</v>
      </c>
    </row>
    <row r="1070" spans="1:10" ht="16" x14ac:dyDescent="0.45">
      <c r="A1070" s="153" t="str">
        <f>B1070&amp;C1070&amp;E1070&amp;G1070</f>
        <v>매트리스모디5서비스프리</v>
      </c>
      <c r="B1070" s="17" t="s">
        <v>228</v>
      </c>
      <c r="C1070" s="18" t="s">
        <v>962</v>
      </c>
      <c r="D1070" s="19" t="s">
        <v>968</v>
      </c>
      <c r="E1070" s="19">
        <v>5</v>
      </c>
      <c r="F1070" s="19" t="s">
        <v>0</v>
      </c>
      <c r="G1070" s="20" t="s">
        <v>183</v>
      </c>
      <c r="H1070" s="36">
        <v>32900</v>
      </c>
      <c r="I1070" s="36">
        <v>32900</v>
      </c>
      <c r="J1070" s="25">
        <v>219800</v>
      </c>
    </row>
    <row r="1071" spans="1:10" ht="16" x14ac:dyDescent="0.45">
      <c r="A1071" s="153" t="str">
        <f>B1071&amp;C1071&amp;E1071&amp;G1071</f>
        <v>매트리스모디7서비스프리</v>
      </c>
      <c r="B1071" s="17" t="s">
        <v>228</v>
      </c>
      <c r="C1071" s="18" t="s">
        <v>962</v>
      </c>
      <c r="D1071" s="19" t="s">
        <v>968</v>
      </c>
      <c r="E1071" s="19">
        <v>7</v>
      </c>
      <c r="F1071" s="19" t="s">
        <v>0</v>
      </c>
      <c r="G1071" s="20" t="s">
        <v>183</v>
      </c>
      <c r="H1071" s="36">
        <v>24900</v>
      </c>
      <c r="I1071" s="36">
        <v>24900</v>
      </c>
      <c r="J1071" s="25">
        <v>241800</v>
      </c>
    </row>
    <row r="1072" spans="1:10" ht="16" x14ac:dyDescent="0.45">
      <c r="A1072" s="153" t="str">
        <f>B1072&amp;C1072&amp;E1072&amp;G1072</f>
        <v>매트리스모디9서비스프리</v>
      </c>
      <c r="B1072" s="17" t="s">
        <v>228</v>
      </c>
      <c r="C1072" s="18" t="s">
        <v>962</v>
      </c>
      <c r="D1072" s="19" t="s">
        <v>968</v>
      </c>
      <c r="E1072" s="19">
        <v>9</v>
      </c>
      <c r="F1072" s="19" t="s">
        <v>0</v>
      </c>
      <c r="G1072" s="20" t="s">
        <v>183</v>
      </c>
      <c r="H1072" s="36">
        <v>20900</v>
      </c>
      <c r="I1072" s="36">
        <v>20900</v>
      </c>
      <c r="J1072" s="25">
        <v>241800</v>
      </c>
    </row>
    <row r="1073" spans="1:10" ht="16" x14ac:dyDescent="0.45">
      <c r="A1073" s="153" t="str">
        <f>B1073&amp;C1073&amp;E1073&amp;G1073</f>
        <v>매트리스모디51회서비스</v>
      </c>
      <c r="B1073" s="17" t="s">
        <v>228</v>
      </c>
      <c r="C1073" s="18" t="s">
        <v>962</v>
      </c>
      <c r="D1073" s="19" t="s">
        <v>969</v>
      </c>
      <c r="E1073" s="19">
        <v>5</v>
      </c>
      <c r="F1073" s="19" t="s">
        <v>0</v>
      </c>
      <c r="G1073" s="20" t="s">
        <v>457</v>
      </c>
      <c r="H1073" s="36">
        <v>31900</v>
      </c>
      <c r="I1073" s="36">
        <v>31900</v>
      </c>
      <c r="J1073" s="25">
        <v>219800</v>
      </c>
    </row>
    <row r="1074" spans="1:10" ht="16" x14ac:dyDescent="0.45">
      <c r="A1074" s="153" t="str">
        <f>B1074&amp;C1074&amp;E1074&amp;G1074</f>
        <v>매트리스모디71회서비스</v>
      </c>
      <c r="B1074" s="17" t="s">
        <v>228</v>
      </c>
      <c r="C1074" s="18" t="s">
        <v>962</v>
      </c>
      <c r="D1074" s="19" t="s">
        <v>969</v>
      </c>
      <c r="E1074" s="19">
        <v>7</v>
      </c>
      <c r="F1074" s="19" t="s">
        <v>0</v>
      </c>
      <c r="G1074" s="20" t="s">
        <v>457</v>
      </c>
      <c r="H1074" s="36">
        <v>24900</v>
      </c>
      <c r="I1074" s="36">
        <v>24900</v>
      </c>
      <c r="J1074" s="25">
        <v>241800</v>
      </c>
    </row>
    <row r="1075" spans="1:10" ht="16" x14ac:dyDescent="0.45">
      <c r="A1075" s="153" t="str">
        <f>B1075&amp;C1075&amp;E1075&amp;G1075</f>
        <v>매트리스모디91회서비스</v>
      </c>
      <c r="B1075" s="17" t="s">
        <v>228</v>
      </c>
      <c r="C1075" s="18" t="s">
        <v>962</v>
      </c>
      <c r="D1075" s="19" t="s">
        <v>969</v>
      </c>
      <c r="E1075" s="19">
        <v>9</v>
      </c>
      <c r="F1075" s="19" t="s">
        <v>0</v>
      </c>
      <c r="G1075" s="20" t="s">
        <v>457</v>
      </c>
      <c r="H1075" s="36">
        <v>20900</v>
      </c>
      <c r="I1075" s="36">
        <v>20900</v>
      </c>
      <c r="J1075" s="25">
        <v>241800</v>
      </c>
    </row>
    <row r="1076" spans="1:10" ht="16" x14ac:dyDescent="0.45">
      <c r="A1076" s="153" t="str">
        <f>B1076&amp;C1076&amp;E1076&amp;G1076</f>
        <v>매트리스모디54M(4개월점검주기)</v>
      </c>
      <c r="B1076" s="17" t="s">
        <v>228</v>
      </c>
      <c r="C1076" s="18" t="s">
        <v>962</v>
      </c>
      <c r="D1076" s="19" t="s">
        <v>969</v>
      </c>
      <c r="E1076" s="19">
        <v>5</v>
      </c>
      <c r="F1076" s="19" t="s">
        <v>0</v>
      </c>
      <c r="G1076" s="20" t="s">
        <v>453</v>
      </c>
      <c r="H1076" s="36">
        <v>33900</v>
      </c>
      <c r="I1076" s="36">
        <v>33900</v>
      </c>
      <c r="J1076" s="25">
        <v>231100</v>
      </c>
    </row>
    <row r="1077" spans="1:10" ht="16" x14ac:dyDescent="0.45">
      <c r="A1077" s="153" t="str">
        <f>B1077&amp;C1077&amp;E1077&amp;G1077</f>
        <v>매트리스모디74M(4개월점검주기)</v>
      </c>
      <c r="B1077" s="17" t="s">
        <v>228</v>
      </c>
      <c r="C1077" s="18" t="s">
        <v>962</v>
      </c>
      <c r="D1077" s="19" t="s">
        <v>969</v>
      </c>
      <c r="E1077" s="19">
        <v>7</v>
      </c>
      <c r="F1077" s="19" t="s">
        <v>0</v>
      </c>
      <c r="G1077" s="20" t="s">
        <v>453</v>
      </c>
      <c r="H1077" s="36">
        <v>26900</v>
      </c>
      <c r="I1077" s="36">
        <v>26900</v>
      </c>
      <c r="J1077" s="25">
        <v>254200</v>
      </c>
    </row>
    <row r="1078" spans="1:10" ht="16" x14ac:dyDescent="0.45">
      <c r="A1078" s="153" t="str">
        <f>B1078&amp;C1078&amp;E1078&amp;G1078</f>
        <v>매트리스모디94M(4개월점검주기)</v>
      </c>
      <c r="B1078" s="17" t="s">
        <v>228</v>
      </c>
      <c r="C1078" s="18" t="s">
        <v>962</v>
      </c>
      <c r="D1078" s="19" t="s">
        <v>969</v>
      </c>
      <c r="E1078" s="19">
        <v>9</v>
      </c>
      <c r="F1078" s="19" t="s">
        <v>0</v>
      </c>
      <c r="G1078" s="20" t="s">
        <v>453</v>
      </c>
      <c r="H1078" s="36">
        <v>22900</v>
      </c>
      <c r="I1078" s="36">
        <v>22900</v>
      </c>
      <c r="J1078" s="25">
        <v>254200</v>
      </c>
    </row>
    <row r="1079" spans="1:10" ht="16" x14ac:dyDescent="0.45">
      <c r="A1079" s="153" t="str">
        <f>B1079&amp;C1079&amp;E1079&amp;G1079</f>
        <v>매트리스모디5베이직케어(4M)</v>
      </c>
      <c r="B1079" s="17" t="s">
        <v>228</v>
      </c>
      <c r="C1079" s="18" t="s">
        <v>962</v>
      </c>
      <c r="D1079" s="19" t="s">
        <v>969</v>
      </c>
      <c r="E1079" s="19">
        <v>5</v>
      </c>
      <c r="F1079" s="19" t="s">
        <v>0</v>
      </c>
      <c r="G1079" s="20" t="s">
        <v>608</v>
      </c>
      <c r="H1079" s="36">
        <v>29900</v>
      </c>
      <c r="I1079" s="36">
        <v>29900</v>
      </c>
      <c r="J1079" s="25">
        <v>208600</v>
      </c>
    </row>
    <row r="1080" spans="1:10" ht="16" x14ac:dyDescent="0.45">
      <c r="A1080" s="153" t="str">
        <f>B1080&amp;C1080&amp;E1080&amp;G1080</f>
        <v>매트리스모디7베이직케어(4M)</v>
      </c>
      <c r="B1080" s="17" t="s">
        <v>228</v>
      </c>
      <c r="C1080" s="18" t="s">
        <v>962</v>
      </c>
      <c r="D1080" s="19" t="s">
        <v>969</v>
      </c>
      <c r="E1080" s="19">
        <v>7</v>
      </c>
      <c r="F1080" s="19" t="s">
        <v>0</v>
      </c>
      <c r="G1080" s="20" t="s">
        <v>608</v>
      </c>
      <c r="H1080" s="36">
        <v>22900</v>
      </c>
      <c r="I1080" s="36">
        <v>22900</v>
      </c>
      <c r="J1080" s="25">
        <v>229500</v>
      </c>
    </row>
    <row r="1081" spans="1:10" ht="16" x14ac:dyDescent="0.45">
      <c r="A1081" s="153" t="str">
        <f>B1081&amp;C1081&amp;E1081&amp;G1081</f>
        <v>매트리스모디9베이직케어(4M)</v>
      </c>
      <c r="B1081" s="17" t="s">
        <v>228</v>
      </c>
      <c r="C1081" s="18" t="s">
        <v>962</v>
      </c>
      <c r="D1081" s="19" t="s">
        <v>969</v>
      </c>
      <c r="E1081" s="19">
        <v>9</v>
      </c>
      <c r="F1081" s="19" t="s">
        <v>0</v>
      </c>
      <c r="G1081" s="20" t="s">
        <v>608</v>
      </c>
      <c r="H1081" s="36">
        <v>18900</v>
      </c>
      <c r="I1081" s="36">
        <v>18900</v>
      </c>
      <c r="J1081" s="25">
        <v>229500</v>
      </c>
    </row>
    <row r="1082" spans="1:10" ht="16" x14ac:dyDescent="0.45">
      <c r="A1082" s="153" t="str">
        <f>B1082&amp;C1082&amp;E1082&amp;G1082</f>
        <v>매트리스모디5서비스프리</v>
      </c>
      <c r="B1082" s="17" t="s">
        <v>228</v>
      </c>
      <c r="C1082" s="18" t="s">
        <v>962</v>
      </c>
      <c r="D1082" s="19" t="s">
        <v>969</v>
      </c>
      <c r="E1082" s="19">
        <v>5</v>
      </c>
      <c r="F1082" s="19" t="s">
        <v>0</v>
      </c>
      <c r="G1082" s="20" t="s">
        <v>183</v>
      </c>
      <c r="H1082" s="36">
        <v>27900</v>
      </c>
      <c r="I1082" s="36">
        <v>27900</v>
      </c>
      <c r="J1082" s="25">
        <v>208600</v>
      </c>
    </row>
    <row r="1083" spans="1:10" ht="16" x14ac:dyDescent="0.45">
      <c r="A1083" s="153" t="str">
        <f>B1083&amp;C1083&amp;E1083&amp;G1083</f>
        <v>매트리스모디7서비스프리</v>
      </c>
      <c r="B1083" s="17" t="s">
        <v>228</v>
      </c>
      <c r="C1083" s="18" t="s">
        <v>962</v>
      </c>
      <c r="D1083" s="19" t="s">
        <v>969</v>
      </c>
      <c r="E1083" s="19">
        <v>7</v>
      </c>
      <c r="F1083" s="19" t="s">
        <v>0</v>
      </c>
      <c r="G1083" s="20" t="s">
        <v>183</v>
      </c>
      <c r="H1083" s="36">
        <v>20900</v>
      </c>
      <c r="I1083" s="36">
        <v>20900</v>
      </c>
      <c r="J1083" s="25">
        <v>229500</v>
      </c>
    </row>
    <row r="1084" spans="1:10" ht="16" x14ac:dyDescent="0.45">
      <c r="A1084" s="153" t="str">
        <f>B1084&amp;C1084&amp;E1084&amp;G1084</f>
        <v>매트리스모디9서비스프리</v>
      </c>
      <c r="B1084" s="17" t="s">
        <v>228</v>
      </c>
      <c r="C1084" s="18" t="s">
        <v>962</v>
      </c>
      <c r="D1084" s="19" t="s">
        <v>969</v>
      </c>
      <c r="E1084" s="19">
        <v>9</v>
      </c>
      <c r="F1084" s="19" t="s">
        <v>0</v>
      </c>
      <c r="G1084" s="20" t="s">
        <v>183</v>
      </c>
      <c r="H1084" s="36">
        <v>16900</v>
      </c>
      <c r="I1084" s="36">
        <v>16900</v>
      </c>
      <c r="J1084" s="25">
        <v>229500</v>
      </c>
    </row>
    <row r="1085" spans="1:10" ht="16" x14ac:dyDescent="0.45">
      <c r="A1085" s="153" t="str">
        <f>B1085&amp;C1085&amp;E1085&amp;G1085</f>
        <v>매트리스모디51회서비스</v>
      </c>
      <c r="B1085" s="17" t="s">
        <v>228</v>
      </c>
      <c r="C1085" s="18" t="s">
        <v>962</v>
      </c>
      <c r="D1085" s="19" t="s">
        <v>970</v>
      </c>
      <c r="E1085" s="19">
        <v>5</v>
      </c>
      <c r="F1085" s="19" t="s">
        <v>0</v>
      </c>
      <c r="G1085" s="20" t="s">
        <v>457</v>
      </c>
      <c r="H1085" s="36">
        <v>31900</v>
      </c>
      <c r="I1085" s="36">
        <v>31900</v>
      </c>
      <c r="J1085" s="25">
        <v>219800</v>
      </c>
    </row>
    <row r="1086" spans="1:10" ht="16" x14ac:dyDescent="0.45">
      <c r="A1086" s="153" t="str">
        <f>B1086&amp;C1086&amp;E1086&amp;G1086</f>
        <v>매트리스모디71회서비스</v>
      </c>
      <c r="B1086" s="17" t="s">
        <v>228</v>
      </c>
      <c r="C1086" s="18" t="s">
        <v>962</v>
      </c>
      <c r="D1086" s="19" t="s">
        <v>970</v>
      </c>
      <c r="E1086" s="19">
        <v>7</v>
      </c>
      <c r="F1086" s="19" t="s">
        <v>0</v>
      </c>
      <c r="G1086" s="20" t="s">
        <v>457</v>
      </c>
      <c r="H1086" s="36">
        <v>24900</v>
      </c>
      <c r="I1086" s="36">
        <v>24900</v>
      </c>
      <c r="J1086" s="25">
        <v>241800</v>
      </c>
    </row>
    <row r="1087" spans="1:10" ht="16" x14ac:dyDescent="0.45">
      <c r="A1087" s="153" t="str">
        <f>B1087&amp;C1087&amp;E1087&amp;G1087</f>
        <v>매트리스모디91회서비스</v>
      </c>
      <c r="B1087" s="17" t="s">
        <v>228</v>
      </c>
      <c r="C1087" s="18" t="s">
        <v>962</v>
      </c>
      <c r="D1087" s="19" t="s">
        <v>970</v>
      </c>
      <c r="E1087" s="19">
        <v>9</v>
      </c>
      <c r="F1087" s="19" t="s">
        <v>0</v>
      </c>
      <c r="G1087" s="20" t="s">
        <v>457</v>
      </c>
      <c r="H1087" s="36">
        <v>20900</v>
      </c>
      <c r="I1087" s="36">
        <v>20900</v>
      </c>
      <c r="J1087" s="25">
        <v>241800</v>
      </c>
    </row>
    <row r="1088" spans="1:10" ht="16" x14ac:dyDescent="0.45">
      <c r="A1088" s="153" t="str">
        <f>B1088&amp;C1088&amp;E1088&amp;G1088</f>
        <v>매트리스모디54M(4개월점검주기)</v>
      </c>
      <c r="B1088" s="17" t="s">
        <v>228</v>
      </c>
      <c r="C1088" s="18" t="s">
        <v>962</v>
      </c>
      <c r="D1088" s="19" t="s">
        <v>970</v>
      </c>
      <c r="E1088" s="19">
        <v>5</v>
      </c>
      <c r="F1088" s="19" t="s">
        <v>0</v>
      </c>
      <c r="G1088" s="20" t="s">
        <v>453</v>
      </c>
      <c r="H1088" s="36">
        <v>33900</v>
      </c>
      <c r="I1088" s="36">
        <v>33900</v>
      </c>
      <c r="J1088" s="25">
        <v>231100</v>
      </c>
    </row>
    <row r="1089" spans="1:10" ht="16" x14ac:dyDescent="0.45">
      <c r="A1089" s="153" t="str">
        <f>B1089&amp;C1089&amp;E1089&amp;G1089</f>
        <v>매트리스모디74M(4개월점검주기)</v>
      </c>
      <c r="B1089" s="17" t="s">
        <v>228</v>
      </c>
      <c r="C1089" s="18" t="s">
        <v>962</v>
      </c>
      <c r="D1089" s="19" t="s">
        <v>970</v>
      </c>
      <c r="E1089" s="19">
        <v>7</v>
      </c>
      <c r="F1089" s="19" t="s">
        <v>0</v>
      </c>
      <c r="G1089" s="20" t="s">
        <v>453</v>
      </c>
      <c r="H1089" s="36">
        <v>26900</v>
      </c>
      <c r="I1089" s="36">
        <v>26900</v>
      </c>
      <c r="J1089" s="25">
        <v>254200</v>
      </c>
    </row>
    <row r="1090" spans="1:10" ht="16" x14ac:dyDescent="0.45">
      <c r="A1090" s="153" t="str">
        <f>B1090&amp;C1090&amp;E1090&amp;G1090</f>
        <v>매트리스모디94M(4개월점검주기)</v>
      </c>
      <c r="B1090" s="17" t="s">
        <v>228</v>
      </c>
      <c r="C1090" s="18" t="s">
        <v>962</v>
      </c>
      <c r="D1090" s="19" t="s">
        <v>970</v>
      </c>
      <c r="E1090" s="19">
        <v>9</v>
      </c>
      <c r="F1090" s="19" t="s">
        <v>0</v>
      </c>
      <c r="G1090" s="20" t="s">
        <v>453</v>
      </c>
      <c r="H1090" s="36">
        <v>22900</v>
      </c>
      <c r="I1090" s="36">
        <v>22900</v>
      </c>
      <c r="J1090" s="25">
        <v>254200</v>
      </c>
    </row>
    <row r="1091" spans="1:10" ht="16" x14ac:dyDescent="0.45">
      <c r="A1091" s="153" t="str">
        <f>B1091&amp;C1091&amp;E1091&amp;G1091</f>
        <v>매트리스모디5베이직케어(4M)</v>
      </c>
      <c r="B1091" s="17" t="s">
        <v>228</v>
      </c>
      <c r="C1091" s="18" t="s">
        <v>962</v>
      </c>
      <c r="D1091" s="19" t="s">
        <v>970</v>
      </c>
      <c r="E1091" s="19">
        <v>5</v>
      </c>
      <c r="F1091" s="19" t="s">
        <v>0</v>
      </c>
      <c r="G1091" s="20" t="s">
        <v>608</v>
      </c>
      <c r="H1091" s="36">
        <v>29900</v>
      </c>
      <c r="I1091" s="36">
        <v>29900</v>
      </c>
      <c r="J1091" s="25">
        <v>208600</v>
      </c>
    </row>
    <row r="1092" spans="1:10" ht="16" x14ac:dyDescent="0.45">
      <c r="A1092" s="153" t="str">
        <f>B1092&amp;C1092&amp;E1092&amp;G1092</f>
        <v>매트리스모디7베이직케어(4M)</v>
      </c>
      <c r="B1092" s="17" t="s">
        <v>228</v>
      </c>
      <c r="C1092" s="18" t="s">
        <v>962</v>
      </c>
      <c r="D1092" s="19" t="s">
        <v>970</v>
      </c>
      <c r="E1092" s="19">
        <v>7</v>
      </c>
      <c r="F1092" s="19" t="s">
        <v>0</v>
      </c>
      <c r="G1092" s="20" t="s">
        <v>608</v>
      </c>
      <c r="H1092" s="36">
        <v>22900</v>
      </c>
      <c r="I1092" s="36">
        <v>22900</v>
      </c>
      <c r="J1092" s="25">
        <v>229500</v>
      </c>
    </row>
    <row r="1093" spans="1:10" ht="16" x14ac:dyDescent="0.45">
      <c r="A1093" s="153" t="str">
        <f>B1093&amp;C1093&amp;E1093&amp;G1093</f>
        <v>매트리스모디9베이직케어(4M)</v>
      </c>
      <c r="B1093" s="17" t="s">
        <v>228</v>
      </c>
      <c r="C1093" s="18" t="s">
        <v>962</v>
      </c>
      <c r="D1093" s="19" t="s">
        <v>970</v>
      </c>
      <c r="E1093" s="19">
        <v>9</v>
      </c>
      <c r="F1093" s="19" t="s">
        <v>0</v>
      </c>
      <c r="G1093" s="20" t="s">
        <v>608</v>
      </c>
      <c r="H1093" s="36">
        <v>18900</v>
      </c>
      <c r="I1093" s="36">
        <v>18900</v>
      </c>
      <c r="J1093" s="25">
        <v>229500</v>
      </c>
    </row>
    <row r="1094" spans="1:10" ht="16" x14ac:dyDescent="0.45">
      <c r="A1094" s="153" t="str">
        <f>B1094&amp;C1094&amp;E1094&amp;G1094</f>
        <v>매트리스모디5서비스프리</v>
      </c>
      <c r="B1094" s="17" t="s">
        <v>228</v>
      </c>
      <c r="C1094" s="18" t="s">
        <v>962</v>
      </c>
      <c r="D1094" s="19" t="s">
        <v>970</v>
      </c>
      <c r="E1094" s="19">
        <v>5</v>
      </c>
      <c r="F1094" s="19" t="s">
        <v>0</v>
      </c>
      <c r="G1094" s="20" t="s">
        <v>183</v>
      </c>
      <c r="H1094" s="36">
        <v>27900</v>
      </c>
      <c r="I1094" s="36">
        <v>27900</v>
      </c>
      <c r="J1094" s="25">
        <v>208600</v>
      </c>
    </row>
    <row r="1095" spans="1:10" ht="16" x14ac:dyDescent="0.45">
      <c r="A1095" s="153" t="str">
        <f>B1095&amp;C1095&amp;E1095&amp;G1095</f>
        <v>매트리스모디7서비스프리</v>
      </c>
      <c r="B1095" s="17" t="s">
        <v>228</v>
      </c>
      <c r="C1095" s="18" t="s">
        <v>962</v>
      </c>
      <c r="D1095" s="19" t="s">
        <v>970</v>
      </c>
      <c r="E1095" s="19">
        <v>7</v>
      </c>
      <c r="F1095" s="19" t="s">
        <v>0</v>
      </c>
      <c r="G1095" s="20" t="s">
        <v>183</v>
      </c>
      <c r="H1095" s="36">
        <v>20900</v>
      </c>
      <c r="I1095" s="36">
        <v>20900</v>
      </c>
      <c r="J1095" s="25">
        <v>229500</v>
      </c>
    </row>
    <row r="1096" spans="1:10" ht="16" x14ac:dyDescent="0.45">
      <c r="A1096" s="153" t="str">
        <f>B1096&amp;C1096&amp;E1096&amp;G1096</f>
        <v>매트리스모디9서비스프리</v>
      </c>
      <c r="B1096" s="17" t="s">
        <v>228</v>
      </c>
      <c r="C1096" s="18" t="s">
        <v>962</v>
      </c>
      <c r="D1096" s="19" t="s">
        <v>970</v>
      </c>
      <c r="E1096" s="19">
        <v>9</v>
      </c>
      <c r="F1096" s="19" t="s">
        <v>0</v>
      </c>
      <c r="G1096" s="20" t="s">
        <v>183</v>
      </c>
      <c r="H1096" s="36">
        <v>16900</v>
      </c>
      <c r="I1096" s="36">
        <v>16900</v>
      </c>
      <c r="J1096" s="25">
        <v>229500</v>
      </c>
    </row>
    <row r="1097" spans="1:10" ht="16" x14ac:dyDescent="0.45">
      <c r="A1097" s="153" t="str">
        <f>B1097&amp;C1097&amp;E1097&amp;G1097</f>
        <v>매트리스비렉스 R3/R0 전용 매트리스51회서비스</v>
      </c>
      <c r="B1097" s="17" t="s">
        <v>228</v>
      </c>
      <c r="C1097" s="18" t="s">
        <v>1119</v>
      </c>
      <c r="D1097" s="19" t="s">
        <v>1131</v>
      </c>
      <c r="E1097" s="19">
        <v>5</v>
      </c>
      <c r="F1097" s="19" t="s">
        <v>0</v>
      </c>
      <c r="G1097" s="20" t="s">
        <v>457</v>
      </c>
      <c r="H1097" s="36">
        <v>53900</v>
      </c>
      <c r="I1097" s="36"/>
      <c r="J1097" s="25">
        <v>284700</v>
      </c>
    </row>
    <row r="1098" spans="1:10" ht="16" x14ac:dyDescent="0.45">
      <c r="A1098" s="153" t="str">
        <f>B1098&amp;C1098&amp;E1098&amp;G1098</f>
        <v>매트리스비렉스 R3/R0 전용 매트리스71회서비스</v>
      </c>
      <c r="B1098" s="17" t="s">
        <v>228</v>
      </c>
      <c r="C1098" s="18" t="s">
        <v>1119</v>
      </c>
      <c r="D1098" s="19" t="s">
        <v>1131</v>
      </c>
      <c r="E1098" s="19">
        <v>7</v>
      </c>
      <c r="F1098" s="19" t="s">
        <v>0</v>
      </c>
      <c r="G1098" s="20" t="s">
        <v>457</v>
      </c>
      <c r="H1098" s="36">
        <v>44900</v>
      </c>
      <c r="I1098" s="36"/>
      <c r="J1098" s="25">
        <v>313200</v>
      </c>
    </row>
    <row r="1099" spans="1:10" ht="16" x14ac:dyDescent="0.45">
      <c r="A1099" s="153" t="str">
        <f>B1099&amp;C1099&amp;E1099&amp;G1099</f>
        <v>매트리스비렉스 R3/R0 전용 매트리스54M(4개월점검주기)</v>
      </c>
      <c r="B1099" s="17" t="s">
        <v>228</v>
      </c>
      <c r="C1099" s="18" t="s">
        <v>1119</v>
      </c>
      <c r="D1099" s="19" t="s">
        <v>1131</v>
      </c>
      <c r="E1099" s="19">
        <v>5</v>
      </c>
      <c r="F1099" s="19" t="s">
        <v>0</v>
      </c>
      <c r="G1099" s="20" t="s">
        <v>453</v>
      </c>
      <c r="H1099" s="36">
        <v>55900</v>
      </c>
      <c r="I1099" s="36"/>
      <c r="J1099" s="25">
        <v>295900</v>
      </c>
    </row>
    <row r="1100" spans="1:10" ht="16" x14ac:dyDescent="0.45">
      <c r="A1100" s="153" t="str">
        <f>B1100&amp;C1100&amp;E1100&amp;G1100</f>
        <v>매트리스비렉스 R3/R0 전용 매트리스74M(4개월점검주기)</v>
      </c>
      <c r="B1100" s="17" t="s">
        <v>228</v>
      </c>
      <c r="C1100" s="18" t="s">
        <v>1119</v>
      </c>
      <c r="D1100" s="19" t="s">
        <v>1131</v>
      </c>
      <c r="E1100" s="19">
        <v>7</v>
      </c>
      <c r="F1100" s="19" t="s">
        <v>0</v>
      </c>
      <c r="G1100" s="20" t="s">
        <v>453</v>
      </c>
      <c r="H1100" s="36">
        <v>46900</v>
      </c>
      <c r="I1100" s="36"/>
      <c r="J1100" s="25">
        <v>325500</v>
      </c>
    </row>
    <row r="1101" spans="1:10" ht="16" x14ac:dyDescent="0.45">
      <c r="A1101" s="153" t="str">
        <f>B1101&amp;C1101&amp;E1101&amp;G1101</f>
        <v>매트리스비렉스 R3/R0 전용 매트리스5베이직케어(4M)</v>
      </c>
      <c r="B1101" s="17" t="s">
        <v>228</v>
      </c>
      <c r="C1101" s="18" t="s">
        <v>1119</v>
      </c>
      <c r="D1101" s="19" t="s">
        <v>1131</v>
      </c>
      <c r="E1101" s="19">
        <v>5</v>
      </c>
      <c r="F1101" s="19" t="s">
        <v>0</v>
      </c>
      <c r="G1101" s="20" t="s">
        <v>608</v>
      </c>
      <c r="H1101" s="36">
        <v>52900</v>
      </c>
      <c r="I1101" s="36"/>
      <c r="J1101" s="25">
        <v>284700</v>
      </c>
    </row>
    <row r="1102" spans="1:10" ht="16" x14ac:dyDescent="0.45">
      <c r="A1102" s="153" t="str">
        <f>B1102&amp;C1102&amp;E1102&amp;G1102</f>
        <v>매트리스비렉스 R3/R0 전용 매트리스7베이직케어(4M)</v>
      </c>
      <c r="B1102" s="17" t="s">
        <v>228</v>
      </c>
      <c r="C1102" s="18" t="s">
        <v>1119</v>
      </c>
      <c r="D1102" s="19" t="s">
        <v>1131</v>
      </c>
      <c r="E1102" s="19">
        <v>7</v>
      </c>
      <c r="F1102" s="19" t="s">
        <v>0</v>
      </c>
      <c r="G1102" s="20" t="s">
        <v>608</v>
      </c>
      <c r="H1102" s="36">
        <v>43900</v>
      </c>
      <c r="I1102" s="36"/>
      <c r="J1102" s="25">
        <v>313200</v>
      </c>
    </row>
    <row r="1103" spans="1:10" ht="16" x14ac:dyDescent="0.45">
      <c r="A1103" s="153" t="str">
        <f>B1103&amp;C1103&amp;E1103&amp;G1103</f>
        <v>매트리스비렉스 R3/R0 전용 매트리스5서비스프리</v>
      </c>
      <c r="B1103" s="17" t="s">
        <v>228</v>
      </c>
      <c r="C1103" s="18" t="s">
        <v>1119</v>
      </c>
      <c r="D1103" s="19" t="s">
        <v>1131</v>
      </c>
      <c r="E1103" s="19">
        <v>5</v>
      </c>
      <c r="F1103" s="19" t="s">
        <v>0</v>
      </c>
      <c r="G1103" s="20" t="s">
        <v>183</v>
      </c>
      <c r="H1103" s="36">
        <v>50900</v>
      </c>
      <c r="I1103" s="36"/>
      <c r="J1103" s="25">
        <v>284700</v>
      </c>
    </row>
    <row r="1104" spans="1:10" ht="16" x14ac:dyDescent="0.45">
      <c r="A1104" s="153" t="str">
        <f>B1104&amp;C1104&amp;E1104&amp;G1104</f>
        <v>매트리스비렉스 R3/R0 전용 매트리스7서비스프리</v>
      </c>
      <c r="B1104" s="17" t="s">
        <v>228</v>
      </c>
      <c r="C1104" s="18" t="s">
        <v>1119</v>
      </c>
      <c r="D1104" s="19" t="s">
        <v>1131</v>
      </c>
      <c r="E1104" s="19">
        <v>7</v>
      </c>
      <c r="F1104" s="19" t="s">
        <v>0</v>
      </c>
      <c r="G1104" s="20" t="s">
        <v>183</v>
      </c>
      <c r="H1104" s="36">
        <v>41900</v>
      </c>
      <c r="I1104" s="36"/>
      <c r="J1104" s="25">
        <v>313200</v>
      </c>
    </row>
    <row r="1105" spans="1:10" ht="16" x14ac:dyDescent="0.45">
      <c r="A1105" s="153" t="str">
        <f>B1105&amp;C1105&amp;E1105&amp;G1105</f>
        <v>매트리스비렉스 R7/R5 전용 매트리스51회서비스</v>
      </c>
      <c r="B1105" s="17" t="s">
        <v>228</v>
      </c>
      <c r="C1105" s="18" t="s">
        <v>1116</v>
      </c>
      <c r="D1105" s="19" t="s">
        <v>1124</v>
      </c>
      <c r="E1105" s="19">
        <v>5</v>
      </c>
      <c r="F1105" s="19" t="s">
        <v>0</v>
      </c>
      <c r="G1105" s="20" t="s">
        <v>457</v>
      </c>
      <c r="H1105" s="36">
        <v>60900</v>
      </c>
      <c r="I1105" s="36"/>
      <c r="J1105" s="25">
        <v>307200</v>
      </c>
    </row>
    <row r="1106" spans="1:10" ht="16" x14ac:dyDescent="0.45">
      <c r="A1106" s="153" t="str">
        <f>B1106&amp;C1106&amp;E1106&amp;G1106</f>
        <v>매트리스비렉스 R7/R5 전용 매트리스71회서비스</v>
      </c>
      <c r="B1106" s="17" t="s">
        <v>228</v>
      </c>
      <c r="C1106" s="18" t="s">
        <v>1116</v>
      </c>
      <c r="D1106" s="19" t="s">
        <v>1124</v>
      </c>
      <c r="E1106" s="19">
        <v>7</v>
      </c>
      <c r="F1106" s="19" t="s">
        <v>0</v>
      </c>
      <c r="G1106" s="20" t="s">
        <v>457</v>
      </c>
      <c r="H1106" s="36">
        <v>51900</v>
      </c>
      <c r="I1106" s="36"/>
      <c r="J1106" s="25">
        <v>337900</v>
      </c>
    </row>
    <row r="1107" spans="1:10" ht="16" x14ac:dyDescent="0.45">
      <c r="A1107" s="153" t="str">
        <f>B1107&amp;C1107&amp;E1107&amp;G1107</f>
        <v>매트리스비렉스 R7/R5 전용 매트리스54M(4개월점검주기)</v>
      </c>
      <c r="B1107" s="17" t="s">
        <v>228</v>
      </c>
      <c r="C1107" s="18" t="s">
        <v>1116</v>
      </c>
      <c r="D1107" s="19" t="s">
        <v>1124</v>
      </c>
      <c r="E1107" s="19">
        <v>5</v>
      </c>
      <c r="F1107" s="19" t="s">
        <v>0</v>
      </c>
      <c r="G1107" s="20" t="s">
        <v>453</v>
      </c>
      <c r="H1107" s="36">
        <v>62900</v>
      </c>
      <c r="I1107" s="36"/>
      <c r="J1107" s="25">
        <v>307200</v>
      </c>
    </row>
    <row r="1108" spans="1:10" ht="16" x14ac:dyDescent="0.45">
      <c r="A1108" s="153" t="str">
        <f>B1108&amp;C1108&amp;E1108&amp;G1108</f>
        <v>매트리스비렉스 R7/R5 전용 매트리스74M(4개월점검주기)</v>
      </c>
      <c r="B1108" s="17" t="s">
        <v>228</v>
      </c>
      <c r="C1108" s="18" t="s">
        <v>1116</v>
      </c>
      <c r="D1108" s="19" t="s">
        <v>1124</v>
      </c>
      <c r="E1108" s="19">
        <v>7</v>
      </c>
      <c r="F1108" s="19" t="s">
        <v>0</v>
      </c>
      <c r="G1108" s="20" t="s">
        <v>453</v>
      </c>
      <c r="H1108" s="36">
        <v>53900</v>
      </c>
      <c r="I1108" s="36"/>
      <c r="J1108" s="25">
        <v>337900</v>
      </c>
    </row>
    <row r="1109" spans="1:10" ht="16" x14ac:dyDescent="0.45">
      <c r="A1109" s="153" t="str">
        <f>B1109&amp;C1109&amp;E1109&amp;G1109</f>
        <v>매트리스비렉스 R7/R5 전용 매트리스5베이직케어(4M)</v>
      </c>
      <c r="B1109" s="17" t="s">
        <v>228</v>
      </c>
      <c r="C1109" s="18" t="s">
        <v>1116</v>
      </c>
      <c r="D1109" s="19" t="s">
        <v>1124</v>
      </c>
      <c r="E1109" s="19">
        <v>5</v>
      </c>
      <c r="F1109" s="19" t="s">
        <v>0</v>
      </c>
      <c r="G1109" s="20" t="s">
        <v>608</v>
      </c>
      <c r="H1109" s="36">
        <v>59900</v>
      </c>
      <c r="I1109" s="36"/>
      <c r="J1109" s="25">
        <v>307200</v>
      </c>
    </row>
    <row r="1110" spans="1:10" ht="16" x14ac:dyDescent="0.45">
      <c r="A1110" s="153" t="str">
        <f>B1110&amp;C1110&amp;E1110&amp;G1110</f>
        <v>매트리스비렉스 R7/R5 전용 매트리스7베이직케어(4M)</v>
      </c>
      <c r="B1110" s="17" t="s">
        <v>228</v>
      </c>
      <c r="C1110" s="18" t="s">
        <v>1116</v>
      </c>
      <c r="D1110" s="19" t="s">
        <v>1124</v>
      </c>
      <c r="E1110" s="19">
        <v>7</v>
      </c>
      <c r="F1110" s="19" t="s">
        <v>0</v>
      </c>
      <c r="G1110" s="20" t="s">
        <v>608</v>
      </c>
      <c r="H1110" s="36">
        <v>50900</v>
      </c>
      <c r="I1110" s="36"/>
      <c r="J1110" s="25">
        <v>337900</v>
      </c>
    </row>
    <row r="1111" spans="1:10" ht="16" x14ac:dyDescent="0.45">
      <c r="A1111" s="153" t="str">
        <f>B1111&amp;C1111&amp;E1111&amp;G1111</f>
        <v>매트리스비렉스 R7/R5 전용 매트리스5서비스프리</v>
      </c>
      <c r="B1111" s="17" t="s">
        <v>228</v>
      </c>
      <c r="C1111" s="18" t="s">
        <v>1116</v>
      </c>
      <c r="D1111" s="19" t="s">
        <v>1124</v>
      </c>
      <c r="E1111" s="19">
        <v>5</v>
      </c>
      <c r="F1111" s="19" t="s">
        <v>0</v>
      </c>
      <c r="G1111" s="20" t="s">
        <v>183</v>
      </c>
      <c r="H1111" s="36">
        <v>57900</v>
      </c>
      <c r="I1111" s="36"/>
      <c r="J1111" s="25">
        <v>295900</v>
      </c>
    </row>
    <row r="1112" spans="1:10" ht="16" x14ac:dyDescent="0.45">
      <c r="A1112" s="153" t="str">
        <f>B1112&amp;C1112&amp;E1112&amp;G1112</f>
        <v>매트리스비렉스 R7/R5 전용 매트리스7서비스프리</v>
      </c>
      <c r="B1112" s="17" t="s">
        <v>228</v>
      </c>
      <c r="C1112" s="18" t="s">
        <v>1116</v>
      </c>
      <c r="D1112" s="19" t="s">
        <v>1124</v>
      </c>
      <c r="E1112" s="19">
        <v>7</v>
      </c>
      <c r="F1112" s="19" t="s">
        <v>0</v>
      </c>
      <c r="G1112" s="20" t="s">
        <v>183</v>
      </c>
      <c r="H1112" s="36">
        <v>48900</v>
      </c>
      <c r="I1112" s="36"/>
      <c r="J1112" s="25">
        <v>325500</v>
      </c>
    </row>
    <row r="1113" spans="1:10" ht="16" x14ac:dyDescent="0.45">
      <c r="A1113" s="153" t="str">
        <f>B1113&amp;C1113&amp;E1113&amp;G1113</f>
        <v>매트리스비렉스 RS 전용 매트리스51회서비스</v>
      </c>
      <c r="B1113" s="17" t="s">
        <v>228</v>
      </c>
      <c r="C1113" s="18" t="s">
        <v>1123</v>
      </c>
      <c r="D1113" s="19" t="s">
        <v>1139</v>
      </c>
      <c r="E1113" s="19">
        <v>5</v>
      </c>
      <c r="F1113" s="19" t="s">
        <v>0</v>
      </c>
      <c r="G1113" s="20" t="s">
        <v>457</v>
      </c>
      <c r="H1113" s="36">
        <v>95900</v>
      </c>
      <c r="I1113" s="36"/>
      <c r="J1113" s="25">
        <v>352100</v>
      </c>
    </row>
    <row r="1114" spans="1:10" ht="16" x14ac:dyDescent="0.45">
      <c r="A1114" s="153" t="str">
        <f>B1114&amp;C1114&amp;E1114&amp;G1114</f>
        <v>매트리스비렉스 RS 전용 매트리스71회서비스</v>
      </c>
      <c r="B1114" s="17" t="s">
        <v>228</v>
      </c>
      <c r="C1114" s="18" t="s">
        <v>1123</v>
      </c>
      <c r="D1114" s="19" t="s">
        <v>1139</v>
      </c>
      <c r="E1114" s="19">
        <v>7</v>
      </c>
      <c r="F1114" s="19" t="s">
        <v>0</v>
      </c>
      <c r="G1114" s="20" t="s">
        <v>457</v>
      </c>
      <c r="H1114" s="36">
        <v>74900</v>
      </c>
      <c r="I1114" s="36"/>
      <c r="J1114" s="25">
        <v>387300</v>
      </c>
    </row>
    <row r="1115" spans="1:10" ht="16" x14ac:dyDescent="0.45">
      <c r="A1115" s="153" t="str">
        <f>B1115&amp;C1115&amp;E1115&amp;G1115</f>
        <v>매트리스비렉스 RS 전용 매트리스54M(4개월점검주기)</v>
      </c>
      <c r="B1115" s="17" t="s">
        <v>228</v>
      </c>
      <c r="C1115" s="18" t="s">
        <v>1123</v>
      </c>
      <c r="D1115" s="19" t="s">
        <v>1139</v>
      </c>
      <c r="E1115" s="19">
        <v>5</v>
      </c>
      <c r="F1115" s="19" t="s">
        <v>0</v>
      </c>
      <c r="G1115" s="20" t="s">
        <v>453</v>
      </c>
      <c r="H1115" s="36">
        <v>97900</v>
      </c>
      <c r="I1115" s="36"/>
      <c r="J1115" s="25">
        <v>363400</v>
      </c>
    </row>
    <row r="1116" spans="1:10" ht="16" x14ac:dyDescent="0.45">
      <c r="A1116" s="153" t="str">
        <f>B1116&amp;C1116&amp;E1116&amp;G1116</f>
        <v>매트리스비렉스 RS 전용 매트리스74M(4개월점검주기)</v>
      </c>
      <c r="B1116" s="17" t="s">
        <v>228</v>
      </c>
      <c r="C1116" s="18" t="s">
        <v>1123</v>
      </c>
      <c r="D1116" s="19" t="s">
        <v>1139</v>
      </c>
      <c r="E1116" s="19">
        <v>7</v>
      </c>
      <c r="F1116" s="19" t="s">
        <v>0</v>
      </c>
      <c r="G1116" s="20" t="s">
        <v>453</v>
      </c>
      <c r="H1116" s="36">
        <v>76900</v>
      </c>
      <c r="I1116" s="36"/>
      <c r="J1116" s="25">
        <v>399700</v>
      </c>
    </row>
    <row r="1117" spans="1:10" ht="16" x14ac:dyDescent="0.45">
      <c r="A1117" s="153" t="str">
        <f>B1117&amp;C1117&amp;E1117&amp;G1117</f>
        <v>매트리스비렉스 RS 전용 매트리스5베이직케어(4M)</v>
      </c>
      <c r="B1117" s="17" t="s">
        <v>228</v>
      </c>
      <c r="C1117" s="18" t="s">
        <v>1123</v>
      </c>
      <c r="D1117" s="19" t="s">
        <v>1139</v>
      </c>
      <c r="E1117" s="19">
        <v>5</v>
      </c>
      <c r="F1117" s="19" t="s">
        <v>0</v>
      </c>
      <c r="G1117" s="20" t="s">
        <v>608</v>
      </c>
      <c r="H1117" s="36">
        <v>93900</v>
      </c>
      <c r="I1117" s="36"/>
      <c r="J1117" s="25">
        <v>352100</v>
      </c>
    </row>
    <row r="1118" spans="1:10" ht="16" x14ac:dyDescent="0.45">
      <c r="A1118" s="153" t="str">
        <f>B1118&amp;C1118&amp;E1118&amp;G1118</f>
        <v>매트리스비렉스 RS 전용 매트리스7베이직케어(4M)</v>
      </c>
      <c r="B1118" s="17" t="s">
        <v>228</v>
      </c>
      <c r="C1118" s="18" t="s">
        <v>1123</v>
      </c>
      <c r="D1118" s="19" t="s">
        <v>1139</v>
      </c>
      <c r="E1118" s="19">
        <v>7</v>
      </c>
      <c r="F1118" s="19" t="s">
        <v>0</v>
      </c>
      <c r="G1118" s="20" t="s">
        <v>608</v>
      </c>
      <c r="H1118" s="36">
        <v>72900</v>
      </c>
      <c r="I1118" s="36"/>
      <c r="J1118" s="25">
        <v>387300</v>
      </c>
    </row>
    <row r="1119" spans="1:10" ht="16" x14ac:dyDescent="0.45">
      <c r="A1119" s="153" t="str">
        <f>B1119&amp;C1119&amp;E1119&amp;G1119</f>
        <v>매트리스비렉스 RS 전용 매트리스5서비스프리</v>
      </c>
      <c r="B1119" s="17" t="s">
        <v>228</v>
      </c>
      <c r="C1119" s="18" t="s">
        <v>1123</v>
      </c>
      <c r="D1119" s="19" t="s">
        <v>1139</v>
      </c>
      <c r="E1119" s="19">
        <v>5</v>
      </c>
      <c r="F1119" s="19" t="s">
        <v>0</v>
      </c>
      <c r="G1119" s="20" t="s">
        <v>183</v>
      </c>
      <c r="H1119" s="36">
        <v>91900</v>
      </c>
      <c r="I1119" s="36"/>
      <c r="J1119" s="25">
        <v>352100</v>
      </c>
    </row>
    <row r="1120" spans="1:10" ht="16" x14ac:dyDescent="0.45">
      <c r="A1120" s="153" t="str">
        <f>B1120&amp;C1120&amp;E1120&amp;G1120</f>
        <v>매트리스비렉스 RS 전용 매트리스7서비스프리</v>
      </c>
      <c r="B1120" s="17" t="s">
        <v>228</v>
      </c>
      <c r="C1120" s="18" t="s">
        <v>1123</v>
      </c>
      <c r="D1120" s="19" t="s">
        <v>1139</v>
      </c>
      <c r="E1120" s="19">
        <v>7</v>
      </c>
      <c r="F1120" s="19" t="s">
        <v>0</v>
      </c>
      <c r="G1120" s="20" t="s">
        <v>183</v>
      </c>
      <c r="H1120" s="36">
        <v>70900</v>
      </c>
      <c r="I1120" s="36"/>
      <c r="J1120" s="25">
        <v>387300</v>
      </c>
    </row>
    <row r="1121" spans="1:10" ht="16" x14ac:dyDescent="0.45">
      <c r="A1121" s="153" t="str">
        <f>B1121&amp;C1121&amp;E1121&amp;G1121</f>
        <v>매트리스비렉스M(안마매트리스_안마형)51회서비스</v>
      </c>
      <c r="B1121" s="17" t="s">
        <v>228</v>
      </c>
      <c r="C1121" s="18" t="s">
        <v>1286</v>
      </c>
      <c r="D1121" s="19" t="s">
        <v>1298</v>
      </c>
      <c r="E1121" s="19">
        <v>5</v>
      </c>
      <c r="F1121" s="19" t="s">
        <v>0</v>
      </c>
      <c r="G1121" s="20" t="s">
        <v>457</v>
      </c>
      <c r="H1121" s="36">
        <v>205500</v>
      </c>
      <c r="I1121" s="36"/>
      <c r="J1121" s="25">
        <v>614100</v>
      </c>
    </row>
    <row r="1122" spans="1:10" ht="16" x14ac:dyDescent="0.45">
      <c r="A1122" s="153" t="str">
        <f>B1122&amp;C1122&amp;E1122&amp;G1122</f>
        <v>매트리스비렉스M(안마매트리스_안마형)71회서비스</v>
      </c>
      <c r="B1122" s="17" t="s">
        <v>228</v>
      </c>
      <c r="C1122" s="18" t="s">
        <v>1286</v>
      </c>
      <c r="D1122" s="19" t="s">
        <v>1298</v>
      </c>
      <c r="E1122" s="19">
        <v>7</v>
      </c>
      <c r="F1122" s="19" t="s">
        <v>0</v>
      </c>
      <c r="G1122" s="20" t="s">
        <v>457</v>
      </c>
      <c r="H1122" s="36">
        <v>166500</v>
      </c>
      <c r="I1122" s="36"/>
      <c r="J1122" s="25">
        <v>675500</v>
      </c>
    </row>
    <row r="1123" spans="1:10" ht="16" x14ac:dyDescent="0.45">
      <c r="A1123" s="153" t="str">
        <f>B1123&amp;C1123&amp;E1123&amp;G1123</f>
        <v>매트리스비렉스M(안마매트리스_안마형)54M(4개월점검주기)</v>
      </c>
      <c r="B1123" s="17" t="s">
        <v>228</v>
      </c>
      <c r="C1123" s="18" t="s">
        <v>1286</v>
      </c>
      <c r="D1123" s="19" t="s">
        <v>1298</v>
      </c>
      <c r="E1123" s="19">
        <v>5</v>
      </c>
      <c r="F1123" s="19" t="s">
        <v>0</v>
      </c>
      <c r="G1123" s="20" t="s">
        <v>453</v>
      </c>
      <c r="H1123" s="36">
        <v>211500</v>
      </c>
      <c r="I1123" s="36"/>
      <c r="J1123" s="25">
        <v>628800</v>
      </c>
    </row>
    <row r="1124" spans="1:10" ht="16" x14ac:dyDescent="0.45">
      <c r="A1124" s="153" t="str">
        <f>B1124&amp;C1124&amp;E1124&amp;G1124</f>
        <v>매트리스비렉스M(안마매트리스_안마형)74M(4개월점검주기)</v>
      </c>
      <c r="B1124" s="17" t="s">
        <v>228</v>
      </c>
      <c r="C1124" s="18" t="s">
        <v>1286</v>
      </c>
      <c r="D1124" s="19" t="s">
        <v>1298</v>
      </c>
      <c r="E1124" s="19">
        <v>7</v>
      </c>
      <c r="F1124" s="19" t="s">
        <v>0</v>
      </c>
      <c r="G1124" s="20" t="s">
        <v>453</v>
      </c>
      <c r="H1124" s="36">
        <v>172500</v>
      </c>
      <c r="I1124" s="36"/>
      <c r="J1124" s="25">
        <v>691700</v>
      </c>
    </row>
    <row r="1125" spans="1:10" ht="16" x14ac:dyDescent="0.45">
      <c r="A1125" s="153" t="str">
        <f>B1125&amp;C1125&amp;E1125&amp;G1125</f>
        <v>매트리스비렉스M(안마매트리스_안마형)51회서비스</v>
      </c>
      <c r="B1125" s="17" t="s">
        <v>228</v>
      </c>
      <c r="C1125" s="18" t="s">
        <v>1286</v>
      </c>
      <c r="D1125" s="19" t="s">
        <v>1299</v>
      </c>
      <c r="E1125" s="19">
        <v>5</v>
      </c>
      <c r="F1125" s="19" t="s">
        <v>0</v>
      </c>
      <c r="G1125" s="20" t="s">
        <v>457</v>
      </c>
      <c r="H1125" s="36">
        <v>205500</v>
      </c>
      <c r="I1125" s="36"/>
      <c r="J1125" s="25">
        <v>614100</v>
      </c>
    </row>
    <row r="1126" spans="1:10" ht="16" x14ac:dyDescent="0.45">
      <c r="A1126" s="153" t="str">
        <f>B1126&amp;C1126&amp;E1126&amp;G1126</f>
        <v>매트리스비렉스M(안마매트리스_안마형)71회서비스</v>
      </c>
      <c r="B1126" s="17" t="s">
        <v>228</v>
      </c>
      <c r="C1126" s="18" t="s">
        <v>1286</v>
      </c>
      <c r="D1126" s="19" t="s">
        <v>1299</v>
      </c>
      <c r="E1126" s="19">
        <v>7</v>
      </c>
      <c r="F1126" s="19" t="s">
        <v>0</v>
      </c>
      <c r="G1126" s="20" t="s">
        <v>457</v>
      </c>
      <c r="H1126" s="36">
        <v>166500</v>
      </c>
      <c r="I1126" s="36"/>
      <c r="J1126" s="25">
        <v>675500</v>
      </c>
    </row>
    <row r="1127" spans="1:10" ht="16" x14ac:dyDescent="0.45">
      <c r="A1127" s="153" t="str">
        <f>B1127&amp;C1127&amp;E1127&amp;G1127</f>
        <v>매트리스비렉스M(안마매트리스_안마형)54M(4개월점검주기)</v>
      </c>
      <c r="B1127" s="17" t="s">
        <v>228</v>
      </c>
      <c r="C1127" s="18" t="s">
        <v>1286</v>
      </c>
      <c r="D1127" s="19" t="s">
        <v>1299</v>
      </c>
      <c r="E1127" s="19">
        <v>5</v>
      </c>
      <c r="F1127" s="19" t="s">
        <v>0</v>
      </c>
      <c r="G1127" s="20" t="s">
        <v>453</v>
      </c>
      <c r="H1127" s="36">
        <v>211500</v>
      </c>
      <c r="I1127" s="36"/>
      <c r="J1127" s="25">
        <v>628800</v>
      </c>
    </row>
    <row r="1128" spans="1:10" ht="16" x14ac:dyDescent="0.45">
      <c r="A1128" s="153" t="str">
        <f>B1128&amp;C1128&amp;E1128&amp;G1128</f>
        <v>매트리스비렉스M(안마매트리스_안마형)74M(4개월점검주기)</v>
      </c>
      <c r="B1128" s="17" t="s">
        <v>228</v>
      </c>
      <c r="C1128" s="18" t="s">
        <v>1286</v>
      </c>
      <c r="D1128" s="19" t="s">
        <v>1299</v>
      </c>
      <c r="E1128" s="19">
        <v>7</v>
      </c>
      <c r="F1128" s="19" t="s">
        <v>0</v>
      </c>
      <c r="G1128" s="20" t="s">
        <v>453</v>
      </c>
      <c r="H1128" s="36">
        <v>172500</v>
      </c>
      <c r="I1128" s="36"/>
      <c r="J1128" s="25">
        <v>691700</v>
      </c>
    </row>
    <row r="1129" spans="1:10" ht="16" x14ac:dyDescent="0.45">
      <c r="A1129" s="153" t="str">
        <f>B1129&amp;C1129&amp;E1129&amp;G1129</f>
        <v>매트리스비렉스M(안마매트리스_안마형)51회서비스</v>
      </c>
      <c r="B1129" s="17" t="s">
        <v>228</v>
      </c>
      <c r="C1129" s="18" t="s">
        <v>1286</v>
      </c>
      <c r="D1129" s="19" t="s">
        <v>1294</v>
      </c>
      <c r="E1129" s="19">
        <v>5</v>
      </c>
      <c r="F1129" s="19" t="s">
        <v>0</v>
      </c>
      <c r="G1129" s="20" t="s">
        <v>457</v>
      </c>
      <c r="H1129" s="36">
        <v>183500</v>
      </c>
      <c r="I1129" s="36"/>
      <c r="J1129" s="25">
        <v>540600</v>
      </c>
    </row>
    <row r="1130" spans="1:10" ht="16" x14ac:dyDescent="0.45">
      <c r="A1130" s="153" t="str">
        <f>B1130&amp;C1130&amp;E1130&amp;G1130</f>
        <v>매트리스비렉스M(안마매트리스_안마형)71회서비스</v>
      </c>
      <c r="B1130" s="17" t="s">
        <v>228</v>
      </c>
      <c r="C1130" s="18" t="s">
        <v>1286</v>
      </c>
      <c r="D1130" s="19" t="s">
        <v>1294</v>
      </c>
      <c r="E1130" s="19">
        <v>7</v>
      </c>
      <c r="F1130" s="19" t="s">
        <v>0</v>
      </c>
      <c r="G1130" s="20" t="s">
        <v>457</v>
      </c>
      <c r="H1130" s="36">
        <v>144500</v>
      </c>
      <c r="I1130" s="36"/>
      <c r="J1130" s="25">
        <v>594700</v>
      </c>
    </row>
    <row r="1131" spans="1:10" ht="16" x14ac:dyDescent="0.45">
      <c r="A1131" s="153" t="str">
        <f>B1131&amp;C1131&amp;E1131&amp;G1131</f>
        <v>매트리스비렉스M(안마매트리스_안마형)54M(4개월점검주기)</v>
      </c>
      <c r="B1131" s="17" t="s">
        <v>228</v>
      </c>
      <c r="C1131" s="18" t="s">
        <v>1286</v>
      </c>
      <c r="D1131" s="19" t="s">
        <v>1294</v>
      </c>
      <c r="E1131" s="19">
        <v>5</v>
      </c>
      <c r="F1131" s="19" t="s">
        <v>0</v>
      </c>
      <c r="G1131" s="20" t="s">
        <v>453</v>
      </c>
      <c r="H1131" s="36">
        <v>189500</v>
      </c>
      <c r="I1131" s="36"/>
      <c r="J1131" s="25">
        <v>570000</v>
      </c>
    </row>
    <row r="1132" spans="1:10" ht="16" x14ac:dyDescent="0.45">
      <c r="A1132" s="153" t="str">
        <f>B1132&amp;C1132&amp;E1132&amp;G1132</f>
        <v>매트리스비렉스M(안마매트리스_안마형)74M(4개월점검주기)</v>
      </c>
      <c r="B1132" s="17" t="s">
        <v>228</v>
      </c>
      <c r="C1132" s="18" t="s">
        <v>1286</v>
      </c>
      <c r="D1132" s="19" t="s">
        <v>1294</v>
      </c>
      <c r="E1132" s="19">
        <v>7</v>
      </c>
      <c r="F1132" s="19" t="s">
        <v>0</v>
      </c>
      <c r="G1132" s="20" t="s">
        <v>453</v>
      </c>
      <c r="H1132" s="36">
        <v>150500</v>
      </c>
      <c r="I1132" s="36"/>
      <c r="J1132" s="25">
        <v>627000</v>
      </c>
    </row>
    <row r="1133" spans="1:10" ht="16" x14ac:dyDescent="0.45">
      <c r="A1133" s="153" t="str">
        <f>B1133&amp;C1133&amp;E1133&amp;G1133</f>
        <v>매트리스비렉스M(안마매트리스_안마형)51회서비스</v>
      </c>
      <c r="B1133" s="17" t="s">
        <v>228</v>
      </c>
      <c r="C1133" s="18" t="s">
        <v>1286</v>
      </c>
      <c r="D1133" s="19" t="s">
        <v>1296</v>
      </c>
      <c r="E1133" s="19">
        <v>5</v>
      </c>
      <c r="F1133" s="19" t="s">
        <v>0</v>
      </c>
      <c r="G1133" s="20" t="s">
        <v>457</v>
      </c>
      <c r="H1133" s="36">
        <v>193500</v>
      </c>
      <c r="I1133" s="36"/>
      <c r="J1133" s="25">
        <v>570000</v>
      </c>
    </row>
    <row r="1134" spans="1:10" ht="16" x14ac:dyDescent="0.45">
      <c r="A1134" s="153" t="str">
        <f>B1134&amp;C1134&amp;E1134&amp;G1134</f>
        <v>매트리스비렉스M(안마매트리스_안마형)71회서비스</v>
      </c>
      <c r="B1134" s="17" t="s">
        <v>228</v>
      </c>
      <c r="C1134" s="18" t="s">
        <v>1286</v>
      </c>
      <c r="D1134" s="19" t="s">
        <v>1296</v>
      </c>
      <c r="E1134" s="19">
        <v>7</v>
      </c>
      <c r="F1134" s="19" t="s">
        <v>0</v>
      </c>
      <c r="G1134" s="20" t="s">
        <v>457</v>
      </c>
      <c r="H1134" s="36">
        <v>154500</v>
      </c>
      <c r="I1134" s="36"/>
      <c r="J1134" s="25">
        <v>627000</v>
      </c>
    </row>
    <row r="1135" spans="1:10" ht="16" x14ac:dyDescent="0.45">
      <c r="A1135" s="153" t="str">
        <f>B1135&amp;C1135&amp;E1135&amp;G1135</f>
        <v>매트리스비렉스M(안마매트리스_안마형)54M(4개월점검주기)</v>
      </c>
      <c r="B1135" s="17" t="s">
        <v>228</v>
      </c>
      <c r="C1135" s="18" t="s">
        <v>1286</v>
      </c>
      <c r="D1135" s="19" t="s">
        <v>1296</v>
      </c>
      <c r="E1135" s="19">
        <v>5</v>
      </c>
      <c r="F1135" s="19" t="s">
        <v>0</v>
      </c>
      <c r="G1135" s="20" t="s">
        <v>453</v>
      </c>
      <c r="H1135" s="36">
        <v>199500</v>
      </c>
      <c r="I1135" s="36"/>
      <c r="J1135" s="25">
        <v>599400</v>
      </c>
    </row>
    <row r="1136" spans="1:10" ht="16" x14ac:dyDescent="0.45">
      <c r="A1136" s="153" t="str">
        <f>B1136&amp;C1136&amp;E1136&amp;G1136</f>
        <v>매트리스비렉스M(안마매트리스_안마형)74M(4개월점검주기)</v>
      </c>
      <c r="B1136" s="17" t="s">
        <v>228</v>
      </c>
      <c r="C1136" s="18" t="s">
        <v>1286</v>
      </c>
      <c r="D1136" s="19" t="s">
        <v>1296</v>
      </c>
      <c r="E1136" s="19">
        <v>7</v>
      </c>
      <c r="F1136" s="19" t="s">
        <v>0</v>
      </c>
      <c r="G1136" s="20" t="s">
        <v>453</v>
      </c>
      <c r="H1136" s="36">
        <v>160500</v>
      </c>
      <c r="I1136" s="36"/>
      <c r="J1136" s="25">
        <v>659300</v>
      </c>
    </row>
    <row r="1137" spans="1:10" ht="16" x14ac:dyDescent="0.45">
      <c r="A1137" s="153" t="str">
        <f>B1137&amp;C1137&amp;E1137&amp;G1137</f>
        <v>매트리스비렉스M(안마매트리스_안마형)51회서비스</v>
      </c>
      <c r="B1137" s="17" t="s">
        <v>228</v>
      </c>
      <c r="C1137" s="18" t="s">
        <v>1286</v>
      </c>
      <c r="D1137" s="19" t="s">
        <v>1292</v>
      </c>
      <c r="E1137" s="19">
        <v>5</v>
      </c>
      <c r="F1137" s="19" t="s">
        <v>0</v>
      </c>
      <c r="G1137" s="20" t="s">
        <v>457</v>
      </c>
      <c r="H1137" s="36">
        <v>179500</v>
      </c>
      <c r="I1137" s="36"/>
      <c r="J1137" s="25">
        <v>540600</v>
      </c>
    </row>
    <row r="1138" spans="1:10" ht="16" x14ac:dyDescent="0.45">
      <c r="A1138" s="153" t="str">
        <f>B1138&amp;C1138&amp;E1138&amp;G1138</f>
        <v>매트리스비렉스M(안마매트리스_안마형)71회서비스</v>
      </c>
      <c r="B1138" s="17" t="s">
        <v>228</v>
      </c>
      <c r="C1138" s="18" t="s">
        <v>1286</v>
      </c>
      <c r="D1138" s="19" t="s">
        <v>1292</v>
      </c>
      <c r="E1138" s="19">
        <v>7</v>
      </c>
      <c r="F1138" s="19" t="s">
        <v>0</v>
      </c>
      <c r="G1138" s="20" t="s">
        <v>457</v>
      </c>
      <c r="H1138" s="36">
        <v>140500</v>
      </c>
      <c r="I1138" s="36"/>
      <c r="J1138" s="25">
        <v>594700</v>
      </c>
    </row>
    <row r="1139" spans="1:10" ht="16" x14ac:dyDescent="0.45">
      <c r="A1139" s="153" t="str">
        <f>B1139&amp;C1139&amp;E1139&amp;G1139</f>
        <v>매트리스비렉스M(안마매트리스_안마형)54M(4개월점검주기)</v>
      </c>
      <c r="B1139" s="17" t="s">
        <v>228</v>
      </c>
      <c r="C1139" s="18" t="s">
        <v>1286</v>
      </c>
      <c r="D1139" s="19" t="s">
        <v>1292</v>
      </c>
      <c r="E1139" s="19">
        <v>5</v>
      </c>
      <c r="F1139" s="19" t="s">
        <v>0</v>
      </c>
      <c r="G1139" s="20" t="s">
        <v>453</v>
      </c>
      <c r="H1139" s="36">
        <v>185500</v>
      </c>
      <c r="I1139" s="36"/>
      <c r="J1139" s="25">
        <v>555300</v>
      </c>
    </row>
    <row r="1140" spans="1:10" ht="16" x14ac:dyDescent="0.45">
      <c r="A1140" s="153" t="str">
        <f>B1140&amp;C1140&amp;E1140&amp;G1140</f>
        <v>매트리스비렉스M(안마매트리스_안마형)74M(4개월점검주기)</v>
      </c>
      <c r="B1140" s="17" t="s">
        <v>228</v>
      </c>
      <c r="C1140" s="18" t="s">
        <v>1286</v>
      </c>
      <c r="D1140" s="19" t="s">
        <v>1292</v>
      </c>
      <c r="E1140" s="19">
        <v>7</v>
      </c>
      <c r="F1140" s="19" t="s">
        <v>0</v>
      </c>
      <c r="G1140" s="20" t="s">
        <v>453</v>
      </c>
      <c r="H1140" s="36">
        <v>146500</v>
      </c>
      <c r="I1140" s="36"/>
      <c r="J1140" s="25">
        <v>610800</v>
      </c>
    </row>
    <row r="1141" spans="1:10" ht="16" x14ac:dyDescent="0.45">
      <c r="A1141" s="153" t="str">
        <f>B1141&amp;C1141&amp;E1141&amp;G1141</f>
        <v>매트리스비렉스M(안마매트리스_안마형)51회서비스</v>
      </c>
      <c r="B1141" s="17" t="s">
        <v>228</v>
      </c>
      <c r="C1141" s="18" t="s">
        <v>1286</v>
      </c>
      <c r="D1141" s="19" t="s">
        <v>1290</v>
      </c>
      <c r="E1141" s="19">
        <v>5</v>
      </c>
      <c r="F1141" s="19" t="s">
        <v>0</v>
      </c>
      <c r="G1141" s="20" t="s">
        <v>457</v>
      </c>
      <c r="H1141" s="36">
        <v>166500</v>
      </c>
      <c r="I1141" s="36"/>
      <c r="J1141" s="25">
        <v>496500</v>
      </c>
    </row>
    <row r="1142" spans="1:10" ht="16" x14ac:dyDescent="0.45">
      <c r="A1142" s="153" t="str">
        <f>B1142&amp;C1142&amp;E1142&amp;G1142</f>
        <v>매트리스비렉스M(안마매트리스_안마형)71회서비스</v>
      </c>
      <c r="B1142" s="17" t="s">
        <v>228</v>
      </c>
      <c r="C1142" s="18" t="s">
        <v>1286</v>
      </c>
      <c r="D1142" s="19" t="s">
        <v>1290</v>
      </c>
      <c r="E1142" s="19">
        <v>7</v>
      </c>
      <c r="F1142" s="19" t="s">
        <v>0</v>
      </c>
      <c r="G1142" s="20" t="s">
        <v>457</v>
      </c>
      <c r="H1142" s="36">
        <v>127500</v>
      </c>
      <c r="I1142" s="36"/>
      <c r="J1142" s="25">
        <v>546200</v>
      </c>
    </row>
    <row r="1143" spans="1:10" ht="16" x14ac:dyDescent="0.45">
      <c r="A1143" s="153" t="str">
        <f>B1143&amp;C1143&amp;E1143&amp;G1143</f>
        <v>매트리스비렉스M(안마매트리스_안마형)54M(4개월점검주기)</v>
      </c>
      <c r="B1143" s="17" t="s">
        <v>228</v>
      </c>
      <c r="C1143" s="18" t="s">
        <v>1286</v>
      </c>
      <c r="D1143" s="19" t="s">
        <v>1290</v>
      </c>
      <c r="E1143" s="19">
        <v>5</v>
      </c>
      <c r="F1143" s="19" t="s">
        <v>0</v>
      </c>
      <c r="G1143" s="20" t="s">
        <v>453</v>
      </c>
      <c r="H1143" s="36">
        <v>172500</v>
      </c>
      <c r="I1143" s="36"/>
      <c r="J1143" s="25">
        <v>511200</v>
      </c>
    </row>
    <row r="1144" spans="1:10" ht="16" x14ac:dyDescent="0.45">
      <c r="A1144" s="153" t="str">
        <f>B1144&amp;C1144&amp;E1144&amp;G1144</f>
        <v>매트리스비렉스M(안마매트리스_안마형)74M(4개월점검주기)</v>
      </c>
      <c r="B1144" s="17" t="s">
        <v>228</v>
      </c>
      <c r="C1144" s="18" t="s">
        <v>1286</v>
      </c>
      <c r="D1144" s="19" t="s">
        <v>1290</v>
      </c>
      <c r="E1144" s="19">
        <v>7</v>
      </c>
      <c r="F1144" s="19" t="s">
        <v>0</v>
      </c>
      <c r="G1144" s="20" t="s">
        <v>453</v>
      </c>
      <c r="H1144" s="36">
        <v>133500</v>
      </c>
      <c r="I1144" s="36"/>
      <c r="J1144" s="25">
        <v>562300</v>
      </c>
    </row>
    <row r="1145" spans="1:10" ht="16" x14ac:dyDescent="0.45">
      <c r="A1145" s="153" t="str">
        <f>B1145&amp;C1145&amp;E1145&amp;G1145</f>
        <v>매트리스비렉스M(안마매트리스_척추형)51회서비스</v>
      </c>
      <c r="B1145" s="17" t="s">
        <v>228</v>
      </c>
      <c r="C1145" s="18" t="s">
        <v>1287</v>
      </c>
      <c r="D1145" s="19" t="s">
        <v>1300</v>
      </c>
      <c r="E1145" s="19">
        <v>5</v>
      </c>
      <c r="F1145" s="19" t="s">
        <v>0</v>
      </c>
      <c r="G1145" s="20" t="s">
        <v>457</v>
      </c>
      <c r="H1145" s="36">
        <v>193500</v>
      </c>
      <c r="I1145" s="36"/>
      <c r="J1145" s="25">
        <v>584700</v>
      </c>
    </row>
    <row r="1146" spans="1:10" ht="16" x14ac:dyDescent="0.45">
      <c r="A1146" s="153" t="str">
        <f>B1146&amp;C1146&amp;E1146&amp;G1146</f>
        <v>매트리스비렉스M(안마매트리스_척추형)71회서비스</v>
      </c>
      <c r="B1146" s="17" t="s">
        <v>228</v>
      </c>
      <c r="C1146" s="18" t="s">
        <v>1287</v>
      </c>
      <c r="D1146" s="19" t="s">
        <v>1300</v>
      </c>
      <c r="E1146" s="19">
        <v>7</v>
      </c>
      <c r="F1146" s="19" t="s">
        <v>0</v>
      </c>
      <c r="G1146" s="20" t="s">
        <v>457</v>
      </c>
      <c r="H1146" s="36">
        <v>158500</v>
      </c>
      <c r="I1146" s="36"/>
      <c r="J1146" s="25">
        <v>643200</v>
      </c>
    </row>
    <row r="1147" spans="1:10" ht="16" x14ac:dyDescent="0.45">
      <c r="A1147" s="153" t="str">
        <f>B1147&amp;C1147&amp;E1147&amp;G1147</f>
        <v>매트리스비렉스M(안마매트리스_척추형)54M(4개월점검주기)</v>
      </c>
      <c r="B1147" s="17" t="s">
        <v>228</v>
      </c>
      <c r="C1147" s="18" t="s">
        <v>1287</v>
      </c>
      <c r="D1147" s="19" t="s">
        <v>1300</v>
      </c>
      <c r="E1147" s="19">
        <v>5</v>
      </c>
      <c r="F1147" s="19" t="s">
        <v>0</v>
      </c>
      <c r="G1147" s="20" t="s">
        <v>453</v>
      </c>
      <c r="H1147" s="36">
        <v>199500</v>
      </c>
      <c r="I1147" s="36"/>
      <c r="J1147" s="25">
        <v>599400</v>
      </c>
    </row>
    <row r="1148" spans="1:10" ht="16" x14ac:dyDescent="0.45">
      <c r="A1148" s="153" t="str">
        <f>B1148&amp;C1148&amp;E1148&amp;G1148</f>
        <v>매트리스비렉스M(안마매트리스_척추형)74M(4개월점검주기)</v>
      </c>
      <c r="B1148" s="17" t="s">
        <v>228</v>
      </c>
      <c r="C1148" s="18" t="s">
        <v>1287</v>
      </c>
      <c r="D1148" s="19" t="s">
        <v>1300</v>
      </c>
      <c r="E1148" s="19">
        <v>7</v>
      </c>
      <c r="F1148" s="19" t="s">
        <v>0</v>
      </c>
      <c r="G1148" s="20" t="s">
        <v>453</v>
      </c>
      <c r="H1148" s="36">
        <v>164500</v>
      </c>
      <c r="I1148" s="36"/>
      <c r="J1148" s="25">
        <v>659300</v>
      </c>
    </row>
    <row r="1149" spans="1:10" ht="16" x14ac:dyDescent="0.45">
      <c r="A1149" s="153" t="str">
        <f>B1149&amp;C1149&amp;E1149&amp;G1149</f>
        <v>매트리스비렉스M(안마매트리스_척추형)51회서비스</v>
      </c>
      <c r="B1149" s="17" t="s">
        <v>228</v>
      </c>
      <c r="C1149" s="18" t="s">
        <v>1287</v>
      </c>
      <c r="D1149" s="19" t="s">
        <v>1301</v>
      </c>
      <c r="E1149" s="19">
        <v>5</v>
      </c>
      <c r="F1149" s="19" t="s">
        <v>0</v>
      </c>
      <c r="G1149" s="20" t="s">
        <v>457</v>
      </c>
      <c r="H1149" s="36">
        <v>193500</v>
      </c>
      <c r="I1149" s="36"/>
      <c r="J1149" s="25">
        <v>584700</v>
      </c>
    </row>
    <row r="1150" spans="1:10" ht="16" x14ac:dyDescent="0.45">
      <c r="A1150" s="153" t="str">
        <f>B1150&amp;C1150&amp;E1150&amp;G1150</f>
        <v>매트리스비렉스M(안마매트리스_척추형)71회서비스</v>
      </c>
      <c r="B1150" s="17" t="s">
        <v>228</v>
      </c>
      <c r="C1150" s="18" t="s">
        <v>1287</v>
      </c>
      <c r="D1150" s="19" t="s">
        <v>1301</v>
      </c>
      <c r="E1150" s="19">
        <v>7</v>
      </c>
      <c r="F1150" s="19" t="s">
        <v>0</v>
      </c>
      <c r="G1150" s="20" t="s">
        <v>457</v>
      </c>
      <c r="H1150" s="36">
        <v>158500</v>
      </c>
      <c r="I1150" s="36"/>
      <c r="J1150" s="25">
        <v>643200</v>
      </c>
    </row>
    <row r="1151" spans="1:10" ht="16" x14ac:dyDescent="0.45">
      <c r="A1151" s="153" t="str">
        <f>B1151&amp;C1151&amp;E1151&amp;G1151</f>
        <v>매트리스비렉스M(안마매트리스_척추형)54M(4개월점검주기)</v>
      </c>
      <c r="B1151" s="17" t="s">
        <v>228</v>
      </c>
      <c r="C1151" s="18" t="s">
        <v>1287</v>
      </c>
      <c r="D1151" s="19" t="s">
        <v>1301</v>
      </c>
      <c r="E1151" s="19">
        <v>5</v>
      </c>
      <c r="F1151" s="19" t="s">
        <v>0</v>
      </c>
      <c r="G1151" s="20" t="s">
        <v>453</v>
      </c>
      <c r="H1151" s="36">
        <v>199500</v>
      </c>
      <c r="I1151" s="36"/>
      <c r="J1151" s="25">
        <v>599400</v>
      </c>
    </row>
    <row r="1152" spans="1:10" ht="16" x14ac:dyDescent="0.45">
      <c r="A1152" s="153" t="str">
        <f>B1152&amp;C1152&amp;E1152&amp;G1152</f>
        <v>매트리스비렉스M(안마매트리스_척추형)74M(4개월점검주기)</v>
      </c>
      <c r="B1152" s="17" t="s">
        <v>228</v>
      </c>
      <c r="C1152" s="18" t="s">
        <v>1287</v>
      </c>
      <c r="D1152" s="19" t="s">
        <v>1301</v>
      </c>
      <c r="E1152" s="19">
        <v>7</v>
      </c>
      <c r="F1152" s="19" t="s">
        <v>0</v>
      </c>
      <c r="G1152" s="20" t="s">
        <v>453</v>
      </c>
      <c r="H1152" s="36">
        <v>164500</v>
      </c>
      <c r="I1152" s="36"/>
      <c r="J1152" s="25">
        <v>659300</v>
      </c>
    </row>
    <row r="1153" spans="1:10" ht="16" x14ac:dyDescent="0.45">
      <c r="A1153" s="153" t="str">
        <f>B1153&amp;C1153&amp;E1153&amp;G1153</f>
        <v>매트리스비렉스M(안마매트리스_척추형)51회서비스</v>
      </c>
      <c r="B1153" s="17" t="s">
        <v>228</v>
      </c>
      <c r="C1153" s="18" t="s">
        <v>1287</v>
      </c>
      <c r="D1153" s="19" t="s">
        <v>1295</v>
      </c>
      <c r="E1153" s="19">
        <v>5</v>
      </c>
      <c r="F1153" s="19" t="s">
        <v>0</v>
      </c>
      <c r="G1153" s="20" t="s">
        <v>457</v>
      </c>
      <c r="H1153" s="36">
        <v>171500</v>
      </c>
      <c r="I1153" s="36"/>
      <c r="J1153" s="25">
        <v>525900</v>
      </c>
    </row>
    <row r="1154" spans="1:10" ht="16" x14ac:dyDescent="0.45">
      <c r="A1154" s="153" t="str">
        <f>B1154&amp;C1154&amp;E1154&amp;G1154</f>
        <v>매트리스비렉스M(안마매트리스_척추형)71회서비스</v>
      </c>
      <c r="B1154" s="17" t="s">
        <v>228</v>
      </c>
      <c r="C1154" s="18" t="s">
        <v>1287</v>
      </c>
      <c r="D1154" s="19" t="s">
        <v>1295</v>
      </c>
      <c r="E1154" s="19">
        <v>7</v>
      </c>
      <c r="F1154" s="19" t="s">
        <v>0</v>
      </c>
      <c r="G1154" s="20" t="s">
        <v>457</v>
      </c>
      <c r="H1154" s="36">
        <v>136500</v>
      </c>
      <c r="I1154" s="36"/>
      <c r="J1154" s="25">
        <v>578500</v>
      </c>
    </row>
    <row r="1155" spans="1:10" ht="16" x14ac:dyDescent="0.45">
      <c r="A1155" s="153" t="str">
        <f>B1155&amp;C1155&amp;E1155&amp;G1155</f>
        <v>매트리스비렉스M(안마매트리스_척추형)54M(4개월점검주기)</v>
      </c>
      <c r="B1155" s="17" t="s">
        <v>228</v>
      </c>
      <c r="C1155" s="18" t="s">
        <v>1287</v>
      </c>
      <c r="D1155" s="19" t="s">
        <v>1295</v>
      </c>
      <c r="E1155" s="19">
        <v>5</v>
      </c>
      <c r="F1155" s="19" t="s">
        <v>0</v>
      </c>
      <c r="G1155" s="20" t="s">
        <v>453</v>
      </c>
      <c r="H1155" s="36">
        <v>177500</v>
      </c>
      <c r="I1155" s="36"/>
      <c r="J1155" s="25">
        <v>540600</v>
      </c>
    </row>
    <row r="1156" spans="1:10" ht="16" x14ac:dyDescent="0.45">
      <c r="A1156" s="153" t="str">
        <f>B1156&amp;C1156&amp;E1156&amp;G1156</f>
        <v>매트리스비렉스M(안마매트리스_척추형)74M(4개월점검주기)</v>
      </c>
      <c r="B1156" s="17" t="s">
        <v>228</v>
      </c>
      <c r="C1156" s="18" t="s">
        <v>1287</v>
      </c>
      <c r="D1156" s="19" t="s">
        <v>1295</v>
      </c>
      <c r="E1156" s="19">
        <v>7</v>
      </c>
      <c r="F1156" s="19" t="s">
        <v>0</v>
      </c>
      <c r="G1156" s="20" t="s">
        <v>453</v>
      </c>
      <c r="H1156" s="36">
        <v>142500</v>
      </c>
      <c r="I1156" s="36"/>
      <c r="J1156" s="25">
        <v>594700</v>
      </c>
    </row>
    <row r="1157" spans="1:10" ht="16" x14ac:dyDescent="0.45">
      <c r="A1157" s="153" t="str">
        <f>B1157&amp;C1157&amp;E1157&amp;G1157</f>
        <v>매트리스비렉스M(안마매트리스_척추형)51회서비스</v>
      </c>
      <c r="B1157" s="17" t="s">
        <v>228</v>
      </c>
      <c r="C1157" s="18" t="s">
        <v>1287</v>
      </c>
      <c r="D1157" s="19" t="s">
        <v>1297</v>
      </c>
      <c r="E1157" s="19">
        <v>5</v>
      </c>
      <c r="F1157" s="19" t="s">
        <v>0</v>
      </c>
      <c r="G1157" s="20" t="s">
        <v>457</v>
      </c>
      <c r="H1157" s="36">
        <v>181500</v>
      </c>
      <c r="I1157" s="36"/>
      <c r="J1157" s="25">
        <v>555300</v>
      </c>
    </row>
    <row r="1158" spans="1:10" ht="16" x14ac:dyDescent="0.45">
      <c r="A1158" s="153" t="str">
        <f>B1158&amp;C1158&amp;E1158&amp;G1158</f>
        <v>매트리스비렉스M(안마매트리스_척추형)71회서비스</v>
      </c>
      <c r="B1158" s="17" t="s">
        <v>228</v>
      </c>
      <c r="C1158" s="18" t="s">
        <v>1287</v>
      </c>
      <c r="D1158" s="19" t="s">
        <v>1297</v>
      </c>
      <c r="E1158" s="19">
        <v>7</v>
      </c>
      <c r="F1158" s="19" t="s">
        <v>0</v>
      </c>
      <c r="G1158" s="20" t="s">
        <v>457</v>
      </c>
      <c r="H1158" s="36">
        <v>146500</v>
      </c>
      <c r="I1158" s="36"/>
      <c r="J1158" s="25">
        <v>610800</v>
      </c>
    </row>
    <row r="1159" spans="1:10" ht="16" x14ac:dyDescent="0.45">
      <c r="A1159" s="153" t="str">
        <f>B1159&amp;C1159&amp;E1159&amp;G1159</f>
        <v>매트리스비렉스M(안마매트리스_척추형)54M(4개월점검주기)</v>
      </c>
      <c r="B1159" s="17" t="s">
        <v>228</v>
      </c>
      <c r="C1159" s="18" t="s">
        <v>1287</v>
      </c>
      <c r="D1159" s="19" t="s">
        <v>1297</v>
      </c>
      <c r="E1159" s="19">
        <v>5</v>
      </c>
      <c r="F1159" s="19" t="s">
        <v>0</v>
      </c>
      <c r="G1159" s="20" t="s">
        <v>453</v>
      </c>
      <c r="H1159" s="36">
        <v>187500</v>
      </c>
      <c r="I1159" s="36"/>
      <c r="J1159" s="25">
        <v>570000</v>
      </c>
    </row>
    <row r="1160" spans="1:10" ht="16" x14ac:dyDescent="0.45">
      <c r="A1160" s="153" t="str">
        <f>B1160&amp;C1160&amp;E1160&amp;G1160</f>
        <v>매트리스비렉스M(안마매트리스_척추형)74M(4개월점검주기)</v>
      </c>
      <c r="B1160" s="17" t="s">
        <v>228</v>
      </c>
      <c r="C1160" s="18" t="s">
        <v>1287</v>
      </c>
      <c r="D1160" s="19" t="s">
        <v>1297</v>
      </c>
      <c r="E1160" s="19">
        <v>7</v>
      </c>
      <c r="F1160" s="19" t="s">
        <v>0</v>
      </c>
      <c r="G1160" s="20" t="s">
        <v>453</v>
      </c>
      <c r="H1160" s="36">
        <v>152500</v>
      </c>
      <c r="I1160" s="36"/>
      <c r="J1160" s="25">
        <v>627000</v>
      </c>
    </row>
    <row r="1161" spans="1:10" ht="16" x14ac:dyDescent="0.45">
      <c r="A1161" s="153" t="str">
        <f>B1161&amp;C1161&amp;E1161&amp;G1161</f>
        <v>매트리스비렉스M(안마매트리스_척추형)51회서비스</v>
      </c>
      <c r="B1161" s="17" t="s">
        <v>228</v>
      </c>
      <c r="C1161" s="18" t="s">
        <v>1287</v>
      </c>
      <c r="D1161" s="19" t="s">
        <v>1293</v>
      </c>
      <c r="E1161" s="19">
        <v>5</v>
      </c>
      <c r="F1161" s="19" t="s">
        <v>0</v>
      </c>
      <c r="G1161" s="20" t="s">
        <v>457</v>
      </c>
      <c r="H1161" s="36">
        <v>167500</v>
      </c>
      <c r="I1161" s="36"/>
      <c r="J1161" s="25">
        <v>511200</v>
      </c>
    </row>
    <row r="1162" spans="1:10" ht="16" x14ac:dyDescent="0.45">
      <c r="A1162" s="153" t="str">
        <f>B1162&amp;C1162&amp;E1162&amp;G1162</f>
        <v>매트리스비렉스M(안마매트리스_척추형)71회서비스</v>
      </c>
      <c r="B1162" s="17" t="s">
        <v>228</v>
      </c>
      <c r="C1162" s="18" t="s">
        <v>1287</v>
      </c>
      <c r="D1162" s="19" t="s">
        <v>1293</v>
      </c>
      <c r="E1162" s="19">
        <v>7</v>
      </c>
      <c r="F1162" s="19" t="s">
        <v>0</v>
      </c>
      <c r="G1162" s="20" t="s">
        <v>457</v>
      </c>
      <c r="H1162" s="36">
        <v>132500</v>
      </c>
      <c r="I1162" s="36"/>
      <c r="J1162" s="25">
        <v>562300</v>
      </c>
    </row>
    <row r="1163" spans="1:10" ht="16" x14ac:dyDescent="0.45">
      <c r="A1163" s="153" t="str">
        <f>B1163&amp;C1163&amp;E1163&amp;G1163</f>
        <v>매트리스비렉스M(안마매트리스_척추형)54M(4개월점검주기)</v>
      </c>
      <c r="B1163" s="17" t="s">
        <v>228</v>
      </c>
      <c r="C1163" s="18" t="s">
        <v>1287</v>
      </c>
      <c r="D1163" s="19" t="s">
        <v>1293</v>
      </c>
      <c r="E1163" s="19">
        <v>5</v>
      </c>
      <c r="F1163" s="19" t="s">
        <v>0</v>
      </c>
      <c r="G1163" s="20" t="s">
        <v>453</v>
      </c>
      <c r="H1163" s="36">
        <v>173500</v>
      </c>
      <c r="I1163" s="36"/>
      <c r="J1163" s="25">
        <v>525900</v>
      </c>
    </row>
    <row r="1164" spans="1:10" ht="16" x14ac:dyDescent="0.45">
      <c r="A1164" s="153" t="str">
        <f>B1164&amp;C1164&amp;E1164&amp;G1164</f>
        <v>매트리스비렉스M(안마매트리스_척추형)74M(4개월점검주기)</v>
      </c>
      <c r="B1164" s="17" t="s">
        <v>228</v>
      </c>
      <c r="C1164" s="18" t="s">
        <v>1287</v>
      </c>
      <c r="D1164" s="19" t="s">
        <v>1293</v>
      </c>
      <c r="E1164" s="19">
        <v>7</v>
      </c>
      <c r="F1164" s="19" t="s">
        <v>0</v>
      </c>
      <c r="G1164" s="20" t="s">
        <v>453</v>
      </c>
      <c r="H1164" s="36">
        <v>138500</v>
      </c>
      <c r="I1164" s="36"/>
      <c r="J1164" s="25">
        <v>578500</v>
      </c>
    </row>
    <row r="1165" spans="1:10" ht="16" x14ac:dyDescent="0.45">
      <c r="A1165" s="153" t="str">
        <f>B1165&amp;C1165&amp;E1165&amp;G1165</f>
        <v>매트리스비렉스M(안마매트리스_척추형)51회서비스</v>
      </c>
      <c r="B1165" s="17" t="s">
        <v>228</v>
      </c>
      <c r="C1165" s="18" t="s">
        <v>1287</v>
      </c>
      <c r="D1165" s="19" t="s">
        <v>1291</v>
      </c>
      <c r="E1165" s="19">
        <v>5</v>
      </c>
      <c r="F1165" s="19" t="s">
        <v>0</v>
      </c>
      <c r="G1165" s="20" t="s">
        <v>457</v>
      </c>
      <c r="H1165" s="36">
        <v>154500</v>
      </c>
      <c r="I1165" s="36"/>
      <c r="J1165" s="25">
        <v>467100</v>
      </c>
    </row>
    <row r="1166" spans="1:10" ht="16" x14ac:dyDescent="0.45">
      <c r="A1166" s="153" t="str">
        <f>B1166&amp;C1166&amp;E1166&amp;G1166</f>
        <v>매트리스비렉스M(안마매트리스_척추형)71회서비스</v>
      </c>
      <c r="B1166" s="17" t="s">
        <v>228</v>
      </c>
      <c r="C1166" s="18" t="s">
        <v>1287</v>
      </c>
      <c r="D1166" s="19" t="s">
        <v>1291</v>
      </c>
      <c r="E1166" s="19">
        <v>7</v>
      </c>
      <c r="F1166" s="19" t="s">
        <v>0</v>
      </c>
      <c r="G1166" s="20" t="s">
        <v>457</v>
      </c>
      <c r="H1166" s="36">
        <v>119500</v>
      </c>
      <c r="I1166" s="36"/>
      <c r="J1166" s="25">
        <v>513800</v>
      </c>
    </row>
    <row r="1167" spans="1:10" ht="16" x14ac:dyDescent="0.45">
      <c r="A1167" s="153" t="str">
        <f>B1167&amp;C1167&amp;E1167&amp;G1167</f>
        <v>매트리스비렉스M(안마매트리스_척추형)54M(4개월점검주기)</v>
      </c>
      <c r="B1167" s="17" t="s">
        <v>228</v>
      </c>
      <c r="C1167" s="18" t="s">
        <v>1287</v>
      </c>
      <c r="D1167" s="19" t="s">
        <v>1291</v>
      </c>
      <c r="E1167" s="19">
        <v>5</v>
      </c>
      <c r="F1167" s="19" t="s">
        <v>0</v>
      </c>
      <c r="G1167" s="20" t="s">
        <v>453</v>
      </c>
      <c r="H1167" s="36">
        <v>160500</v>
      </c>
      <c r="I1167" s="36"/>
      <c r="J1167" s="25">
        <v>496500</v>
      </c>
    </row>
    <row r="1168" spans="1:10" ht="16" x14ac:dyDescent="0.45">
      <c r="A1168" s="153" t="str">
        <f>B1168&amp;C1168&amp;E1168&amp;G1168</f>
        <v>매트리스비렉스M(안마매트리스_척추형)74M(4개월점검주기)</v>
      </c>
      <c r="B1168" s="17" t="s">
        <v>228</v>
      </c>
      <c r="C1168" s="18" t="s">
        <v>1287</v>
      </c>
      <c r="D1168" s="19" t="s">
        <v>1291</v>
      </c>
      <c r="E1168" s="19">
        <v>7</v>
      </c>
      <c r="F1168" s="19" t="s">
        <v>0</v>
      </c>
      <c r="G1168" s="20" t="s">
        <v>453</v>
      </c>
      <c r="H1168" s="36">
        <v>125500</v>
      </c>
      <c r="I1168" s="36"/>
      <c r="J1168" s="25">
        <v>546200</v>
      </c>
    </row>
    <row r="1169" spans="1:10" ht="16" x14ac:dyDescent="0.45">
      <c r="A1169" s="153" t="str">
        <f>B1169&amp;C1169&amp;E1169&amp;G1169</f>
        <v>매트리스스마트매트리스51회서비스</v>
      </c>
      <c r="B1169" s="17" t="s">
        <v>228</v>
      </c>
      <c r="C1169" s="18" t="s">
        <v>493</v>
      </c>
      <c r="D1169" s="19" t="s">
        <v>663</v>
      </c>
      <c r="E1169" s="19">
        <v>5</v>
      </c>
      <c r="F1169" s="19" t="s">
        <v>0</v>
      </c>
      <c r="G1169" s="20" t="s">
        <v>457</v>
      </c>
      <c r="H1169" s="36">
        <v>112900</v>
      </c>
      <c r="I1169" s="36">
        <v>102900</v>
      </c>
      <c r="J1169" s="25">
        <v>363400</v>
      </c>
    </row>
    <row r="1170" spans="1:10" ht="16" x14ac:dyDescent="0.45">
      <c r="A1170" s="153" t="str">
        <f>B1170&amp;C1170&amp;E1170&amp;G1170</f>
        <v>매트리스스마트매트리스71회서비스</v>
      </c>
      <c r="B1170" s="17" t="s">
        <v>228</v>
      </c>
      <c r="C1170" s="18" t="s">
        <v>493</v>
      </c>
      <c r="D1170" s="19" t="s">
        <v>663</v>
      </c>
      <c r="E1170" s="19">
        <v>7</v>
      </c>
      <c r="F1170" s="19" t="s">
        <v>0</v>
      </c>
      <c r="G1170" s="20" t="s">
        <v>457</v>
      </c>
      <c r="H1170" s="36">
        <v>89900</v>
      </c>
      <c r="I1170" s="36">
        <v>79900</v>
      </c>
      <c r="J1170" s="25">
        <v>399700</v>
      </c>
    </row>
    <row r="1171" spans="1:10" ht="16" x14ac:dyDescent="0.45">
      <c r="A1171" s="153" t="str">
        <f>B1171&amp;C1171&amp;E1171&amp;G1171</f>
        <v>매트리스스마트매트리스54M(4개월점검주기)</v>
      </c>
      <c r="B1171" s="17" t="s">
        <v>228</v>
      </c>
      <c r="C1171" s="18" t="s">
        <v>493</v>
      </c>
      <c r="D1171" s="19" t="s">
        <v>663</v>
      </c>
      <c r="E1171" s="19">
        <v>5</v>
      </c>
      <c r="F1171" s="19" t="s">
        <v>0</v>
      </c>
      <c r="G1171" s="20" t="s">
        <v>453</v>
      </c>
      <c r="H1171" s="36">
        <v>114900</v>
      </c>
      <c r="I1171" s="36">
        <v>104900</v>
      </c>
      <c r="J1171" s="25">
        <v>374600</v>
      </c>
    </row>
    <row r="1172" spans="1:10" ht="16" x14ac:dyDescent="0.45">
      <c r="A1172" s="153" t="str">
        <f>B1172&amp;C1172&amp;E1172&amp;G1172</f>
        <v>매트리스스마트매트리스74M(4개월점검주기)</v>
      </c>
      <c r="B1172" s="17" t="s">
        <v>228</v>
      </c>
      <c r="C1172" s="18" t="s">
        <v>493</v>
      </c>
      <c r="D1172" s="19" t="s">
        <v>663</v>
      </c>
      <c r="E1172" s="19">
        <v>7</v>
      </c>
      <c r="F1172" s="19" t="s">
        <v>0</v>
      </c>
      <c r="G1172" s="20" t="s">
        <v>453</v>
      </c>
      <c r="H1172" s="36">
        <v>91900</v>
      </c>
      <c r="I1172" s="36">
        <v>81900</v>
      </c>
      <c r="J1172" s="25">
        <v>412100</v>
      </c>
    </row>
    <row r="1173" spans="1:10" ht="16" x14ac:dyDescent="0.45">
      <c r="A1173" s="153" t="str">
        <f>B1173&amp;C1173&amp;E1173&amp;G1173</f>
        <v>매트리스스마트매트리스5베이직케어(4M)</v>
      </c>
      <c r="B1173" s="17" t="s">
        <v>228</v>
      </c>
      <c r="C1173" s="18" t="s">
        <v>493</v>
      </c>
      <c r="D1173" s="19" t="s">
        <v>663</v>
      </c>
      <c r="E1173" s="19">
        <v>5</v>
      </c>
      <c r="F1173" s="19" t="s">
        <v>0</v>
      </c>
      <c r="G1173" s="20" t="s">
        <v>608</v>
      </c>
      <c r="H1173" s="36">
        <v>111900</v>
      </c>
      <c r="I1173" s="36">
        <v>101900</v>
      </c>
      <c r="J1173" s="25">
        <v>363400</v>
      </c>
    </row>
    <row r="1174" spans="1:10" ht="16" x14ac:dyDescent="0.45">
      <c r="A1174" s="153" t="str">
        <f>B1174&amp;C1174&amp;E1174&amp;G1174</f>
        <v>매트리스스마트매트리스7베이직케어(4M)</v>
      </c>
      <c r="B1174" s="17" t="s">
        <v>228</v>
      </c>
      <c r="C1174" s="18" t="s">
        <v>493</v>
      </c>
      <c r="D1174" s="19" t="s">
        <v>663</v>
      </c>
      <c r="E1174" s="19">
        <v>7</v>
      </c>
      <c r="F1174" s="19" t="s">
        <v>0</v>
      </c>
      <c r="G1174" s="20" t="s">
        <v>608</v>
      </c>
      <c r="H1174" s="36">
        <v>88900</v>
      </c>
      <c r="I1174" s="36">
        <v>78900</v>
      </c>
      <c r="J1174" s="25">
        <v>399700</v>
      </c>
    </row>
    <row r="1175" spans="1:10" ht="16" x14ac:dyDescent="0.45">
      <c r="A1175" s="153" t="str">
        <f>B1175&amp;C1175&amp;E1175&amp;G1175</f>
        <v>매트리스스마트매트리스5서비스프리</v>
      </c>
      <c r="B1175" s="17" t="s">
        <v>228</v>
      </c>
      <c r="C1175" s="18" t="s">
        <v>493</v>
      </c>
      <c r="D1175" s="19" t="s">
        <v>663</v>
      </c>
      <c r="E1175" s="19">
        <v>5</v>
      </c>
      <c r="F1175" s="19" t="s">
        <v>0</v>
      </c>
      <c r="G1175" s="20" t="s">
        <v>183</v>
      </c>
      <c r="H1175" s="36">
        <v>109900</v>
      </c>
      <c r="I1175" s="36">
        <v>99900</v>
      </c>
      <c r="J1175" s="25">
        <v>363400</v>
      </c>
    </row>
    <row r="1176" spans="1:10" ht="16" x14ac:dyDescent="0.45">
      <c r="A1176" s="153" t="str">
        <f>B1176&amp;C1176&amp;E1176&amp;G1176</f>
        <v>매트리스스마트매트리스7서비스프리</v>
      </c>
      <c r="B1176" s="17" t="s">
        <v>228</v>
      </c>
      <c r="C1176" s="18" t="s">
        <v>493</v>
      </c>
      <c r="D1176" s="19" t="s">
        <v>663</v>
      </c>
      <c r="E1176" s="19">
        <v>7</v>
      </c>
      <c r="F1176" s="19" t="s">
        <v>0</v>
      </c>
      <c r="G1176" s="20" t="s">
        <v>183</v>
      </c>
      <c r="H1176" s="36">
        <v>86900</v>
      </c>
      <c r="I1176" s="36">
        <v>76900</v>
      </c>
      <c r="J1176" s="25">
        <v>399700</v>
      </c>
    </row>
    <row r="1177" spans="1:10" ht="16" x14ac:dyDescent="0.45">
      <c r="A1177" s="153" t="str">
        <f>B1177&amp;C1177&amp;E1177&amp;G1177</f>
        <v>매트리스스마트매트리스51회서비스</v>
      </c>
      <c r="B1177" s="17" t="s">
        <v>228</v>
      </c>
      <c r="C1177" s="18" t="s">
        <v>493</v>
      </c>
      <c r="D1177" s="19" t="s">
        <v>659</v>
      </c>
      <c r="E1177" s="19">
        <v>5</v>
      </c>
      <c r="F1177" s="19" t="s">
        <v>0</v>
      </c>
      <c r="G1177" s="20" t="s">
        <v>457</v>
      </c>
      <c r="H1177" s="36">
        <v>142900</v>
      </c>
      <c r="I1177" s="36">
        <v>132900</v>
      </c>
      <c r="J1177" s="25">
        <v>423000</v>
      </c>
    </row>
    <row r="1178" spans="1:10" ht="16" x14ac:dyDescent="0.45">
      <c r="A1178" s="153" t="str">
        <f>B1178&amp;C1178&amp;E1178&amp;G1178</f>
        <v>매트리스스마트매트리스71회서비스</v>
      </c>
      <c r="B1178" s="17" t="s">
        <v>228</v>
      </c>
      <c r="C1178" s="18" t="s">
        <v>493</v>
      </c>
      <c r="D1178" s="19" t="s">
        <v>659</v>
      </c>
      <c r="E1178" s="19">
        <v>7</v>
      </c>
      <c r="F1178" s="19" t="s">
        <v>0</v>
      </c>
      <c r="G1178" s="20" t="s">
        <v>457</v>
      </c>
      <c r="H1178" s="36">
        <v>112900</v>
      </c>
      <c r="I1178" s="36">
        <v>102900</v>
      </c>
      <c r="J1178" s="25">
        <v>465300</v>
      </c>
    </row>
    <row r="1179" spans="1:10" ht="16" x14ac:dyDescent="0.45">
      <c r="A1179" s="153" t="str">
        <f>B1179&amp;C1179&amp;E1179&amp;G1179</f>
        <v>매트리스스마트매트리스54M(4개월점검주기)</v>
      </c>
      <c r="B1179" s="17" t="s">
        <v>228</v>
      </c>
      <c r="C1179" s="18" t="s">
        <v>493</v>
      </c>
      <c r="D1179" s="19" t="s">
        <v>659</v>
      </c>
      <c r="E1179" s="19">
        <v>5</v>
      </c>
      <c r="F1179" s="19" t="s">
        <v>0</v>
      </c>
      <c r="G1179" s="20" t="s">
        <v>453</v>
      </c>
      <c r="H1179" s="36">
        <v>144900</v>
      </c>
      <c r="I1179" s="36">
        <v>134900</v>
      </c>
      <c r="J1179" s="25">
        <v>423000</v>
      </c>
    </row>
    <row r="1180" spans="1:10" ht="16" x14ac:dyDescent="0.45">
      <c r="A1180" s="153" t="str">
        <f>B1180&amp;C1180&amp;E1180&amp;G1180</f>
        <v>매트리스스마트매트리스74M(4개월점검주기)</v>
      </c>
      <c r="B1180" s="17" t="s">
        <v>228</v>
      </c>
      <c r="C1180" s="18" t="s">
        <v>493</v>
      </c>
      <c r="D1180" s="19" t="s">
        <v>659</v>
      </c>
      <c r="E1180" s="19">
        <v>7</v>
      </c>
      <c r="F1180" s="19" t="s">
        <v>0</v>
      </c>
      <c r="G1180" s="20" t="s">
        <v>453</v>
      </c>
      <c r="H1180" s="36">
        <v>114900</v>
      </c>
      <c r="I1180" s="36">
        <v>104900</v>
      </c>
      <c r="J1180" s="25">
        <v>465300</v>
      </c>
    </row>
    <row r="1181" spans="1:10" ht="16" x14ac:dyDescent="0.45">
      <c r="A1181" s="153" t="str">
        <f>B1181&amp;C1181&amp;E1181&amp;G1181</f>
        <v>매트리스스마트매트리스5베이직케어(4M)</v>
      </c>
      <c r="B1181" s="17" t="s">
        <v>228</v>
      </c>
      <c r="C1181" s="18" t="s">
        <v>493</v>
      </c>
      <c r="D1181" s="19" t="s">
        <v>659</v>
      </c>
      <c r="E1181" s="19">
        <v>5</v>
      </c>
      <c r="F1181" s="19" t="s">
        <v>0</v>
      </c>
      <c r="G1181" s="20" t="s">
        <v>608</v>
      </c>
      <c r="H1181" s="36">
        <v>140900</v>
      </c>
      <c r="I1181" s="36">
        <v>130900</v>
      </c>
      <c r="J1181" s="25">
        <v>423000</v>
      </c>
    </row>
    <row r="1182" spans="1:10" ht="16" x14ac:dyDescent="0.45">
      <c r="A1182" s="153" t="str">
        <f>B1182&amp;C1182&amp;E1182&amp;G1182</f>
        <v>매트리스스마트매트리스7베이직케어(4M)</v>
      </c>
      <c r="B1182" s="17" t="s">
        <v>228</v>
      </c>
      <c r="C1182" s="18" t="s">
        <v>493</v>
      </c>
      <c r="D1182" s="19" t="s">
        <v>659</v>
      </c>
      <c r="E1182" s="19">
        <v>7</v>
      </c>
      <c r="F1182" s="19" t="s">
        <v>0</v>
      </c>
      <c r="G1182" s="20" t="s">
        <v>608</v>
      </c>
      <c r="H1182" s="36">
        <v>110900</v>
      </c>
      <c r="I1182" s="36">
        <v>100900</v>
      </c>
      <c r="J1182" s="25">
        <v>465300</v>
      </c>
    </row>
    <row r="1183" spans="1:10" ht="16" x14ac:dyDescent="0.45">
      <c r="A1183" s="153" t="str">
        <f>B1183&amp;C1183&amp;E1183&amp;G1183</f>
        <v>매트리스스마트매트리스5서비스프리</v>
      </c>
      <c r="B1183" s="17" t="s">
        <v>228</v>
      </c>
      <c r="C1183" s="18" t="s">
        <v>493</v>
      </c>
      <c r="D1183" s="19" t="s">
        <v>659</v>
      </c>
      <c r="E1183" s="19">
        <v>5</v>
      </c>
      <c r="F1183" s="19" t="s">
        <v>0</v>
      </c>
      <c r="G1183" s="20" t="s">
        <v>183</v>
      </c>
      <c r="H1183" s="36">
        <v>138900</v>
      </c>
      <c r="I1183" s="36">
        <v>128900</v>
      </c>
      <c r="J1183" s="25">
        <v>408300</v>
      </c>
    </row>
    <row r="1184" spans="1:10" ht="16" x14ac:dyDescent="0.45">
      <c r="A1184" s="153" t="str">
        <f>B1184&amp;C1184&amp;E1184&amp;G1184</f>
        <v>매트리스스마트매트리스7서비스프리</v>
      </c>
      <c r="B1184" s="17" t="s">
        <v>228</v>
      </c>
      <c r="C1184" s="18" t="s">
        <v>493</v>
      </c>
      <c r="D1184" s="19" t="s">
        <v>659</v>
      </c>
      <c r="E1184" s="19">
        <v>7</v>
      </c>
      <c r="F1184" s="19" t="s">
        <v>0</v>
      </c>
      <c r="G1184" s="20" t="s">
        <v>183</v>
      </c>
      <c r="H1184" s="36">
        <v>108900</v>
      </c>
      <c r="I1184" s="36">
        <v>98900</v>
      </c>
      <c r="J1184" s="25">
        <v>449100</v>
      </c>
    </row>
    <row r="1185" spans="1:10" ht="16" x14ac:dyDescent="0.45">
      <c r="A1185" s="153" t="str">
        <f>B1185&amp;C1185&amp;E1185&amp;G1185</f>
        <v>매트리스스마트매트리스51회서비스</v>
      </c>
      <c r="B1185" s="17" t="s">
        <v>228</v>
      </c>
      <c r="C1185" s="18" t="s">
        <v>493</v>
      </c>
      <c r="D1185" s="19" t="s">
        <v>662</v>
      </c>
      <c r="E1185" s="19">
        <v>5</v>
      </c>
      <c r="F1185" s="19" t="s">
        <v>0</v>
      </c>
      <c r="G1185" s="20" t="s">
        <v>457</v>
      </c>
      <c r="H1185" s="36">
        <v>124900</v>
      </c>
      <c r="I1185" s="36">
        <v>114900</v>
      </c>
      <c r="J1185" s="25">
        <v>385800</v>
      </c>
    </row>
    <row r="1186" spans="1:10" ht="16" x14ac:dyDescent="0.45">
      <c r="A1186" s="153" t="str">
        <f>B1186&amp;C1186&amp;E1186&amp;G1186</f>
        <v>매트리스스마트매트리스71회서비스</v>
      </c>
      <c r="B1186" s="17" t="s">
        <v>228</v>
      </c>
      <c r="C1186" s="18" t="s">
        <v>493</v>
      </c>
      <c r="D1186" s="19" t="s">
        <v>662</v>
      </c>
      <c r="E1186" s="19">
        <v>7</v>
      </c>
      <c r="F1186" s="19" t="s">
        <v>0</v>
      </c>
      <c r="G1186" s="20" t="s">
        <v>457</v>
      </c>
      <c r="H1186" s="36">
        <v>98900</v>
      </c>
      <c r="I1186" s="36">
        <v>88900</v>
      </c>
      <c r="J1186" s="25">
        <v>424400</v>
      </c>
    </row>
    <row r="1187" spans="1:10" ht="16" x14ac:dyDescent="0.45">
      <c r="A1187" s="153" t="str">
        <f>B1187&amp;C1187&amp;E1187&amp;G1187</f>
        <v>매트리스스마트매트리스54M(4개월점검주기)</v>
      </c>
      <c r="B1187" s="17" t="s">
        <v>228</v>
      </c>
      <c r="C1187" s="18" t="s">
        <v>493</v>
      </c>
      <c r="D1187" s="19" t="s">
        <v>662</v>
      </c>
      <c r="E1187" s="19">
        <v>5</v>
      </c>
      <c r="F1187" s="19" t="s">
        <v>0</v>
      </c>
      <c r="G1187" s="20" t="s">
        <v>453</v>
      </c>
      <c r="H1187" s="36">
        <v>126900</v>
      </c>
      <c r="I1187" s="36">
        <v>116900</v>
      </c>
      <c r="J1187" s="25">
        <v>397100</v>
      </c>
    </row>
    <row r="1188" spans="1:10" ht="16" x14ac:dyDescent="0.45">
      <c r="A1188" s="153" t="str">
        <f>B1188&amp;C1188&amp;E1188&amp;G1188</f>
        <v>매트리스스마트매트리스74M(4개월점검주기)</v>
      </c>
      <c r="B1188" s="17" t="s">
        <v>228</v>
      </c>
      <c r="C1188" s="18" t="s">
        <v>493</v>
      </c>
      <c r="D1188" s="19" t="s">
        <v>662</v>
      </c>
      <c r="E1188" s="19">
        <v>7</v>
      </c>
      <c r="F1188" s="19" t="s">
        <v>0</v>
      </c>
      <c r="G1188" s="20" t="s">
        <v>453</v>
      </c>
      <c r="H1188" s="36">
        <v>100900</v>
      </c>
      <c r="I1188" s="36">
        <v>90900</v>
      </c>
      <c r="J1188" s="25">
        <v>436800</v>
      </c>
    </row>
    <row r="1189" spans="1:10" ht="16" x14ac:dyDescent="0.45">
      <c r="A1189" s="153" t="str">
        <f>B1189&amp;C1189&amp;E1189&amp;G1189</f>
        <v>매트리스스마트매트리스5베이직케어(4M)</v>
      </c>
      <c r="B1189" s="17" t="s">
        <v>228</v>
      </c>
      <c r="C1189" s="18" t="s">
        <v>493</v>
      </c>
      <c r="D1189" s="19" t="s">
        <v>662</v>
      </c>
      <c r="E1189" s="19">
        <v>5</v>
      </c>
      <c r="F1189" s="19" t="s">
        <v>0</v>
      </c>
      <c r="G1189" s="20" t="s">
        <v>608</v>
      </c>
      <c r="H1189" s="36">
        <v>123900</v>
      </c>
      <c r="I1189" s="36">
        <v>113900</v>
      </c>
      <c r="J1189" s="25">
        <v>385800</v>
      </c>
    </row>
    <row r="1190" spans="1:10" ht="16" x14ac:dyDescent="0.45">
      <c r="A1190" s="153" t="str">
        <f>B1190&amp;C1190&amp;E1190&amp;G1190</f>
        <v>매트리스스마트매트리스7베이직케어(4M)</v>
      </c>
      <c r="B1190" s="17" t="s">
        <v>228</v>
      </c>
      <c r="C1190" s="18" t="s">
        <v>493</v>
      </c>
      <c r="D1190" s="19" t="s">
        <v>662</v>
      </c>
      <c r="E1190" s="19">
        <v>7</v>
      </c>
      <c r="F1190" s="19" t="s">
        <v>0</v>
      </c>
      <c r="G1190" s="20" t="s">
        <v>608</v>
      </c>
      <c r="H1190" s="36">
        <v>97900</v>
      </c>
      <c r="I1190" s="36">
        <v>87900</v>
      </c>
      <c r="J1190" s="25">
        <v>424400</v>
      </c>
    </row>
    <row r="1191" spans="1:10" ht="16" x14ac:dyDescent="0.45">
      <c r="A1191" s="153" t="str">
        <f>B1191&amp;C1191&amp;E1191&amp;G1191</f>
        <v>매트리스스마트매트리스5서비스프리</v>
      </c>
      <c r="B1191" s="17" t="s">
        <v>228</v>
      </c>
      <c r="C1191" s="18" t="s">
        <v>493</v>
      </c>
      <c r="D1191" s="19" t="s">
        <v>662</v>
      </c>
      <c r="E1191" s="19">
        <v>5</v>
      </c>
      <c r="F1191" s="19" t="s">
        <v>0</v>
      </c>
      <c r="G1191" s="20" t="s">
        <v>183</v>
      </c>
      <c r="H1191" s="36">
        <v>121900</v>
      </c>
      <c r="I1191" s="36">
        <v>111900</v>
      </c>
      <c r="J1191" s="25">
        <v>385800</v>
      </c>
    </row>
    <row r="1192" spans="1:10" ht="16" x14ac:dyDescent="0.45">
      <c r="A1192" s="153" t="str">
        <f>B1192&amp;C1192&amp;E1192&amp;G1192</f>
        <v>매트리스스마트매트리스7서비스프리</v>
      </c>
      <c r="B1192" s="17" t="s">
        <v>228</v>
      </c>
      <c r="C1192" s="18" t="s">
        <v>493</v>
      </c>
      <c r="D1192" s="19" t="s">
        <v>662</v>
      </c>
      <c r="E1192" s="19">
        <v>7</v>
      </c>
      <c r="F1192" s="19" t="s">
        <v>0</v>
      </c>
      <c r="G1192" s="20" t="s">
        <v>183</v>
      </c>
      <c r="H1192" s="36">
        <v>95900</v>
      </c>
      <c r="I1192" s="36">
        <v>85900</v>
      </c>
      <c r="J1192" s="25">
        <v>424400</v>
      </c>
    </row>
    <row r="1193" spans="1:10" ht="16" x14ac:dyDescent="0.45">
      <c r="A1193" s="153" t="str">
        <f>B1193&amp;C1193&amp;E1193&amp;G1193</f>
        <v>매트리스스마트매트리스51회서비스</v>
      </c>
      <c r="B1193" s="17" t="s">
        <v>228</v>
      </c>
      <c r="C1193" s="18" t="s">
        <v>493</v>
      </c>
      <c r="D1193" s="19" t="s">
        <v>658</v>
      </c>
      <c r="E1193" s="19">
        <v>5</v>
      </c>
      <c r="F1193" s="19" t="s">
        <v>0</v>
      </c>
      <c r="G1193" s="20" t="s">
        <v>457</v>
      </c>
      <c r="H1193" s="36">
        <v>156900</v>
      </c>
      <c r="I1193" s="36">
        <v>146900</v>
      </c>
      <c r="J1193" s="25">
        <v>452400</v>
      </c>
    </row>
    <row r="1194" spans="1:10" ht="16" x14ac:dyDescent="0.45">
      <c r="A1194" s="153" t="str">
        <f>B1194&amp;C1194&amp;E1194&amp;G1194</f>
        <v>매트리스스마트매트리스71회서비스</v>
      </c>
      <c r="B1194" s="17" t="s">
        <v>228</v>
      </c>
      <c r="C1194" s="18" t="s">
        <v>493</v>
      </c>
      <c r="D1194" s="19" t="s">
        <v>658</v>
      </c>
      <c r="E1194" s="19">
        <v>7</v>
      </c>
      <c r="F1194" s="19" t="s">
        <v>0</v>
      </c>
      <c r="G1194" s="20" t="s">
        <v>457</v>
      </c>
      <c r="H1194" s="36">
        <v>123900</v>
      </c>
      <c r="I1194" s="36">
        <v>113900</v>
      </c>
      <c r="J1194" s="25">
        <v>497600</v>
      </c>
    </row>
    <row r="1195" spans="1:10" ht="16" x14ac:dyDescent="0.45">
      <c r="A1195" s="153" t="str">
        <f>B1195&amp;C1195&amp;E1195&amp;G1195</f>
        <v>매트리스스마트매트리스54M(4개월점검주기)</v>
      </c>
      <c r="B1195" s="17" t="s">
        <v>228</v>
      </c>
      <c r="C1195" s="18" t="s">
        <v>493</v>
      </c>
      <c r="D1195" s="19" t="s">
        <v>658</v>
      </c>
      <c r="E1195" s="19">
        <v>5</v>
      </c>
      <c r="F1195" s="19" t="s">
        <v>0</v>
      </c>
      <c r="G1195" s="20" t="s">
        <v>453</v>
      </c>
      <c r="H1195" s="36">
        <v>158900</v>
      </c>
      <c r="I1195" s="36">
        <v>148900</v>
      </c>
      <c r="J1195" s="25">
        <v>467100</v>
      </c>
    </row>
    <row r="1196" spans="1:10" ht="16" x14ac:dyDescent="0.45">
      <c r="A1196" s="153" t="str">
        <f>B1196&amp;C1196&amp;E1196&amp;G1196</f>
        <v>매트리스스마트매트리스74M(4개월점검주기)</v>
      </c>
      <c r="B1196" s="17" t="s">
        <v>228</v>
      </c>
      <c r="C1196" s="18" t="s">
        <v>493</v>
      </c>
      <c r="D1196" s="19" t="s">
        <v>658</v>
      </c>
      <c r="E1196" s="19">
        <v>7</v>
      </c>
      <c r="F1196" s="19" t="s">
        <v>0</v>
      </c>
      <c r="G1196" s="20" t="s">
        <v>453</v>
      </c>
      <c r="H1196" s="36">
        <v>125900</v>
      </c>
      <c r="I1196" s="36">
        <v>115900</v>
      </c>
      <c r="J1196" s="25">
        <v>513800</v>
      </c>
    </row>
    <row r="1197" spans="1:10" ht="16" x14ac:dyDescent="0.45">
      <c r="A1197" s="153" t="str">
        <f>B1197&amp;C1197&amp;E1197&amp;G1197</f>
        <v>매트리스스마트매트리스5베이직케어(4M)</v>
      </c>
      <c r="B1197" s="17" t="s">
        <v>228</v>
      </c>
      <c r="C1197" s="18" t="s">
        <v>493</v>
      </c>
      <c r="D1197" s="19" t="s">
        <v>658</v>
      </c>
      <c r="E1197" s="19">
        <v>5</v>
      </c>
      <c r="F1197" s="19" t="s">
        <v>0</v>
      </c>
      <c r="G1197" s="20" t="s">
        <v>608</v>
      </c>
      <c r="H1197" s="36">
        <v>154900</v>
      </c>
      <c r="I1197" s="36">
        <v>144900</v>
      </c>
      <c r="J1197" s="25">
        <v>452400</v>
      </c>
    </row>
    <row r="1198" spans="1:10" ht="16" x14ac:dyDescent="0.45">
      <c r="A1198" s="153" t="str">
        <f>B1198&amp;C1198&amp;E1198&amp;G1198</f>
        <v>매트리스스마트매트리스7베이직케어(4M)</v>
      </c>
      <c r="B1198" s="17" t="s">
        <v>228</v>
      </c>
      <c r="C1198" s="18" t="s">
        <v>493</v>
      </c>
      <c r="D1198" s="19" t="s">
        <v>658</v>
      </c>
      <c r="E1198" s="19">
        <v>7</v>
      </c>
      <c r="F1198" s="19" t="s">
        <v>0</v>
      </c>
      <c r="G1198" s="20" t="s">
        <v>608</v>
      </c>
      <c r="H1198" s="36">
        <v>121900</v>
      </c>
      <c r="I1198" s="36">
        <v>111900</v>
      </c>
      <c r="J1198" s="25">
        <v>497600</v>
      </c>
    </row>
    <row r="1199" spans="1:10" ht="16" x14ac:dyDescent="0.45">
      <c r="A1199" s="153" t="str">
        <f>B1199&amp;C1199&amp;E1199&amp;G1199</f>
        <v>매트리스스마트매트리스5서비스프리</v>
      </c>
      <c r="B1199" s="17" t="s">
        <v>228</v>
      </c>
      <c r="C1199" s="18" t="s">
        <v>493</v>
      </c>
      <c r="D1199" s="19" t="s">
        <v>658</v>
      </c>
      <c r="E1199" s="19">
        <v>5</v>
      </c>
      <c r="F1199" s="19" t="s">
        <v>0</v>
      </c>
      <c r="G1199" s="20" t="s">
        <v>183</v>
      </c>
      <c r="H1199" s="36">
        <v>152900</v>
      </c>
      <c r="I1199" s="36">
        <v>142900</v>
      </c>
      <c r="J1199" s="25">
        <v>437700</v>
      </c>
    </row>
    <row r="1200" spans="1:10" ht="16" x14ac:dyDescent="0.45">
      <c r="A1200" s="153" t="str">
        <f>B1200&amp;C1200&amp;E1200&amp;G1200</f>
        <v>매트리스스마트매트리스7서비스프리</v>
      </c>
      <c r="B1200" s="17" t="s">
        <v>228</v>
      </c>
      <c r="C1200" s="18" t="s">
        <v>493</v>
      </c>
      <c r="D1200" s="19" t="s">
        <v>658</v>
      </c>
      <c r="E1200" s="19">
        <v>7</v>
      </c>
      <c r="F1200" s="19" t="s">
        <v>0</v>
      </c>
      <c r="G1200" s="20" t="s">
        <v>183</v>
      </c>
      <c r="H1200" s="36">
        <v>119900</v>
      </c>
      <c r="I1200" s="36">
        <v>109900</v>
      </c>
      <c r="J1200" s="25">
        <v>481500</v>
      </c>
    </row>
    <row r="1201" spans="1:10" ht="16" x14ac:dyDescent="0.45">
      <c r="A1201" s="153" t="str">
        <f>B1201&amp;C1201&amp;E1201&amp;G1201</f>
        <v>매트리스스마트매트리스51회서비스</v>
      </c>
      <c r="B1201" s="17" t="s">
        <v>228</v>
      </c>
      <c r="C1201" s="18" t="s">
        <v>493</v>
      </c>
      <c r="D1201" s="19" t="s">
        <v>664</v>
      </c>
      <c r="E1201" s="19">
        <v>5</v>
      </c>
      <c r="F1201" s="19" t="s">
        <v>0</v>
      </c>
      <c r="G1201" s="20" t="s">
        <v>457</v>
      </c>
      <c r="H1201" s="36">
        <v>105900</v>
      </c>
      <c r="I1201" s="36">
        <v>95900</v>
      </c>
      <c r="J1201" s="25">
        <v>352100</v>
      </c>
    </row>
    <row r="1202" spans="1:10" ht="16" x14ac:dyDescent="0.45">
      <c r="A1202" s="153" t="str">
        <f>B1202&amp;C1202&amp;E1202&amp;G1202</f>
        <v>매트리스스마트매트리스71회서비스</v>
      </c>
      <c r="B1202" s="17" t="s">
        <v>228</v>
      </c>
      <c r="C1202" s="18" t="s">
        <v>493</v>
      </c>
      <c r="D1202" s="19" t="s">
        <v>664</v>
      </c>
      <c r="E1202" s="19">
        <v>7</v>
      </c>
      <c r="F1202" s="19" t="s">
        <v>0</v>
      </c>
      <c r="G1202" s="20" t="s">
        <v>457</v>
      </c>
      <c r="H1202" s="36">
        <v>84900</v>
      </c>
      <c r="I1202" s="36">
        <v>74900</v>
      </c>
      <c r="J1202" s="25">
        <v>387300</v>
      </c>
    </row>
    <row r="1203" spans="1:10" ht="16" x14ac:dyDescent="0.45">
      <c r="A1203" s="153" t="str">
        <f>B1203&amp;C1203&amp;E1203&amp;G1203</f>
        <v>매트리스스마트매트리스54M(4개월점검주기)</v>
      </c>
      <c r="B1203" s="17" t="s">
        <v>228</v>
      </c>
      <c r="C1203" s="18" t="s">
        <v>493</v>
      </c>
      <c r="D1203" s="19" t="s">
        <v>664</v>
      </c>
      <c r="E1203" s="19">
        <v>5</v>
      </c>
      <c r="F1203" s="19" t="s">
        <v>0</v>
      </c>
      <c r="G1203" s="20" t="s">
        <v>453</v>
      </c>
      <c r="H1203" s="36">
        <v>107900</v>
      </c>
      <c r="I1203" s="36">
        <v>97900</v>
      </c>
      <c r="J1203" s="25">
        <v>363400</v>
      </c>
    </row>
    <row r="1204" spans="1:10" ht="16" x14ac:dyDescent="0.45">
      <c r="A1204" s="153" t="str">
        <f>B1204&amp;C1204&amp;E1204&amp;G1204</f>
        <v>매트리스스마트매트리스74M(4개월점검주기)</v>
      </c>
      <c r="B1204" s="17" t="s">
        <v>228</v>
      </c>
      <c r="C1204" s="18" t="s">
        <v>493</v>
      </c>
      <c r="D1204" s="19" t="s">
        <v>664</v>
      </c>
      <c r="E1204" s="19">
        <v>7</v>
      </c>
      <c r="F1204" s="19" t="s">
        <v>0</v>
      </c>
      <c r="G1204" s="20" t="s">
        <v>453</v>
      </c>
      <c r="H1204" s="36">
        <v>86900</v>
      </c>
      <c r="I1204" s="36">
        <v>76900</v>
      </c>
      <c r="J1204" s="25">
        <v>399700</v>
      </c>
    </row>
    <row r="1205" spans="1:10" ht="16" x14ac:dyDescent="0.45">
      <c r="A1205" s="153" t="str">
        <f>B1205&amp;C1205&amp;E1205&amp;G1205</f>
        <v>매트리스스마트매트리스5베이직케어(4M)</v>
      </c>
      <c r="B1205" s="17" t="s">
        <v>228</v>
      </c>
      <c r="C1205" s="18" t="s">
        <v>493</v>
      </c>
      <c r="D1205" s="19" t="s">
        <v>664</v>
      </c>
      <c r="E1205" s="19">
        <v>5</v>
      </c>
      <c r="F1205" s="19" t="s">
        <v>0</v>
      </c>
      <c r="G1205" s="20" t="s">
        <v>608</v>
      </c>
      <c r="H1205" s="36">
        <v>104900</v>
      </c>
      <c r="I1205" s="36">
        <v>94900</v>
      </c>
      <c r="J1205" s="25">
        <v>352100</v>
      </c>
    </row>
    <row r="1206" spans="1:10" ht="16" x14ac:dyDescent="0.45">
      <c r="A1206" s="153" t="str">
        <f>B1206&amp;C1206&amp;E1206&amp;G1206</f>
        <v>매트리스스마트매트리스7베이직케어(4M)</v>
      </c>
      <c r="B1206" s="17" t="s">
        <v>228</v>
      </c>
      <c r="C1206" s="18" t="s">
        <v>493</v>
      </c>
      <c r="D1206" s="19" t="s">
        <v>664</v>
      </c>
      <c r="E1206" s="19">
        <v>7</v>
      </c>
      <c r="F1206" s="19" t="s">
        <v>0</v>
      </c>
      <c r="G1206" s="20" t="s">
        <v>608</v>
      </c>
      <c r="H1206" s="36">
        <v>83900</v>
      </c>
      <c r="I1206" s="36">
        <v>73900</v>
      </c>
      <c r="J1206" s="25">
        <v>387300</v>
      </c>
    </row>
    <row r="1207" spans="1:10" ht="16" x14ac:dyDescent="0.45">
      <c r="A1207" s="153" t="str">
        <f>B1207&amp;C1207&amp;E1207&amp;G1207</f>
        <v>매트리스스마트매트리스5서비스프리</v>
      </c>
      <c r="B1207" s="17" t="s">
        <v>228</v>
      </c>
      <c r="C1207" s="18" t="s">
        <v>493</v>
      </c>
      <c r="D1207" s="19" t="s">
        <v>664</v>
      </c>
      <c r="E1207" s="19">
        <v>5</v>
      </c>
      <c r="F1207" s="19" t="s">
        <v>0</v>
      </c>
      <c r="G1207" s="20" t="s">
        <v>183</v>
      </c>
      <c r="H1207" s="36">
        <v>102900</v>
      </c>
      <c r="I1207" s="36">
        <v>92900</v>
      </c>
      <c r="J1207" s="25">
        <v>352100</v>
      </c>
    </row>
    <row r="1208" spans="1:10" ht="16" x14ac:dyDescent="0.45">
      <c r="A1208" s="153" t="str">
        <f>B1208&amp;C1208&amp;E1208&amp;G1208</f>
        <v>매트리스스마트매트리스7서비스프리</v>
      </c>
      <c r="B1208" s="17" t="s">
        <v>228</v>
      </c>
      <c r="C1208" s="18" t="s">
        <v>493</v>
      </c>
      <c r="D1208" s="19" t="s">
        <v>664</v>
      </c>
      <c r="E1208" s="19">
        <v>7</v>
      </c>
      <c r="F1208" s="19" t="s">
        <v>0</v>
      </c>
      <c r="G1208" s="20" t="s">
        <v>183</v>
      </c>
      <c r="H1208" s="36">
        <v>81900</v>
      </c>
      <c r="I1208" s="36">
        <v>71900</v>
      </c>
      <c r="J1208" s="25">
        <v>387300</v>
      </c>
    </row>
    <row r="1209" spans="1:10" ht="16" x14ac:dyDescent="0.45">
      <c r="A1209" s="153" t="str">
        <f>B1209&amp;C1209&amp;E1209&amp;G1209</f>
        <v>매트리스스마트매트리스51회서비스</v>
      </c>
      <c r="B1209" s="17" t="s">
        <v>228</v>
      </c>
      <c r="C1209" s="18" t="s">
        <v>493</v>
      </c>
      <c r="D1209" s="19" t="s">
        <v>660</v>
      </c>
      <c r="E1209" s="19">
        <v>5</v>
      </c>
      <c r="F1209" s="19" t="s">
        <v>0</v>
      </c>
      <c r="G1209" s="20" t="s">
        <v>457</v>
      </c>
      <c r="H1209" s="36">
        <v>134900</v>
      </c>
      <c r="I1209" s="36">
        <v>124900</v>
      </c>
      <c r="J1209" s="25">
        <v>408300</v>
      </c>
    </row>
    <row r="1210" spans="1:10" ht="16" x14ac:dyDescent="0.45">
      <c r="A1210" s="153" t="str">
        <f>B1210&amp;C1210&amp;E1210&amp;G1210</f>
        <v>매트리스스마트매트리스71회서비스</v>
      </c>
      <c r="B1210" s="17" t="s">
        <v>228</v>
      </c>
      <c r="C1210" s="18" t="s">
        <v>493</v>
      </c>
      <c r="D1210" s="19" t="s">
        <v>660</v>
      </c>
      <c r="E1210" s="19">
        <v>7</v>
      </c>
      <c r="F1210" s="19" t="s">
        <v>0</v>
      </c>
      <c r="G1210" s="20" t="s">
        <v>457</v>
      </c>
      <c r="H1210" s="36">
        <v>106900</v>
      </c>
      <c r="I1210" s="36">
        <v>96900</v>
      </c>
      <c r="J1210" s="25">
        <v>449100</v>
      </c>
    </row>
    <row r="1211" spans="1:10" ht="16" x14ac:dyDescent="0.45">
      <c r="A1211" s="153" t="str">
        <f>B1211&amp;C1211&amp;E1211&amp;G1211</f>
        <v>매트리스스마트매트리스54M(4개월점검주기)</v>
      </c>
      <c r="B1211" s="17" t="s">
        <v>228</v>
      </c>
      <c r="C1211" s="18" t="s">
        <v>493</v>
      </c>
      <c r="D1211" s="19" t="s">
        <v>660</v>
      </c>
      <c r="E1211" s="19">
        <v>5</v>
      </c>
      <c r="F1211" s="19" t="s">
        <v>0</v>
      </c>
      <c r="G1211" s="20" t="s">
        <v>453</v>
      </c>
      <c r="H1211" s="36">
        <v>136900</v>
      </c>
      <c r="I1211" s="36">
        <v>126900</v>
      </c>
      <c r="J1211" s="25">
        <v>408300</v>
      </c>
    </row>
    <row r="1212" spans="1:10" ht="16" x14ac:dyDescent="0.45">
      <c r="A1212" s="153" t="str">
        <f>B1212&amp;C1212&amp;E1212&amp;G1212</f>
        <v>매트리스스마트매트리스74M(4개월점검주기)</v>
      </c>
      <c r="B1212" s="17" t="s">
        <v>228</v>
      </c>
      <c r="C1212" s="18" t="s">
        <v>493</v>
      </c>
      <c r="D1212" s="19" t="s">
        <v>660</v>
      </c>
      <c r="E1212" s="19">
        <v>7</v>
      </c>
      <c r="F1212" s="19" t="s">
        <v>0</v>
      </c>
      <c r="G1212" s="20" t="s">
        <v>453</v>
      </c>
      <c r="H1212" s="36">
        <v>108900</v>
      </c>
      <c r="I1212" s="36">
        <v>98900</v>
      </c>
      <c r="J1212" s="25">
        <v>449100</v>
      </c>
    </row>
    <row r="1213" spans="1:10" ht="16" x14ac:dyDescent="0.45">
      <c r="A1213" s="153" t="str">
        <f>B1213&amp;C1213&amp;E1213&amp;G1213</f>
        <v>매트리스스마트매트리스5베이직케어(4M)</v>
      </c>
      <c r="B1213" s="17" t="s">
        <v>228</v>
      </c>
      <c r="C1213" s="18" t="s">
        <v>493</v>
      </c>
      <c r="D1213" s="19" t="s">
        <v>660</v>
      </c>
      <c r="E1213" s="19">
        <v>5</v>
      </c>
      <c r="F1213" s="19" t="s">
        <v>0</v>
      </c>
      <c r="G1213" s="20" t="s">
        <v>608</v>
      </c>
      <c r="H1213" s="36">
        <v>132900</v>
      </c>
      <c r="I1213" s="36">
        <v>122900</v>
      </c>
      <c r="J1213" s="25">
        <v>397100</v>
      </c>
    </row>
    <row r="1214" spans="1:10" ht="16" x14ac:dyDescent="0.45">
      <c r="A1214" s="153" t="str">
        <f>B1214&amp;C1214&amp;E1214&amp;G1214</f>
        <v>매트리스스마트매트리스7베이직케어(4M)</v>
      </c>
      <c r="B1214" s="17" t="s">
        <v>228</v>
      </c>
      <c r="C1214" s="18" t="s">
        <v>493</v>
      </c>
      <c r="D1214" s="19" t="s">
        <v>660</v>
      </c>
      <c r="E1214" s="19">
        <v>7</v>
      </c>
      <c r="F1214" s="19" t="s">
        <v>0</v>
      </c>
      <c r="G1214" s="20" t="s">
        <v>608</v>
      </c>
      <c r="H1214" s="36">
        <v>104900</v>
      </c>
      <c r="I1214" s="36">
        <v>94900</v>
      </c>
      <c r="J1214" s="25">
        <v>436800</v>
      </c>
    </row>
    <row r="1215" spans="1:10" ht="16" x14ac:dyDescent="0.45">
      <c r="A1215" s="153" t="str">
        <f>B1215&amp;C1215&amp;E1215&amp;G1215</f>
        <v>매트리스스마트매트리스5서비스프리</v>
      </c>
      <c r="B1215" s="17" t="s">
        <v>228</v>
      </c>
      <c r="C1215" s="18" t="s">
        <v>493</v>
      </c>
      <c r="D1215" s="19" t="s">
        <v>660</v>
      </c>
      <c r="E1215" s="19">
        <v>5</v>
      </c>
      <c r="F1215" s="19" t="s">
        <v>0</v>
      </c>
      <c r="G1215" s="20" t="s">
        <v>183</v>
      </c>
      <c r="H1215" s="36">
        <v>130900</v>
      </c>
      <c r="I1215" s="36">
        <v>120900</v>
      </c>
      <c r="J1215" s="25">
        <v>397100</v>
      </c>
    </row>
    <row r="1216" spans="1:10" ht="16" x14ac:dyDescent="0.45">
      <c r="A1216" s="153" t="str">
        <f>B1216&amp;C1216&amp;E1216&amp;G1216</f>
        <v>매트리스스마트매트리스7서비스프리</v>
      </c>
      <c r="B1216" s="17" t="s">
        <v>228</v>
      </c>
      <c r="C1216" s="18" t="s">
        <v>493</v>
      </c>
      <c r="D1216" s="19" t="s">
        <v>660</v>
      </c>
      <c r="E1216" s="19">
        <v>7</v>
      </c>
      <c r="F1216" s="19" t="s">
        <v>0</v>
      </c>
      <c r="G1216" s="20" t="s">
        <v>183</v>
      </c>
      <c r="H1216" s="36">
        <v>102900</v>
      </c>
      <c r="I1216" s="36">
        <v>92900</v>
      </c>
      <c r="J1216" s="25">
        <v>436800</v>
      </c>
    </row>
    <row r="1217" spans="1:10" ht="16" x14ac:dyDescent="0.45">
      <c r="A1217" s="153" t="str">
        <f>B1217&amp;C1217&amp;E1217&amp;G1217</f>
        <v>매트리스스마트매트리스51회서비스</v>
      </c>
      <c r="B1217" s="17" t="s">
        <v>228</v>
      </c>
      <c r="C1217" s="18" t="s">
        <v>493</v>
      </c>
      <c r="D1217" s="19" t="s">
        <v>665</v>
      </c>
      <c r="E1217" s="19">
        <v>5</v>
      </c>
      <c r="F1217" s="19" t="s">
        <v>0</v>
      </c>
      <c r="G1217" s="20" t="s">
        <v>457</v>
      </c>
      <c r="H1217" s="36">
        <v>85900</v>
      </c>
      <c r="I1217" s="36">
        <v>75900</v>
      </c>
      <c r="J1217" s="25">
        <v>318400</v>
      </c>
    </row>
    <row r="1218" spans="1:10" ht="16" x14ac:dyDescent="0.45">
      <c r="A1218" s="153" t="str">
        <f>B1218&amp;C1218&amp;E1218&amp;G1218</f>
        <v>매트리스스마트매트리스71회서비스</v>
      </c>
      <c r="B1218" s="17" t="s">
        <v>228</v>
      </c>
      <c r="C1218" s="18" t="s">
        <v>493</v>
      </c>
      <c r="D1218" s="19" t="s">
        <v>665</v>
      </c>
      <c r="E1218" s="19">
        <v>7</v>
      </c>
      <c r="F1218" s="19" t="s">
        <v>0</v>
      </c>
      <c r="G1218" s="20" t="s">
        <v>457</v>
      </c>
      <c r="H1218" s="36">
        <v>69900</v>
      </c>
      <c r="I1218" s="36">
        <v>59900</v>
      </c>
      <c r="J1218" s="25">
        <v>350200</v>
      </c>
    </row>
    <row r="1219" spans="1:10" ht="16" x14ac:dyDescent="0.45">
      <c r="A1219" s="153" t="str">
        <f>B1219&amp;C1219&amp;E1219&amp;G1219</f>
        <v>매트리스스마트매트리스54M(4개월점검주기)</v>
      </c>
      <c r="B1219" s="17" t="s">
        <v>228</v>
      </c>
      <c r="C1219" s="18" t="s">
        <v>493</v>
      </c>
      <c r="D1219" s="19" t="s">
        <v>665</v>
      </c>
      <c r="E1219" s="19">
        <v>5</v>
      </c>
      <c r="F1219" s="19" t="s">
        <v>0</v>
      </c>
      <c r="G1219" s="20" t="s">
        <v>453</v>
      </c>
      <c r="H1219" s="36">
        <v>87900</v>
      </c>
      <c r="I1219" s="36">
        <v>77900</v>
      </c>
      <c r="J1219" s="25">
        <v>329600</v>
      </c>
    </row>
    <row r="1220" spans="1:10" ht="16" x14ac:dyDescent="0.45">
      <c r="A1220" s="153" t="str">
        <f>B1220&amp;C1220&amp;E1220&amp;G1220</f>
        <v>매트리스스마트매트리스74M(4개월점검주기)</v>
      </c>
      <c r="B1220" s="17" t="s">
        <v>228</v>
      </c>
      <c r="C1220" s="18" t="s">
        <v>493</v>
      </c>
      <c r="D1220" s="19" t="s">
        <v>665</v>
      </c>
      <c r="E1220" s="19">
        <v>7</v>
      </c>
      <c r="F1220" s="19" t="s">
        <v>0</v>
      </c>
      <c r="G1220" s="20" t="s">
        <v>453</v>
      </c>
      <c r="H1220" s="36">
        <v>71900</v>
      </c>
      <c r="I1220" s="36">
        <v>61900</v>
      </c>
      <c r="J1220" s="25">
        <v>362600</v>
      </c>
    </row>
    <row r="1221" spans="1:10" ht="16" x14ac:dyDescent="0.45">
      <c r="A1221" s="153" t="str">
        <f>B1221&amp;C1221&amp;E1221&amp;G1221</f>
        <v>매트리스스마트매트리스5베이직케어(4M)</v>
      </c>
      <c r="B1221" s="17" t="s">
        <v>228</v>
      </c>
      <c r="C1221" s="18" t="s">
        <v>493</v>
      </c>
      <c r="D1221" s="19" t="s">
        <v>665</v>
      </c>
      <c r="E1221" s="19">
        <v>5</v>
      </c>
      <c r="F1221" s="19" t="s">
        <v>0</v>
      </c>
      <c r="G1221" s="20" t="s">
        <v>608</v>
      </c>
      <c r="H1221" s="36">
        <v>84900</v>
      </c>
      <c r="I1221" s="36">
        <v>74900</v>
      </c>
      <c r="J1221" s="25">
        <v>318400</v>
      </c>
    </row>
    <row r="1222" spans="1:10" ht="16" x14ac:dyDescent="0.45">
      <c r="A1222" s="153" t="str">
        <f>B1222&amp;C1222&amp;E1222&amp;G1222</f>
        <v>매트리스스마트매트리스7베이직케어(4M)</v>
      </c>
      <c r="B1222" s="17" t="s">
        <v>228</v>
      </c>
      <c r="C1222" s="18" t="s">
        <v>493</v>
      </c>
      <c r="D1222" s="19" t="s">
        <v>665</v>
      </c>
      <c r="E1222" s="19">
        <v>7</v>
      </c>
      <c r="F1222" s="19" t="s">
        <v>0</v>
      </c>
      <c r="G1222" s="20" t="s">
        <v>608</v>
      </c>
      <c r="H1222" s="36">
        <v>68900</v>
      </c>
      <c r="I1222" s="36">
        <v>58900</v>
      </c>
      <c r="J1222" s="25">
        <v>350200</v>
      </c>
    </row>
    <row r="1223" spans="1:10" ht="16" x14ac:dyDescent="0.45">
      <c r="A1223" s="153" t="str">
        <f>B1223&amp;C1223&amp;E1223&amp;G1223</f>
        <v>매트리스스마트매트리스5서비스프리</v>
      </c>
      <c r="B1223" s="17" t="s">
        <v>228</v>
      </c>
      <c r="C1223" s="18" t="s">
        <v>493</v>
      </c>
      <c r="D1223" s="19" t="s">
        <v>665</v>
      </c>
      <c r="E1223" s="19">
        <v>5</v>
      </c>
      <c r="F1223" s="19" t="s">
        <v>0</v>
      </c>
      <c r="G1223" s="20" t="s">
        <v>183</v>
      </c>
      <c r="H1223" s="36">
        <v>82900</v>
      </c>
      <c r="I1223" s="36">
        <v>72900</v>
      </c>
      <c r="J1223" s="25">
        <v>318400</v>
      </c>
    </row>
    <row r="1224" spans="1:10" ht="16" x14ac:dyDescent="0.45">
      <c r="A1224" s="153" t="str">
        <f>B1224&amp;C1224&amp;E1224&amp;G1224</f>
        <v>매트리스스마트매트리스7서비스프리</v>
      </c>
      <c r="B1224" s="17" t="s">
        <v>228</v>
      </c>
      <c r="C1224" s="18" t="s">
        <v>493</v>
      </c>
      <c r="D1224" s="19" t="s">
        <v>665</v>
      </c>
      <c r="E1224" s="19">
        <v>7</v>
      </c>
      <c r="F1224" s="19" t="s">
        <v>0</v>
      </c>
      <c r="G1224" s="20" t="s">
        <v>183</v>
      </c>
      <c r="H1224" s="36">
        <v>66900</v>
      </c>
      <c r="I1224" s="36">
        <v>56900</v>
      </c>
      <c r="J1224" s="25">
        <v>350200</v>
      </c>
    </row>
    <row r="1225" spans="1:10" ht="16" x14ac:dyDescent="0.45">
      <c r="A1225" s="153" t="str">
        <f>B1225&amp;C1225&amp;E1225&amp;G1225</f>
        <v>매트리스스마트매트리스51회서비스</v>
      </c>
      <c r="B1225" s="17" t="s">
        <v>228</v>
      </c>
      <c r="C1225" s="18" t="s">
        <v>493</v>
      </c>
      <c r="D1225" s="19" t="s">
        <v>661</v>
      </c>
      <c r="E1225" s="19">
        <v>5</v>
      </c>
      <c r="F1225" s="19" t="s">
        <v>0</v>
      </c>
      <c r="G1225" s="20" t="s">
        <v>457</v>
      </c>
      <c r="H1225" s="36">
        <v>105900</v>
      </c>
      <c r="I1225" s="36">
        <v>95900</v>
      </c>
      <c r="J1225" s="25">
        <v>352100</v>
      </c>
    </row>
    <row r="1226" spans="1:10" ht="16" x14ac:dyDescent="0.45">
      <c r="A1226" s="153" t="str">
        <f>B1226&amp;C1226&amp;E1226&amp;G1226</f>
        <v>매트리스스마트매트리스71회서비스</v>
      </c>
      <c r="B1226" s="17" t="s">
        <v>228</v>
      </c>
      <c r="C1226" s="18" t="s">
        <v>493</v>
      </c>
      <c r="D1226" s="19" t="s">
        <v>661</v>
      </c>
      <c r="E1226" s="19">
        <v>7</v>
      </c>
      <c r="F1226" s="19" t="s">
        <v>0</v>
      </c>
      <c r="G1226" s="20" t="s">
        <v>457</v>
      </c>
      <c r="H1226" s="36">
        <v>84900</v>
      </c>
      <c r="I1226" s="36">
        <v>74900</v>
      </c>
      <c r="J1226" s="25">
        <v>387300</v>
      </c>
    </row>
    <row r="1227" spans="1:10" ht="16" x14ac:dyDescent="0.45">
      <c r="A1227" s="153" t="str">
        <f>B1227&amp;C1227&amp;E1227&amp;G1227</f>
        <v>매트리스스마트매트리스54M(4개월점검주기)</v>
      </c>
      <c r="B1227" s="17" t="s">
        <v>228</v>
      </c>
      <c r="C1227" s="18" t="s">
        <v>493</v>
      </c>
      <c r="D1227" s="19" t="s">
        <v>661</v>
      </c>
      <c r="E1227" s="19">
        <v>5</v>
      </c>
      <c r="F1227" s="19" t="s">
        <v>0</v>
      </c>
      <c r="G1227" s="20" t="s">
        <v>453</v>
      </c>
      <c r="H1227" s="36">
        <v>107900</v>
      </c>
      <c r="I1227" s="36">
        <v>97900</v>
      </c>
      <c r="J1227" s="25">
        <v>363400</v>
      </c>
    </row>
    <row r="1228" spans="1:10" ht="16" x14ac:dyDescent="0.45">
      <c r="A1228" s="153" t="str">
        <f>B1228&amp;C1228&amp;E1228&amp;G1228</f>
        <v>매트리스스마트매트리스74M(4개월점검주기)</v>
      </c>
      <c r="B1228" s="17" t="s">
        <v>228</v>
      </c>
      <c r="C1228" s="18" t="s">
        <v>493</v>
      </c>
      <c r="D1228" s="19" t="s">
        <v>661</v>
      </c>
      <c r="E1228" s="19">
        <v>7</v>
      </c>
      <c r="F1228" s="19" t="s">
        <v>0</v>
      </c>
      <c r="G1228" s="20" t="s">
        <v>453</v>
      </c>
      <c r="H1228" s="36">
        <v>86900</v>
      </c>
      <c r="I1228" s="36">
        <v>76900</v>
      </c>
      <c r="J1228" s="25">
        <v>399700</v>
      </c>
    </row>
    <row r="1229" spans="1:10" ht="16" x14ac:dyDescent="0.45">
      <c r="A1229" s="153" t="str">
        <f>B1229&amp;C1229&amp;E1229&amp;G1229</f>
        <v>매트리스스마트매트리스5베이직케어(4M)</v>
      </c>
      <c r="B1229" s="17" t="s">
        <v>228</v>
      </c>
      <c r="C1229" s="18" t="s">
        <v>493</v>
      </c>
      <c r="D1229" s="19" t="s">
        <v>661</v>
      </c>
      <c r="E1229" s="19">
        <v>5</v>
      </c>
      <c r="F1229" s="19" t="s">
        <v>0</v>
      </c>
      <c r="G1229" s="20" t="s">
        <v>608</v>
      </c>
      <c r="H1229" s="36">
        <v>103900</v>
      </c>
      <c r="I1229" s="36">
        <v>93900</v>
      </c>
      <c r="J1229" s="25">
        <v>352100</v>
      </c>
    </row>
    <row r="1230" spans="1:10" ht="16" x14ac:dyDescent="0.45">
      <c r="A1230" s="153" t="str">
        <f>B1230&amp;C1230&amp;E1230&amp;G1230</f>
        <v>매트리스스마트매트리스7베이직케어(4M)</v>
      </c>
      <c r="B1230" s="17" t="s">
        <v>228</v>
      </c>
      <c r="C1230" s="18" t="s">
        <v>493</v>
      </c>
      <c r="D1230" s="19" t="s">
        <v>661</v>
      </c>
      <c r="E1230" s="19">
        <v>7</v>
      </c>
      <c r="F1230" s="19" t="s">
        <v>0</v>
      </c>
      <c r="G1230" s="20" t="s">
        <v>608</v>
      </c>
      <c r="H1230" s="36">
        <v>82900</v>
      </c>
      <c r="I1230" s="36">
        <v>72900</v>
      </c>
      <c r="J1230" s="25">
        <v>387300</v>
      </c>
    </row>
    <row r="1231" spans="1:10" ht="16" x14ac:dyDescent="0.45">
      <c r="A1231" s="153" t="str">
        <f>B1231&amp;C1231&amp;E1231&amp;G1231</f>
        <v>매트리스스마트매트리스5서비스프리</v>
      </c>
      <c r="B1231" s="17" t="s">
        <v>228</v>
      </c>
      <c r="C1231" s="18" t="s">
        <v>493</v>
      </c>
      <c r="D1231" s="19" t="s">
        <v>661</v>
      </c>
      <c r="E1231" s="19">
        <v>5</v>
      </c>
      <c r="F1231" s="19" t="s">
        <v>0</v>
      </c>
      <c r="G1231" s="20" t="s">
        <v>183</v>
      </c>
      <c r="H1231" s="36">
        <v>101900</v>
      </c>
      <c r="I1231" s="36">
        <v>91900</v>
      </c>
      <c r="J1231" s="25">
        <v>352100</v>
      </c>
    </row>
    <row r="1232" spans="1:10" ht="16" x14ac:dyDescent="0.45">
      <c r="A1232" s="153" t="str">
        <f>B1232&amp;C1232&amp;E1232&amp;G1232</f>
        <v>매트리스스마트매트리스7서비스프리</v>
      </c>
      <c r="B1232" s="17" t="s">
        <v>228</v>
      </c>
      <c r="C1232" s="18" t="s">
        <v>493</v>
      </c>
      <c r="D1232" s="19" t="s">
        <v>661</v>
      </c>
      <c r="E1232" s="19">
        <v>7</v>
      </c>
      <c r="F1232" s="19" t="s">
        <v>0</v>
      </c>
      <c r="G1232" s="20" t="s">
        <v>183</v>
      </c>
      <c r="H1232" s="36">
        <v>80900</v>
      </c>
      <c r="I1232" s="36">
        <v>70900</v>
      </c>
      <c r="J1232" s="25">
        <v>387300</v>
      </c>
    </row>
    <row r="1233" spans="1:10" ht="16" x14ac:dyDescent="0.45">
      <c r="A1233" s="153" t="str">
        <f>B1233&amp;C1233&amp;E1233&amp;G1233</f>
        <v>매트리스스마트매트리스(구)54M(4개월점검주기)</v>
      </c>
      <c r="B1233" s="17" t="s">
        <v>228</v>
      </c>
      <c r="C1233" s="18" t="s">
        <v>494</v>
      </c>
      <c r="D1233" s="19" t="s">
        <v>254</v>
      </c>
      <c r="E1233" s="19">
        <v>5</v>
      </c>
      <c r="F1233" s="19" t="s">
        <v>0</v>
      </c>
      <c r="G1233" s="20" t="s">
        <v>453</v>
      </c>
      <c r="H1233" s="36">
        <v>89900</v>
      </c>
      <c r="I1233" s="36">
        <v>89900</v>
      </c>
      <c r="J1233" s="25">
        <v>363400</v>
      </c>
    </row>
    <row r="1234" spans="1:10" ht="16" x14ac:dyDescent="0.45">
      <c r="A1234" s="153" t="str">
        <f>B1234&amp;C1234&amp;E1234&amp;G1234</f>
        <v>매트리스스마트매트리스(구)64M(4개월점검주기)</v>
      </c>
      <c r="B1234" s="17" t="s">
        <v>228</v>
      </c>
      <c r="C1234" s="18" t="s">
        <v>494</v>
      </c>
      <c r="D1234" s="19" t="s">
        <v>254</v>
      </c>
      <c r="E1234" s="19">
        <v>6</v>
      </c>
      <c r="F1234" s="19" t="s">
        <v>0</v>
      </c>
      <c r="G1234" s="20" t="s">
        <v>453</v>
      </c>
      <c r="H1234" s="36">
        <v>82900</v>
      </c>
      <c r="I1234" s="36">
        <v>82900</v>
      </c>
      <c r="J1234" s="25">
        <v>363400</v>
      </c>
    </row>
    <row r="1235" spans="1:10" ht="16" x14ac:dyDescent="0.45">
      <c r="A1235" s="153" t="str">
        <f>B1235&amp;C1235&amp;E1235&amp;G1235</f>
        <v>매트리스스마트매트리스(구)74M(4개월점검주기)</v>
      </c>
      <c r="B1235" s="17" t="s">
        <v>228</v>
      </c>
      <c r="C1235" s="18" t="s">
        <v>494</v>
      </c>
      <c r="D1235" s="19" t="s">
        <v>254</v>
      </c>
      <c r="E1235" s="19">
        <v>7</v>
      </c>
      <c r="F1235" s="19" t="s">
        <v>0</v>
      </c>
      <c r="G1235" s="20" t="s">
        <v>453</v>
      </c>
      <c r="H1235" s="36">
        <v>75900</v>
      </c>
      <c r="I1235" s="36">
        <v>75900</v>
      </c>
      <c r="J1235" s="25">
        <v>399700</v>
      </c>
    </row>
    <row r="1236" spans="1:10" ht="16" x14ac:dyDescent="0.45">
      <c r="A1236" s="153" t="str">
        <f>B1236&amp;C1236&amp;E1236&amp;G1236</f>
        <v>매트리스스마트매트리스(구)54M(4개월점검주기)</v>
      </c>
      <c r="B1236" s="17" t="s">
        <v>228</v>
      </c>
      <c r="C1236" s="18" t="s">
        <v>494</v>
      </c>
      <c r="D1236" s="19" t="s">
        <v>263</v>
      </c>
      <c r="E1236" s="19">
        <v>5</v>
      </c>
      <c r="F1236" s="19" t="s">
        <v>0</v>
      </c>
      <c r="G1236" s="20" t="s">
        <v>453</v>
      </c>
      <c r="H1236" s="36">
        <v>105900</v>
      </c>
      <c r="I1236" s="36">
        <v>105900</v>
      </c>
      <c r="J1236" s="25">
        <v>385800</v>
      </c>
    </row>
    <row r="1237" spans="1:10" ht="16" x14ac:dyDescent="0.45">
      <c r="A1237" s="153" t="str">
        <f>B1237&amp;C1237&amp;E1237&amp;G1237</f>
        <v>매트리스스마트매트리스(구)64M(4개월점검주기)</v>
      </c>
      <c r="B1237" s="17" t="s">
        <v>228</v>
      </c>
      <c r="C1237" s="18" t="s">
        <v>494</v>
      </c>
      <c r="D1237" s="19" t="s">
        <v>263</v>
      </c>
      <c r="E1237" s="19">
        <v>6</v>
      </c>
      <c r="F1237" s="19" t="s">
        <v>0</v>
      </c>
      <c r="G1237" s="20" t="s">
        <v>453</v>
      </c>
      <c r="H1237" s="36">
        <v>97900</v>
      </c>
      <c r="I1237" s="36">
        <v>97900</v>
      </c>
      <c r="J1237" s="25">
        <v>385800</v>
      </c>
    </row>
    <row r="1238" spans="1:10" ht="16" x14ac:dyDescent="0.45">
      <c r="A1238" s="153" t="str">
        <f>B1238&amp;C1238&amp;E1238&amp;G1238</f>
        <v>매트리스스마트매트리스(구)74M(4개월점검주기)</v>
      </c>
      <c r="B1238" s="17" t="s">
        <v>228</v>
      </c>
      <c r="C1238" s="18" t="s">
        <v>494</v>
      </c>
      <c r="D1238" s="19" t="s">
        <v>263</v>
      </c>
      <c r="E1238" s="19">
        <v>7</v>
      </c>
      <c r="F1238" s="19" t="s">
        <v>0</v>
      </c>
      <c r="G1238" s="20" t="s">
        <v>453</v>
      </c>
      <c r="H1238" s="36">
        <v>88900</v>
      </c>
      <c r="I1238" s="36">
        <v>88900</v>
      </c>
      <c r="J1238" s="25">
        <v>424400</v>
      </c>
    </row>
    <row r="1239" spans="1:10" ht="16" x14ac:dyDescent="0.45">
      <c r="A1239" s="153" t="str">
        <f>B1239&amp;C1239&amp;E1239&amp;G1239</f>
        <v>매트리스스마트매트리스(구)54M(4개월점검주기)</v>
      </c>
      <c r="B1239" s="17" t="s">
        <v>228</v>
      </c>
      <c r="C1239" s="18" t="s">
        <v>494</v>
      </c>
      <c r="D1239" s="19" t="s">
        <v>255</v>
      </c>
      <c r="E1239" s="19">
        <v>5</v>
      </c>
      <c r="F1239" s="19" t="s">
        <v>0</v>
      </c>
      <c r="G1239" s="20" t="s">
        <v>453</v>
      </c>
      <c r="H1239" s="36">
        <v>83900</v>
      </c>
      <c r="I1239" s="36">
        <v>83900</v>
      </c>
      <c r="J1239" s="25">
        <v>340900</v>
      </c>
    </row>
    <row r="1240" spans="1:10" ht="16" x14ac:dyDescent="0.45">
      <c r="A1240" s="153" t="str">
        <f>B1240&amp;C1240&amp;E1240&amp;G1240</f>
        <v>매트리스스마트매트리스(구)64M(4개월점검주기)</v>
      </c>
      <c r="B1240" s="17" t="s">
        <v>228</v>
      </c>
      <c r="C1240" s="18" t="s">
        <v>494</v>
      </c>
      <c r="D1240" s="19" t="s">
        <v>255</v>
      </c>
      <c r="E1240" s="19">
        <v>6</v>
      </c>
      <c r="F1240" s="19" t="s">
        <v>0</v>
      </c>
      <c r="G1240" s="20" t="s">
        <v>453</v>
      </c>
      <c r="H1240" s="36">
        <v>76900</v>
      </c>
      <c r="I1240" s="36">
        <v>76900</v>
      </c>
      <c r="J1240" s="25">
        <v>340900</v>
      </c>
    </row>
    <row r="1241" spans="1:10" ht="16" x14ac:dyDescent="0.45">
      <c r="A1241" s="153" t="str">
        <f>B1241&amp;C1241&amp;E1241&amp;G1241</f>
        <v>매트리스스마트매트리스(구)74M(4개월점검주기)</v>
      </c>
      <c r="B1241" s="17" t="s">
        <v>228</v>
      </c>
      <c r="C1241" s="18" t="s">
        <v>494</v>
      </c>
      <c r="D1241" s="19" t="s">
        <v>255</v>
      </c>
      <c r="E1241" s="19">
        <v>7</v>
      </c>
      <c r="F1241" s="19" t="s">
        <v>0</v>
      </c>
      <c r="G1241" s="20" t="s">
        <v>453</v>
      </c>
      <c r="H1241" s="36">
        <v>69900</v>
      </c>
      <c r="I1241" s="36">
        <v>69900</v>
      </c>
      <c r="J1241" s="25">
        <v>375000</v>
      </c>
    </row>
    <row r="1242" spans="1:10" ht="16" x14ac:dyDescent="0.45">
      <c r="A1242" s="153" t="str">
        <f>B1242&amp;C1242&amp;E1242&amp;G1242</f>
        <v>매트리스스마트매트리스(구)54M(4개월점검주기)</v>
      </c>
      <c r="B1242" s="17" t="s">
        <v>228</v>
      </c>
      <c r="C1242" s="18" t="s">
        <v>494</v>
      </c>
      <c r="D1242" s="19" t="s">
        <v>264</v>
      </c>
      <c r="E1242" s="19">
        <v>5</v>
      </c>
      <c r="F1242" s="19" t="s">
        <v>0</v>
      </c>
      <c r="G1242" s="20" t="s">
        <v>453</v>
      </c>
      <c r="H1242" s="36">
        <v>100900</v>
      </c>
      <c r="I1242" s="36">
        <v>100900</v>
      </c>
      <c r="J1242" s="25">
        <v>374600</v>
      </c>
    </row>
    <row r="1243" spans="1:10" ht="16" x14ac:dyDescent="0.45">
      <c r="A1243" s="153" t="str">
        <f>B1243&amp;C1243&amp;E1243&amp;G1243</f>
        <v>매트리스스마트매트리스(구)64M(4개월점검주기)</v>
      </c>
      <c r="B1243" s="17" t="s">
        <v>228</v>
      </c>
      <c r="C1243" s="18" t="s">
        <v>494</v>
      </c>
      <c r="D1243" s="19" t="s">
        <v>264</v>
      </c>
      <c r="E1243" s="19">
        <v>6</v>
      </c>
      <c r="F1243" s="19" t="s">
        <v>0</v>
      </c>
      <c r="G1243" s="20" t="s">
        <v>453</v>
      </c>
      <c r="H1243" s="36">
        <v>91900</v>
      </c>
      <c r="I1243" s="36">
        <v>91900</v>
      </c>
      <c r="J1243" s="25">
        <v>374600</v>
      </c>
    </row>
    <row r="1244" spans="1:10" ht="16" x14ac:dyDescent="0.45">
      <c r="A1244" s="153" t="str">
        <f>B1244&amp;C1244&amp;E1244&amp;G1244</f>
        <v>매트리스스마트매트리스(구)74M(4개월점검주기)</v>
      </c>
      <c r="B1244" s="17" t="s">
        <v>228</v>
      </c>
      <c r="C1244" s="18" t="s">
        <v>494</v>
      </c>
      <c r="D1244" s="19" t="s">
        <v>264</v>
      </c>
      <c r="E1244" s="19">
        <v>7</v>
      </c>
      <c r="F1244" s="19" t="s">
        <v>0</v>
      </c>
      <c r="G1244" s="20" t="s">
        <v>453</v>
      </c>
      <c r="H1244" s="36">
        <v>82900</v>
      </c>
      <c r="I1244" s="36">
        <v>82900</v>
      </c>
      <c r="J1244" s="25">
        <v>412100</v>
      </c>
    </row>
    <row r="1245" spans="1:10" ht="16" x14ac:dyDescent="0.45">
      <c r="A1245" s="153" t="str">
        <f>B1245&amp;C1245&amp;E1245&amp;G1245</f>
        <v>매트리스스마트매트리스(구)54M(4개월점검주기)</v>
      </c>
      <c r="B1245" s="17" t="s">
        <v>228</v>
      </c>
      <c r="C1245" s="18" t="s">
        <v>494</v>
      </c>
      <c r="D1245" s="19" t="s">
        <v>256</v>
      </c>
      <c r="E1245" s="19">
        <v>5</v>
      </c>
      <c r="F1245" s="19" t="s">
        <v>0</v>
      </c>
      <c r="G1245" s="20" t="s">
        <v>453</v>
      </c>
      <c r="H1245" s="36">
        <v>77900</v>
      </c>
      <c r="I1245" s="36">
        <v>77900</v>
      </c>
      <c r="J1245" s="25">
        <v>329600</v>
      </c>
    </row>
    <row r="1246" spans="1:10" ht="16" x14ac:dyDescent="0.45">
      <c r="A1246" s="153" t="str">
        <f>B1246&amp;C1246&amp;E1246&amp;G1246</f>
        <v>매트리스스마트매트리스(구)64M(4개월점검주기)</v>
      </c>
      <c r="B1246" s="17" t="s">
        <v>228</v>
      </c>
      <c r="C1246" s="18" t="s">
        <v>494</v>
      </c>
      <c r="D1246" s="19" t="s">
        <v>256</v>
      </c>
      <c r="E1246" s="19">
        <v>6</v>
      </c>
      <c r="F1246" s="19" t="s">
        <v>0</v>
      </c>
      <c r="G1246" s="20" t="s">
        <v>453</v>
      </c>
      <c r="H1246" s="36">
        <v>70900</v>
      </c>
      <c r="I1246" s="36">
        <v>70900</v>
      </c>
      <c r="J1246" s="25">
        <v>329600</v>
      </c>
    </row>
    <row r="1247" spans="1:10" ht="16" x14ac:dyDescent="0.45">
      <c r="A1247" s="153" t="str">
        <f>B1247&amp;C1247&amp;E1247&amp;G1247</f>
        <v>매트리스스마트매트리스(구)74M(4개월점검주기)</v>
      </c>
      <c r="B1247" s="17" t="s">
        <v>228</v>
      </c>
      <c r="C1247" s="18" t="s">
        <v>494</v>
      </c>
      <c r="D1247" s="19" t="s">
        <v>256</v>
      </c>
      <c r="E1247" s="19">
        <v>7</v>
      </c>
      <c r="F1247" s="19" t="s">
        <v>0</v>
      </c>
      <c r="G1247" s="20" t="s">
        <v>453</v>
      </c>
      <c r="H1247" s="36">
        <v>63900</v>
      </c>
      <c r="I1247" s="36">
        <v>63900</v>
      </c>
      <c r="J1247" s="25">
        <v>362600</v>
      </c>
    </row>
    <row r="1248" spans="1:10" ht="16" x14ac:dyDescent="0.45">
      <c r="A1248" s="153" t="str">
        <f>B1248&amp;C1248&amp;E1248&amp;G1248</f>
        <v>매트리스스마트매트리스(구)54M(4개월점검주기)</v>
      </c>
      <c r="B1248" s="17" t="s">
        <v>228</v>
      </c>
      <c r="C1248" s="18" t="s">
        <v>494</v>
      </c>
      <c r="D1248" s="19" t="s">
        <v>265</v>
      </c>
      <c r="E1248" s="19">
        <v>5</v>
      </c>
      <c r="F1248" s="19" t="s">
        <v>0</v>
      </c>
      <c r="G1248" s="20" t="s">
        <v>453</v>
      </c>
      <c r="H1248" s="36">
        <v>93900</v>
      </c>
      <c r="I1248" s="36">
        <v>93900</v>
      </c>
      <c r="J1248" s="25">
        <v>363400</v>
      </c>
    </row>
    <row r="1249" spans="1:10" ht="16" x14ac:dyDescent="0.45">
      <c r="A1249" s="153" t="str">
        <f>B1249&amp;C1249&amp;E1249&amp;G1249</f>
        <v>매트리스스마트매트리스(구)64M(4개월점검주기)</v>
      </c>
      <c r="B1249" s="17" t="s">
        <v>228</v>
      </c>
      <c r="C1249" s="18" t="s">
        <v>494</v>
      </c>
      <c r="D1249" s="19" t="s">
        <v>265</v>
      </c>
      <c r="E1249" s="19">
        <v>6</v>
      </c>
      <c r="F1249" s="19" t="s">
        <v>0</v>
      </c>
      <c r="G1249" s="20" t="s">
        <v>453</v>
      </c>
      <c r="H1249" s="36">
        <v>85900</v>
      </c>
      <c r="I1249" s="36">
        <v>85900</v>
      </c>
      <c r="J1249" s="25">
        <v>363400</v>
      </c>
    </row>
    <row r="1250" spans="1:10" ht="16" x14ac:dyDescent="0.45">
      <c r="A1250" s="153" t="str">
        <f>B1250&amp;C1250&amp;E1250&amp;G1250</f>
        <v>매트리스스마트매트리스(구)74M(4개월점검주기)</v>
      </c>
      <c r="B1250" s="17" t="s">
        <v>228</v>
      </c>
      <c r="C1250" s="18" t="s">
        <v>494</v>
      </c>
      <c r="D1250" s="19" t="s">
        <v>265</v>
      </c>
      <c r="E1250" s="19">
        <v>7</v>
      </c>
      <c r="F1250" s="19" t="s">
        <v>0</v>
      </c>
      <c r="G1250" s="20" t="s">
        <v>453</v>
      </c>
      <c r="H1250" s="36">
        <v>76900</v>
      </c>
      <c r="I1250" s="36">
        <v>76900</v>
      </c>
      <c r="J1250" s="25">
        <v>399700</v>
      </c>
    </row>
    <row r="1251" spans="1:10" ht="16" x14ac:dyDescent="0.45">
      <c r="A1251" s="153" t="str">
        <f>B1251&amp;C1251&amp;E1251&amp;G1251</f>
        <v>매트리스시그니처5베이직케어(4M)</v>
      </c>
      <c r="B1251" s="17" t="s">
        <v>228</v>
      </c>
      <c r="C1251" s="18" t="s">
        <v>495</v>
      </c>
      <c r="D1251" s="19" t="s">
        <v>949</v>
      </c>
      <c r="E1251" s="19">
        <v>5</v>
      </c>
      <c r="F1251" s="19" t="s">
        <v>0</v>
      </c>
      <c r="G1251" s="20" t="s">
        <v>608</v>
      </c>
      <c r="H1251" s="36">
        <v>88900</v>
      </c>
      <c r="I1251" s="36">
        <v>88900</v>
      </c>
      <c r="J1251" s="25">
        <v>363400</v>
      </c>
    </row>
    <row r="1252" spans="1:10" ht="16" x14ac:dyDescent="0.45">
      <c r="A1252" s="153" t="str">
        <f>B1252&amp;C1252&amp;E1252&amp;G1252</f>
        <v>매트리스시그니처7베이직케어(4M)</v>
      </c>
      <c r="B1252" s="17" t="s">
        <v>228</v>
      </c>
      <c r="C1252" s="18" t="s">
        <v>495</v>
      </c>
      <c r="D1252" s="19" t="s">
        <v>949</v>
      </c>
      <c r="E1252" s="19">
        <v>7</v>
      </c>
      <c r="F1252" s="19" t="s">
        <v>0</v>
      </c>
      <c r="G1252" s="20" t="s">
        <v>608</v>
      </c>
      <c r="H1252" s="36">
        <v>78900</v>
      </c>
      <c r="I1252" s="36">
        <v>78900</v>
      </c>
      <c r="J1252" s="25">
        <v>399700</v>
      </c>
    </row>
    <row r="1253" spans="1:10" ht="16" x14ac:dyDescent="0.45">
      <c r="A1253" s="153" t="str">
        <f>B1253&amp;C1253&amp;E1253&amp;G1253</f>
        <v>매트리스시그니처9베이직케어(4M)</v>
      </c>
      <c r="B1253" s="17" t="s">
        <v>228</v>
      </c>
      <c r="C1253" s="18" t="s">
        <v>495</v>
      </c>
      <c r="D1253" s="19" t="s">
        <v>949</v>
      </c>
      <c r="E1253" s="19">
        <v>9</v>
      </c>
      <c r="F1253" s="19" t="s">
        <v>0</v>
      </c>
      <c r="G1253" s="20" t="s">
        <v>608</v>
      </c>
      <c r="H1253" s="36">
        <v>72900</v>
      </c>
      <c r="I1253" s="36">
        <v>72900</v>
      </c>
      <c r="J1253" s="25">
        <v>399700</v>
      </c>
    </row>
    <row r="1254" spans="1:10" ht="16" x14ac:dyDescent="0.45">
      <c r="A1254" s="153" t="str">
        <f>B1254&amp;C1254&amp;E1254&amp;G1254</f>
        <v>매트리스시그니처5서비스프리</v>
      </c>
      <c r="B1254" s="17" t="s">
        <v>228</v>
      </c>
      <c r="C1254" s="18" t="s">
        <v>495</v>
      </c>
      <c r="D1254" s="19" t="s">
        <v>949</v>
      </c>
      <c r="E1254" s="19">
        <v>5</v>
      </c>
      <c r="F1254" s="19" t="s">
        <v>0</v>
      </c>
      <c r="G1254" s="20" t="s">
        <v>183</v>
      </c>
      <c r="H1254" s="36">
        <v>86900</v>
      </c>
      <c r="I1254" s="36">
        <v>86900</v>
      </c>
      <c r="J1254" s="25">
        <v>363400</v>
      </c>
    </row>
    <row r="1255" spans="1:10" ht="16" x14ac:dyDescent="0.45">
      <c r="A1255" s="153" t="str">
        <f>B1255&amp;C1255&amp;E1255&amp;G1255</f>
        <v>매트리스시그니처7서비스프리</v>
      </c>
      <c r="B1255" s="17" t="s">
        <v>228</v>
      </c>
      <c r="C1255" s="18" t="s">
        <v>495</v>
      </c>
      <c r="D1255" s="19" t="s">
        <v>949</v>
      </c>
      <c r="E1255" s="19">
        <v>7</v>
      </c>
      <c r="F1255" s="19" t="s">
        <v>0</v>
      </c>
      <c r="G1255" s="20" t="s">
        <v>183</v>
      </c>
      <c r="H1255" s="36">
        <v>76900</v>
      </c>
      <c r="I1255" s="36">
        <v>76900</v>
      </c>
      <c r="J1255" s="25">
        <v>399700</v>
      </c>
    </row>
    <row r="1256" spans="1:10" ht="16" x14ac:dyDescent="0.45">
      <c r="A1256" s="153" t="str">
        <f>B1256&amp;C1256&amp;E1256&amp;G1256</f>
        <v>매트리스시그니처9서비스프리</v>
      </c>
      <c r="B1256" s="17" t="s">
        <v>228</v>
      </c>
      <c r="C1256" s="18" t="s">
        <v>495</v>
      </c>
      <c r="D1256" s="19" t="s">
        <v>949</v>
      </c>
      <c r="E1256" s="19">
        <v>9</v>
      </c>
      <c r="F1256" s="19" t="s">
        <v>0</v>
      </c>
      <c r="G1256" s="20" t="s">
        <v>183</v>
      </c>
      <c r="H1256" s="36">
        <v>70900</v>
      </c>
      <c r="I1256" s="36">
        <v>70900</v>
      </c>
      <c r="J1256" s="25">
        <v>399700</v>
      </c>
    </row>
    <row r="1257" spans="1:10" ht="16" x14ac:dyDescent="0.45">
      <c r="A1257" s="153" t="str">
        <f>B1257&amp;C1257&amp;E1257&amp;G1257</f>
        <v>매트리스시그니처54M(4개월점검주기)</v>
      </c>
      <c r="B1257" s="17" t="s">
        <v>228</v>
      </c>
      <c r="C1257" s="18" t="s">
        <v>495</v>
      </c>
      <c r="D1257" s="19" t="s">
        <v>285</v>
      </c>
      <c r="E1257" s="19">
        <v>5</v>
      </c>
      <c r="F1257" s="19" t="s">
        <v>0</v>
      </c>
      <c r="G1257" s="20" t="s">
        <v>453</v>
      </c>
      <c r="H1257" s="36">
        <v>69900</v>
      </c>
      <c r="I1257" s="36">
        <v>69900</v>
      </c>
      <c r="J1257" s="25">
        <v>318400</v>
      </c>
    </row>
    <row r="1258" spans="1:10" ht="16" x14ac:dyDescent="0.45">
      <c r="A1258" s="153" t="str">
        <f>B1258&amp;C1258&amp;E1258&amp;G1258</f>
        <v>매트리스시그니처74M(4개월점검주기)</v>
      </c>
      <c r="B1258" s="17" t="s">
        <v>228</v>
      </c>
      <c r="C1258" s="18" t="s">
        <v>495</v>
      </c>
      <c r="D1258" s="19" t="s">
        <v>285</v>
      </c>
      <c r="E1258" s="19">
        <v>7</v>
      </c>
      <c r="F1258" s="19" t="s">
        <v>0</v>
      </c>
      <c r="G1258" s="20" t="s">
        <v>453</v>
      </c>
      <c r="H1258" s="36">
        <v>59900</v>
      </c>
      <c r="I1258" s="36">
        <v>59900</v>
      </c>
      <c r="J1258" s="25">
        <v>350200</v>
      </c>
    </row>
    <row r="1259" spans="1:10" ht="16" x14ac:dyDescent="0.45">
      <c r="A1259" s="153" t="str">
        <f>B1259&amp;C1259&amp;E1259&amp;G1259</f>
        <v>매트리스시그니처94M(4개월점검주기)</v>
      </c>
      <c r="B1259" s="17" t="s">
        <v>228</v>
      </c>
      <c r="C1259" s="18" t="s">
        <v>495</v>
      </c>
      <c r="D1259" s="19" t="s">
        <v>285</v>
      </c>
      <c r="E1259" s="19">
        <v>9</v>
      </c>
      <c r="F1259" s="19" t="s">
        <v>0</v>
      </c>
      <c r="G1259" s="20" t="s">
        <v>453</v>
      </c>
      <c r="H1259" s="36">
        <v>53900</v>
      </c>
      <c r="I1259" s="36">
        <v>53900</v>
      </c>
      <c r="J1259" s="25">
        <v>350200</v>
      </c>
    </row>
    <row r="1260" spans="1:10" ht="16" x14ac:dyDescent="0.45">
      <c r="A1260" s="153" t="str">
        <f>B1260&amp;C1260&amp;E1260&amp;G1260</f>
        <v>매트리스시그니처5베이직케어(4M)</v>
      </c>
      <c r="B1260" s="17" t="s">
        <v>228</v>
      </c>
      <c r="C1260" s="18" t="s">
        <v>495</v>
      </c>
      <c r="D1260" s="19" t="s">
        <v>285</v>
      </c>
      <c r="E1260" s="19">
        <v>5</v>
      </c>
      <c r="F1260" s="19" t="s">
        <v>0</v>
      </c>
      <c r="G1260" s="20" t="s">
        <v>608</v>
      </c>
      <c r="H1260" s="36">
        <v>70900</v>
      </c>
      <c r="I1260" s="36">
        <v>70900</v>
      </c>
      <c r="J1260" s="25">
        <v>329600</v>
      </c>
    </row>
    <row r="1261" spans="1:10" ht="16" x14ac:dyDescent="0.45">
      <c r="A1261" s="153" t="str">
        <f>B1261&amp;C1261&amp;E1261&amp;G1261</f>
        <v>매트리스시그니처7베이직케어(4M)</v>
      </c>
      <c r="B1261" s="17" t="s">
        <v>228</v>
      </c>
      <c r="C1261" s="18" t="s">
        <v>495</v>
      </c>
      <c r="D1261" s="19" t="s">
        <v>285</v>
      </c>
      <c r="E1261" s="19">
        <v>7</v>
      </c>
      <c r="F1261" s="19" t="s">
        <v>0</v>
      </c>
      <c r="G1261" s="20" t="s">
        <v>608</v>
      </c>
      <c r="H1261" s="36">
        <v>60900</v>
      </c>
      <c r="I1261" s="36">
        <v>60900</v>
      </c>
      <c r="J1261" s="25">
        <v>362600</v>
      </c>
    </row>
    <row r="1262" spans="1:10" ht="16" x14ac:dyDescent="0.45">
      <c r="A1262" s="153" t="str">
        <f>B1262&amp;C1262&amp;E1262&amp;G1262</f>
        <v>매트리스시그니처9베이직케어(4M)</v>
      </c>
      <c r="B1262" s="17" t="s">
        <v>228</v>
      </c>
      <c r="C1262" s="18" t="s">
        <v>495</v>
      </c>
      <c r="D1262" s="19" t="s">
        <v>285</v>
      </c>
      <c r="E1262" s="19">
        <v>9</v>
      </c>
      <c r="F1262" s="19" t="s">
        <v>0</v>
      </c>
      <c r="G1262" s="20" t="s">
        <v>608</v>
      </c>
      <c r="H1262" s="36">
        <v>54900</v>
      </c>
      <c r="I1262" s="36">
        <v>54900</v>
      </c>
      <c r="J1262" s="25">
        <v>362600</v>
      </c>
    </row>
    <row r="1263" spans="1:10" ht="16" x14ac:dyDescent="0.45">
      <c r="A1263" s="153" t="str">
        <f>B1263&amp;C1263&amp;E1263&amp;G1263</f>
        <v>매트리스시그니처5서비스프리</v>
      </c>
      <c r="B1263" s="17" t="s">
        <v>228</v>
      </c>
      <c r="C1263" s="18" t="s">
        <v>495</v>
      </c>
      <c r="D1263" s="19" t="s">
        <v>285</v>
      </c>
      <c r="E1263" s="19">
        <v>5</v>
      </c>
      <c r="F1263" s="19" t="s">
        <v>0</v>
      </c>
      <c r="G1263" s="20" t="s">
        <v>183</v>
      </c>
      <c r="H1263" s="36">
        <v>68900</v>
      </c>
      <c r="I1263" s="36">
        <v>68900</v>
      </c>
      <c r="J1263" s="25">
        <v>318400</v>
      </c>
    </row>
    <row r="1264" spans="1:10" ht="16" x14ac:dyDescent="0.45">
      <c r="A1264" s="153" t="str">
        <f>B1264&amp;C1264&amp;E1264&amp;G1264</f>
        <v>매트리스시그니처7서비스프리</v>
      </c>
      <c r="B1264" s="17" t="s">
        <v>228</v>
      </c>
      <c r="C1264" s="18" t="s">
        <v>495</v>
      </c>
      <c r="D1264" s="19" t="s">
        <v>285</v>
      </c>
      <c r="E1264" s="19">
        <v>7</v>
      </c>
      <c r="F1264" s="19" t="s">
        <v>0</v>
      </c>
      <c r="G1264" s="20" t="s">
        <v>183</v>
      </c>
      <c r="H1264" s="36">
        <v>58900</v>
      </c>
      <c r="I1264" s="36">
        <v>58900</v>
      </c>
      <c r="J1264" s="25">
        <v>350200</v>
      </c>
    </row>
    <row r="1265" spans="1:10" ht="16" x14ac:dyDescent="0.45">
      <c r="A1265" s="153" t="str">
        <f>B1265&amp;C1265&amp;E1265&amp;G1265</f>
        <v>매트리스시그니처9서비스프리</v>
      </c>
      <c r="B1265" s="17" t="s">
        <v>228</v>
      </c>
      <c r="C1265" s="18" t="s">
        <v>495</v>
      </c>
      <c r="D1265" s="19" t="s">
        <v>285</v>
      </c>
      <c r="E1265" s="19">
        <v>9</v>
      </c>
      <c r="F1265" s="19" t="s">
        <v>0</v>
      </c>
      <c r="G1265" s="20" t="s">
        <v>183</v>
      </c>
      <c r="H1265" s="36">
        <v>52900</v>
      </c>
      <c r="I1265" s="36">
        <v>52900</v>
      </c>
      <c r="J1265" s="25">
        <v>350200</v>
      </c>
    </row>
    <row r="1266" spans="1:10" ht="16" x14ac:dyDescent="0.45">
      <c r="A1266" s="153" t="str">
        <f>B1266&amp;C1266&amp;E1266&amp;G1266</f>
        <v>매트리스시그니처54M(4개월점검주기)</v>
      </c>
      <c r="B1266" s="17" t="s">
        <v>228</v>
      </c>
      <c r="C1266" s="18" t="s">
        <v>495</v>
      </c>
      <c r="D1266" s="19" t="s">
        <v>284</v>
      </c>
      <c r="E1266" s="19">
        <v>5</v>
      </c>
      <c r="F1266" s="19" t="s">
        <v>0</v>
      </c>
      <c r="G1266" s="20" t="s">
        <v>453</v>
      </c>
      <c r="H1266" s="36">
        <v>74900</v>
      </c>
      <c r="I1266" s="36">
        <v>74900</v>
      </c>
      <c r="J1266" s="25">
        <v>329600</v>
      </c>
    </row>
    <row r="1267" spans="1:10" ht="16" x14ac:dyDescent="0.45">
      <c r="A1267" s="153" t="str">
        <f>B1267&amp;C1267&amp;E1267&amp;G1267</f>
        <v>매트리스시그니처74M(4개월점검주기)</v>
      </c>
      <c r="B1267" s="17" t="s">
        <v>228</v>
      </c>
      <c r="C1267" s="18" t="s">
        <v>495</v>
      </c>
      <c r="D1267" s="19" t="s">
        <v>284</v>
      </c>
      <c r="E1267" s="19">
        <v>7</v>
      </c>
      <c r="F1267" s="19" t="s">
        <v>0</v>
      </c>
      <c r="G1267" s="20" t="s">
        <v>453</v>
      </c>
      <c r="H1267" s="36">
        <v>64900</v>
      </c>
      <c r="I1267" s="36">
        <v>64900</v>
      </c>
      <c r="J1267" s="25">
        <v>362600</v>
      </c>
    </row>
    <row r="1268" spans="1:10" ht="16" x14ac:dyDescent="0.45">
      <c r="A1268" s="153" t="str">
        <f>B1268&amp;C1268&amp;E1268&amp;G1268</f>
        <v>매트리스시그니처94M(4개월점검주기)</v>
      </c>
      <c r="B1268" s="17" t="s">
        <v>228</v>
      </c>
      <c r="C1268" s="18" t="s">
        <v>495</v>
      </c>
      <c r="D1268" s="19" t="s">
        <v>284</v>
      </c>
      <c r="E1268" s="19">
        <v>9</v>
      </c>
      <c r="F1268" s="19" t="s">
        <v>0</v>
      </c>
      <c r="G1268" s="20" t="s">
        <v>453</v>
      </c>
      <c r="H1268" s="36">
        <v>58900</v>
      </c>
      <c r="I1268" s="36">
        <v>58900</v>
      </c>
      <c r="J1268" s="25">
        <v>362600</v>
      </c>
    </row>
    <row r="1269" spans="1:10" ht="16" x14ac:dyDescent="0.45">
      <c r="A1269" s="153" t="str">
        <f>B1269&amp;C1269&amp;E1269&amp;G1269</f>
        <v>매트리스시그니처5베이직케어(4M)</v>
      </c>
      <c r="B1269" s="17" t="s">
        <v>228</v>
      </c>
      <c r="C1269" s="18" t="s">
        <v>495</v>
      </c>
      <c r="D1269" s="19" t="s">
        <v>284</v>
      </c>
      <c r="E1269" s="19">
        <v>5</v>
      </c>
      <c r="F1269" s="19" t="s">
        <v>0</v>
      </c>
      <c r="G1269" s="20" t="s">
        <v>608</v>
      </c>
      <c r="H1269" s="36">
        <v>78900</v>
      </c>
      <c r="I1269" s="36">
        <v>78900</v>
      </c>
      <c r="J1269" s="25">
        <v>340900</v>
      </c>
    </row>
    <row r="1270" spans="1:10" ht="16" x14ac:dyDescent="0.45">
      <c r="A1270" s="153" t="str">
        <f>B1270&amp;C1270&amp;E1270&amp;G1270</f>
        <v>매트리스시그니처7베이직케어(4M)</v>
      </c>
      <c r="B1270" s="17" t="s">
        <v>228</v>
      </c>
      <c r="C1270" s="18" t="s">
        <v>495</v>
      </c>
      <c r="D1270" s="19" t="s">
        <v>284</v>
      </c>
      <c r="E1270" s="19">
        <v>7</v>
      </c>
      <c r="F1270" s="19" t="s">
        <v>0</v>
      </c>
      <c r="G1270" s="20" t="s">
        <v>608</v>
      </c>
      <c r="H1270" s="36">
        <v>68900</v>
      </c>
      <c r="I1270" s="36">
        <v>68900</v>
      </c>
      <c r="J1270" s="25">
        <v>375000</v>
      </c>
    </row>
    <row r="1271" spans="1:10" ht="16" x14ac:dyDescent="0.45">
      <c r="A1271" s="153" t="str">
        <f>B1271&amp;C1271&amp;E1271&amp;G1271</f>
        <v>매트리스시그니처9베이직케어(4M)</v>
      </c>
      <c r="B1271" s="17" t="s">
        <v>228</v>
      </c>
      <c r="C1271" s="18" t="s">
        <v>495</v>
      </c>
      <c r="D1271" s="19" t="s">
        <v>284</v>
      </c>
      <c r="E1271" s="19">
        <v>9</v>
      </c>
      <c r="F1271" s="19" t="s">
        <v>0</v>
      </c>
      <c r="G1271" s="20" t="s">
        <v>608</v>
      </c>
      <c r="H1271" s="36">
        <v>62900</v>
      </c>
      <c r="I1271" s="36">
        <v>62900</v>
      </c>
      <c r="J1271" s="25">
        <v>375000</v>
      </c>
    </row>
    <row r="1272" spans="1:10" ht="16" x14ac:dyDescent="0.45">
      <c r="A1272" s="153" t="str">
        <f>B1272&amp;C1272&amp;E1272&amp;G1272</f>
        <v>매트리스시그니처5서비스프리</v>
      </c>
      <c r="B1272" s="17" t="s">
        <v>228</v>
      </c>
      <c r="C1272" s="18" t="s">
        <v>495</v>
      </c>
      <c r="D1272" s="19" t="s">
        <v>284</v>
      </c>
      <c r="E1272" s="19">
        <v>5</v>
      </c>
      <c r="F1272" s="19" t="s">
        <v>0</v>
      </c>
      <c r="G1272" s="20" t="s">
        <v>183</v>
      </c>
      <c r="H1272" s="36">
        <v>76900</v>
      </c>
      <c r="I1272" s="36">
        <v>76900</v>
      </c>
      <c r="J1272" s="25">
        <v>340900</v>
      </c>
    </row>
    <row r="1273" spans="1:10" ht="16" x14ac:dyDescent="0.45">
      <c r="A1273" s="153" t="str">
        <f>B1273&amp;C1273&amp;E1273&amp;G1273</f>
        <v>매트리스시그니처7서비스프리</v>
      </c>
      <c r="B1273" s="17" t="s">
        <v>228</v>
      </c>
      <c r="C1273" s="18" t="s">
        <v>495</v>
      </c>
      <c r="D1273" s="19" t="s">
        <v>284</v>
      </c>
      <c r="E1273" s="19">
        <v>7</v>
      </c>
      <c r="F1273" s="19" t="s">
        <v>0</v>
      </c>
      <c r="G1273" s="20" t="s">
        <v>183</v>
      </c>
      <c r="H1273" s="36">
        <v>66900</v>
      </c>
      <c r="I1273" s="36">
        <v>66900</v>
      </c>
      <c r="J1273" s="25">
        <v>375000</v>
      </c>
    </row>
    <row r="1274" spans="1:10" ht="16" x14ac:dyDescent="0.45">
      <c r="A1274" s="153" t="str">
        <f>B1274&amp;C1274&amp;E1274&amp;G1274</f>
        <v>매트리스시그니처9서비스프리</v>
      </c>
      <c r="B1274" s="17" t="s">
        <v>228</v>
      </c>
      <c r="C1274" s="18" t="s">
        <v>495</v>
      </c>
      <c r="D1274" s="19" t="s">
        <v>284</v>
      </c>
      <c r="E1274" s="19">
        <v>9</v>
      </c>
      <c r="F1274" s="19" t="s">
        <v>0</v>
      </c>
      <c r="G1274" s="20" t="s">
        <v>183</v>
      </c>
      <c r="H1274" s="36">
        <v>60900</v>
      </c>
      <c r="I1274" s="36">
        <v>60900</v>
      </c>
      <c r="J1274" s="25">
        <v>375000</v>
      </c>
    </row>
    <row r="1275" spans="1:10" ht="16" x14ac:dyDescent="0.45">
      <c r="A1275" s="153" t="str">
        <f>B1275&amp;C1275&amp;E1275&amp;G1275</f>
        <v>매트리스시그니처54M(4개월점검주기)</v>
      </c>
      <c r="B1275" s="17" t="s">
        <v>228</v>
      </c>
      <c r="C1275" s="18" t="s">
        <v>495</v>
      </c>
      <c r="D1275" s="19" t="s">
        <v>286</v>
      </c>
      <c r="E1275" s="19">
        <v>5</v>
      </c>
      <c r="F1275" s="19" t="s">
        <v>0</v>
      </c>
      <c r="G1275" s="20" t="s">
        <v>453</v>
      </c>
      <c r="H1275" s="36">
        <v>64900</v>
      </c>
      <c r="I1275" s="36">
        <v>64900</v>
      </c>
      <c r="J1275" s="25">
        <v>307200</v>
      </c>
    </row>
    <row r="1276" spans="1:10" ht="16" x14ac:dyDescent="0.45">
      <c r="A1276" s="153" t="str">
        <f>B1276&amp;C1276&amp;E1276&amp;G1276</f>
        <v>매트리스시그니처74M(4개월점검주기)</v>
      </c>
      <c r="B1276" s="17" t="s">
        <v>228</v>
      </c>
      <c r="C1276" s="18" t="s">
        <v>495</v>
      </c>
      <c r="D1276" s="19" t="s">
        <v>286</v>
      </c>
      <c r="E1276" s="19">
        <v>7</v>
      </c>
      <c r="F1276" s="19" t="s">
        <v>0</v>
      </c>
      <c r="G1276" s="20" t="s">
        <v>453</v>
      </c>
      <c r="H1276" s="36">
        <v>54900</v>
      </c>
      <c r="I1276" s="36">
        <v>54900</v>
      </c>
      <c r="J1276" s="25">
        <v>337900</v>
      </c>
    </row>
    <row r="1277" spans="1:10" ht="16" x14ac:dyDescent="0.45">
      <c r="A1277" s="153" t="str">
        <f>B1277&amp;C1277&amp;E1277&amp;G1277</f>
        <v>매트리스시그니처94M(4개월점검주기)</v>
      </c>
      <c r="B1277" s="17" t="s">
        <v>228</v>
      </c>
      <c r="C1277" s="18" t="s">
        <v>495</v>
      </c>
      <c r="D1277" s="19" t="s">
        <v>286</v>
      </c>
      <c r="E1277" s="19">
        <v>9</v>
      </c>
      <c r="F1277" s="19" t="s">
        <v>0</v>
      </c>
      <c r="G1277" s="20" t="s">
        <v>453</v>
      </c>
      <c r="H1277" s="36">
        <v>48900</v>
      </c>
      <c r="I1277" s="36">
        <v>48900</v>
      </c>
      <c r="J1277" s="25">
        <v>337900</v>
      </c>
    </row>
    <row r="1278" spans="1:10" ht="16" x14ac:dyDescent="0.45">
      <c r="A1278" s="153" t="str">
        <f>B1278&amp;C1278&amp;E1278&amp;G1278</f>
        <v>매트리스시그니처5베이직케어(4M)</v>
      </c>
      <c r="B1278" s="17" t="s">
        <v>228</v>
      </c>
      <c r="C1278" s="18" t="s">
        <v>495</v>
      </c>
      <c r="D1278" s="19" t="s">
        <v>286</v>
      </c>
      <c r="E1278" s="19">
        <v>5</v>
      </c>
      <c r="F1278" s="19" t="s">
        <v>0</v>
      </c>
      <c r="G1278" s="20" t="s">
        <v>608</v>
      </c>
      <c r="H1278" s="36">
        <v>63900</v>
      </c>
      <c r="I1278" s="36">
        <v>63900</v>
      </c>
      <c r="J1278" s="25">
        <v>307200</v>
      </c>
    </row>
    <row r="1279" spans="1:10" ht="16" x14ac:dyDescent="0.45">
      <c r="A1279" s="153" t="str">
        <f>B1279&amp;C1279&amp;E1279&amp;G1279</f>
        <v>매트리스시그니처7베이직케어(4M)</v>
      </c>
      <c r="B1279" s="17" t="s">
        <v>228</v>
      </c>
      <c r="C1279" s="18" t="s">
        <v>495</v>
      </c>
      <c r="D1279" s="19" t="s">
        <v>286</v>
      </c>
      <c r="E1279" s="19">
        <v>7</v>
      </c>
      <c r="F1279" s="19" t="s">
        <v>0</v>
      </c>
      <c r="G1279" s="20" t="s">
        <v>608</v>
      </c>
      <c r="H1279" s="36">
        <v>53900</v>
      </c>
      <c r="I1279" s="36">
        <v>53900</v>
      </c>
      <c r="J1279" s="25">
        <v>337900</v>
      </c>
    </row>
    <row r="1280" spans="1:10" ht="16" x14ac:dyDescent="0.45">
      <c r="A1280" s="153" t="str">
        <f>B1280&amp;C1280&amp;E1280&amp;G1280</f>
        <v>매트리스시그니처9베이직케어(4M)</v>
      </c>
      <c r="B1280" s="17" t="s">
        <v>228</v>
      </c>
      <c r="C1280" s="18" t="s">
        <v>495</v>
      </c>
      <c r="D1280" s="19" t="s">
        <v>286</v>
      </c>
      <c r="E1280" s="19">
        <v>9</v>
      </c>
      <c r="F1280" s="19" t="s">
        <v>0</v>
      </c>
      <c r="G1280" s="20" t="s">
        <v>608</v>
      </c>
      <c r="H1280" s="36">
        <v>47900</v>
      </c>
      <c r="I1280" s="36">
        <v>47900</v>
      </c>
      <c r="J1280" s="25">
        <v>337900</v>
      </c>
    </row>
    <row r="1281" spans="1:10" ht="16" x14ac:dyDescent="0.45">
      <c r="A1281" s="153" t="str">
        <f>B1281&amp;C1281&amp;E1281&amp;G1281</f>
        <v>매트리스시그니처5서비스프리</v>
      </c>
      <c r="B1281" s="17" t="s">
        <v>228</v>
      </c>
      <c r="C1281" s="18" t="s">
        <v>495</v>
      </c>
      <c r="D1281" s="19" t="s">
        <v>286</v>
      </c>
      <c r="E1281" s="19">
        <v>5</v>
      </c>
      <c r="F1281" s="19" t="s">
        <v>0</v>
      </c>
      <c r="G1281" s="20" t="s">
        <v>183</v>
      </c>
      <c r="H1281" s="36">
        <v>61900</v>
      </c>
      <c r="I1281" s="36">
        <v>61900</v>
      </c>
      <c r="J1281" s="25">
        <v>307200</v>
      </c>
    </row>
    <row r="1282" spans="1:10" ht="16" x14ac:dyDescent="0.45">
      <c r="A1282" s="153" t="str">
        <f>B1282&amp;C1282&amp;E1282&amp;G1282</f>
        <v>매트리스시그니처7서비스프리</v>
      </c>
      <c r="B1282" s="17" t="s">
        <v>228</v>
      </c>
      <c r="C1282" s="18" t="s">
        <v>495</v>
      </c>
      <c r="D1282" s="19" t="s">
        <v>286</v>
      </c>
      <c r="E1282" s="19">
        <v>7</v>
      </c>
      <c r="F1282" s="19" t="s">
        <v>0</v>
      </c>
      <c r="G1282" s="20" t="s">
        <v>183</v>
      </c>
      <c r="H1282" s="36">
        <v>51900</v>
      </c>
      <c r="I1282" s="36">
        <v>51900</v>
      </c>
      <c r="J1282" s="25">
        <v>337900</v>
      </c>
    </row>
    <row r="1283" spans="1:10" ht="16" x14ac:dyDescent="0.45">
      <c r="A1283" s="153" t="str">
        <f>B1283&amp;C1283&amp;E1283&amp;G1283</f>
        <v>매트리스시그니처9서비스프리</v>
      </c>
      <c r="B1283" s="17" t="s">
        <v>228</v>
      </c>
      <c r="C1283" s="18" t="s">
        <v>495</v>
      </c>
      <c r="D1283" s="19" t="s">
        <v>286</v>
      </c>
      <c r="E1283" s="19">
        <v>9</v>
      </c>
      <c r="F1283" s="19" t="s">
        <v>0</v>
      </c>
      <c r="G1283" s="20" t="s">
        <v>183</v>
      </c>
      <c r="H1283" s="36">
        <v>45900</v>
      </c>
      <c r="I1283" s="36">
        <v>45900</v>
      </c>
      <c r="J1283" s="25">
        <v>337900</v>
      </c>
    </row>
    <row r="1284" spans="1:10" ht="16" x14ac:dyDescent="0.45">
      <c r="A1284" s="153" t="str">
        <f>B1284&amp;C1284&amp;E1284&amp;G1284</f>
        <v>매트리스시그니처54M(4개월점검주기)</v>
      </c>
      <c r="B1284" s="17" t="s">
        <v>228</v>
      </c>
      <c r="C1284" s="18" t="s">
        <v>495</v>
      </c>
      <c r="D1284" s="19" t="s">
        <v>287</v>
      </c>
      <c r="E1284" s="19">
        <v>5</v>
      </c>
      <c r="F1284" s="19" t="s">
        <v>0</v>
      </c>
      <c r="G1284" s="20" t="s">
        <v>453</v>
      </c>
      <c r="H1284" s="36">
        <v>59900</v>
      </c>
      <c r="I1284" s="36">
        <v>59900</v>
      </c>
      <c r="J1284" s="25">
        <v>295900</v>
      </c>
    </row>
    <row r="1285" spans="1:10" ht="16" x14ac:dyDescent="0.45">
      <c r="A1285" s="153" t="str">
        <f>B1285&amp;C1285&amp;E1285&amp;G1285</f>
        <v>매트리스시그니처74M(4개월점검주기)</v>
      </c>
      <c r="B1285" s="17" t="s">
        <v>228</v>
      </c>
      <c r="C1285" s="18" t="s">
        <v>495</v>
      </c>
      <c r="D1285" s="19" t="s">
        <v>287</v>
      </c>
      <c r="E1285" s="19">
        <v>7</v>
      </c>
      <c r="F1285" s="19" t="s">
        <v>0</v>
      </c>
      <c r="G1285" s="20" t="s">
        <v>453</v>
      </c>
      <c r="H1285" s="36">
        <v>49900</v>
      </c>
      <c r="I1285" s="36">
        <v>49900</v>
      </c>
      <c r="J1285" s="25">
        <v>325500</v>
      </c>
    </row>
    <row r="1286" spans="1:10" ht="16" x14ac:dyDescent="0.45">
      <c r="A1286" s="153" t="str">
        <f>B1286&amp;C1286&amp;E1286&amp;G1286</f>
        <v>매트리스시그니처94M(4개월점검주기)</v>
      </c>
      <c r="B1286" s="17" t="s">
        <v>228</v>
      </c>
      <c r="C1286" s="18" t="s">
        <v>495</v>
      </c>
      <c r="D1286" s="19" t="s">
        <v>287</v>
      </c>
      <c r="E1286" s="19">
        <v>9</v>
      </c>
      <c r="F1286" s="19" t="s">
        <v>0</v>
      </c>
      <c r="G1286" s="20" t="s">
        <v>453</v>
      </c>
      <c r="H1286" s="36">
        <v>43900</v>
      </c>
      <c r="I1286" s="36">
        <v>43900</v>
      </c>
      <c r="J1286" s="25">
        <v>325500</v>
      </c>
    </row>
    <row r="1287" spans="1:10" ht="16" x14ac:dyDescent="0.45">
      <c r="A1287" s="153" t="str">
        <f>B1287&amp;C1287&amp;E1287&amp;G1287</f>
        <v>매트리스시그니처5베이직케어(4M)</v>
      </c>
      <c r="B1287" s="17" t="s">
        <v>228</v>
      </c>
      <c r="C1287" s="18" t="s">
        <v>495</v>
      </c>
      <c r="D1287" s="19" t="s">
        <v>287</v>
      </c>
      <c r="E1287" s="19">
        <v>5</v>
      </c>
      <c r="F1287" s="19" t="s">
        <v>0</v>
      </c>
      <c r="G1287" s="20" t="s">
        <v>608</v>
      </c>
      <c r="H1287" s="36">
        <v>56900</v>
      </c>
      <c r="I1287" s="36">
        <v>56900</v>
      </c>
      <c r="J1287" s="25">
        <v>295900</v>
      </c>
    </row>
    <row r="1288" spans="1:10" ht="16" x14ac:dyDescent="0.45">
      <c r="A1288" s="153" t="str">
        <f>B1288&amp;C1288&amp;E1288&amp;G1288</f>
        <v>매트리스시그니처7베이직케어(4M)</v>
      </c>
      <c r="B1288" s="17" t="s">
        <v>228</v>
      </c>
      <c r="C1288" s="18" t="s">
        <v>495</v>
      </c>
      <c r="D1288" s="19" t="s">
        <v>287</v>
      </c>
      <c r="E1288" s="19">
        <v>7</v>
      </c>
      <c r="F1288" s="19" t="s">
        <v>0</v>
      </c>
      <c r="G1288" s="20" t="s">
        <v>608</v>
      </c>
      <c r="H1288" s="36">
        <v>46900</v>
      </c>
      <c r="I1288" s="36">
        <v>46900</v>
      </c>
      <c r="J1288" s="25">
        <v>325500</v>
      </c>
    </row>
    <row r="1289" spans="1:10" ht="16" x14ac:dyDescent="0.45">
      <c r="A1289" s="153" t="str">
        <f>B1289&amp;C1289&amp;E1289&amp;G1289</f>
        <v>매트리스시그니처9베이직케어(4M)</v>
      </c>
      <c r="B1289" s="17" t="s">
        <v>228</v>
      </c>
      <c r="C1289" s="18" t="s">
        <v>495</v>
      </c>
      <c r="D1289" s="19" t="s">
        <v>287</v>
      </c>
      <c r="E1289" s="19">
        <v>9</v>
      </c>
      <c r="F1289" s="19" t="s">
        <v>0</v>
      </c>
      <c r="G1289" s="20" t="s">
        <v>608</v>
      </c>
      <c r="H1289" s="36">
        <v>40900</v>
      </c>
      <c r="I1289" s="36">
        <v>40900</v>
      </c>
      <c r="J1289" s="25">
        <v>325500</v>
      </c>
    </row>
    <row r="1290" spans="1:10" ht="16" x14ac:dyDescent="0.45">
      <c r="A1290" s="153" t="str">
        <f>B1290&amp;C1290&amp;E1290&amp;G1290</f>
        <v>매트리스시그니처5서비스프리</v>
      </c>
      <c r="B1290" s="17" t="s">
        <v>228</v>
      </c>
      <c r="C1290" s="18" t="s">
        <v>495</v>
      </c>
      <c r="D1290" s="19" t="s">
        <v>287</v>
      </c>
      <c r="E1290" s="19">
        <v>5</v>
      </c>
      <c r="F1290" s="19" t="s">
        <v>0</v>
      </c>
      <c r="G1290" s="20" t="s">
        <v>183</v>
      </c>
      <c r="H1290" s="36">
        <v>54900</v>
      </c>
      <c r="I1290" s="36">
        <v>54900</v>
      </c>
      <c r="J1290" s="25">
        <v>284700</v>
      </c>
    </row>
    <row r="1291" spans="1:10" ht="16" x14ac:dyDescent="0.45">
      <c r="A1291" s="153" t="str">
        <f>B1291&amp;C1291&amp;E1291&amp;G1291</f>
        <v>매트리스시그니처7서비스프리</v>
      </c>
      <c r="B1291" s="17" t="s">
        <v>228</v>
      </c>
      <c r="C1291" s="18" t="s">
        <v>495</v>
      </c>
      <c r="D1291" s="19" t="s">
        <v>287</v>
      </c>
      <c r="E1291" s="19">
        <v>7</v>
      </c>
      <c r="F1291" s="19" t="s">
        <v>0</v>
      </c>
      <c r="G1291" s="20" t="s">
        <v>183</v>
      </c>
      <c r="H1291" s="36">
        <v>44900</v>
      </c>
      <c r="I1291" s="36">
        <v>44900</v>
      </c>
      <c r="J1291" s="25">
        <v>313200</v>
      </c>
    </row>
    <row r="1292" spans="1:10" ht="16" x14ac:dyDescent="0.45">
      <c r="A1292" s="153" t="str">
        <f>B1292&amp;C1292&amp;E1292&amp;G1292</f>
        <v>매트리스시그니처9서비스프리</v>
      </c>
      <c r="B1292" s="17" t="s">
        <v>228</v>
      </c>
      <c r="C1292" s="18" t="s">
        <v>495</v>
      </c>
      <c r="D1292" s="19" t="s">
        <v>287</v>
      </c>
      <c r="E1292" s="19">
        <v>9</v>
      </c>
      <c r="F1292" s="19" t="s">
        <v>0</v>
      </c>
      <c r="G1292" s="20" t="s">
        <v>183</v>
      </c>
      <c r="H1292" s="36">
        <v>38900</v>
      </c>
      <c r="I1292" s="36">
        <v>38900</v>
      </c>
      <c r="J1292" s="25">
        <v>313200</v>
      </c>
    </row>
    <row r="1293" spans="1:10" ht="16" x14ac:dyDescent="0.45">
      <c r="A1293" s="153" t="str">
        <f>B1293&amp;C1293&amp;E1293&amp;G1293</f>
        <v>매트리스시그니처 컴포트51회서비스</v>
      </c>
      <c r="B1293" s="17" t="s">
        <v>228</v>
      </c>
      <c r="C1293" s="18" t="s">
        <v>496</v>
      </c>
      <c r="D1293" s="19" t="s">
        <v>948</v>
      </c>
      <c r="E1293" s="19">
        <v>5</v>
      </c>
      <c r="F1293" s="19" t="s">
        <v>0</v>
      </c>
      <c r="G1293" s="20" t="s">
        <v>457</v>
      </c>
      <c r="H1293" s="36">
        <v>96900</v>
      </c>
      <c r="I1293" s="36">
        <v>96900</v>
      </c>
      <c r="J1293" s="25">
        <v>385800</v>
      </c>
    </row>
    <row r="1294" spans="1:10" ht="16" x14ac:dyDescent="0.45">
      <c r="A1294" s="153" t="str">
        <f>B1294&amp;C1294&amp;E1294&amp;G1294</f>
        <v>매트리스시그니처 컴포트71회서비스</v>
      </c>
      <c r="B1294" s="17" t="s">
        <v>228</v>
      </c>
      <c r="C1294" s="18" t="s">
        <v>496</v>
      </c>
      <c r="D1294" s="19" t="s">
        <v>948</v>
      </c>
      <c r="E1294" s="19">
        <v>7</v>
      </c>
      <c r="F1294" s="19" t="s">
        <v>0</v>
      </c>
      <c r="G1294" s="20" t="s">
        <v>457</v>
      </c>
      <c r="H1294" s="36">
        <v>86900</v>
      </c>
      <c r="I1294" s="36">
        <v>86900</v>
      </c>
      <c r="J1294" s="25">
        <v>424400</v>
      </c>
    </row>
    <row r="1295" spans="1:10" ht="16" x14ac:dyDescent="0.45">
      <c r="A1295" s="153" t="str">
        <f>B1295&amp;C1295&amp;E1295&amp;G1295</f>
        <v>매트리스시그니처 컴포트91회서비스</v>
      </c>
      <c r="B1295" s="17" t="s">
        <v>228</v>
      </c>
      <c r="C1295" s="18" t="s">
        <v>496</v>
      </c>
      <c r="D1295" s="19" t="s">
        <v>948</v>
      </c>
      <c r="E1295" s="19">
        <v>9</v>
      </c>
      <c r="F1295" s="19" t="s">
        <v>0</v>
      </c>
      <c r="G1295" s="20" t="s">
        <v>457</v>
      </c>
      <c r="H1295" s="36">
        <v>80900</v>
      </c>
      <c r="I1295" s="36">
        <v>80900</v>
      </c>
      <c r="J1295" s="25">
        <v>424400</v>
      </c>
    </row>
    <row r="1296" spans="1:10" ht="16" x14ac:dyDescent="0.45">
      <c r="A1296" s="153" t="str">
        <f>B1296&amp;C1296&amp;E1296&amp;G1296</f>
        <v>매트리스시그니처 컴포트54M(4개월점검주기)</v>
      </c>
      <c r="B1296" s="17" t="s">
        <v>228</v>
      </c>
      <c r="C1296" s="18" t="s">
        <v>496</v>
      </c>
      <c r="D1296" s="19" t="s">
        <v>948</v>
      </c>
      <c r="E1296" s="19">
        <v>5</v>
      </c>
      <c r="F1296" s="19" t="s">
        <v>0</v>
      </c>
      <c r="G1296" s="20" t="s">
        <v>453</v>
      </c>
      <c r="H1296" s="36">
        <v>98900</v>
      </c>
      <c r="I1296" s="36">
        <v>98900</v>
      </c>
      <c r="J1296" s="25">
        <v>385800</v>
      </c>
    </row>
    <row r="1297" spans="1:10" ht="16" x14ac:dyDescent="0.45">
      <c r="A1297" s="153" t="str">
        <f>B1297&amp;C1297&amp;E1297&amp;G1297</f>
        <v>매트리스시그니처 컴포트74M(4개월점검주기)</v>
      </c>
      <c r="B1297" s="17" t="s">
        <v>228</v>
      </c>
      <c r="C1297" s="18" t="s">
        <v>496</v>
      </c>
      <c r="D1297" s="19" t="s">
        <v>948</v>
      </c>
      <c r="E1297" s="19">
        <v>7</v>
      </c>
      <c r="F1297" s="19" t="s">
        <v>0</v>
      </c>
      <c r="G1297" s="20" t="s">
        <v>453</v>
      </c>
      <c r="H1297" s="36">
        <v>88900</v>
      </c>
      <c r="I1297" s="36">
        <v>88900</v>
      </c>
      <c r="J1297" s="25">
        <v>424400</v>
      </c>
    </row>
    <row r="1298" spans="1:10" ht="16" x14ac:dyDescent="0.45">
      <c r="A1298" s="153" t="str">
        <f>B1298&amp;C1298&amp;E1298&amp;G1298</f>
        <v>매트리스시그니처 컴포트94M(4개월점검주기)</v>
      </c>
      <c r="B1298" s="17" t="s">
        <v>228</v>
      </c>
      <c r="C1298" s="18" t="s">
        <v>496</v>
      </c>
      <c r="D1298" s="19" t="s">
        <v>948</v>
      </c>
      <c r="E1298" s="19">
        <v>9</v>
      </c>
      <c r="F1298" s="19" t="s">
        <v>0</v>
      </c>
      <c r="G1298" s="20" t="s">
        <v>453</v>
      </c>
      <c r="H1298" s="36">
        <v>82900</v>
      </c>
      <c r="I1298" s="36">
        <v>82900</v>
      </c>
      <c r="J1298" s="25">
        <v>424400</v>
      </c>
    </row>
    <row r="1299" spans="1:10" ht="16" x14ac:dyDescent="0.45">
      <c r="A1299" s="153" t="str">
        <f>B1299&amp;C1299&amp;E1299&amp;G1299</f>
        <v>매트리스시그니처 컴포트5베이직케어(4M)</v>
      </c>
      <c r="B1299" s="17" t="s">
        <v>228</v>
      </c>
      <c r="C1299" s="18" t="s">
        <v>496</v>
      </c>
      <c r="D1299" s="19" t="s">
        <v>948</v>
      </c>
      <c r="E1299" s="19">
        <v>5</v>
      </c>
      <c r="F1299" s="19" t="s">
        <v>0</v>
      </c>
      <c r="G1299" s="20" t="s">
        <v>608</v>
      </c>
      <c r="H1299" s="36">
        <v>92900</v>
      </c>
      <c r="I1299" s="36">
        <v>92900</v>
      </c>
      <c r="J1299" s="25">
        <v>374600</v>
      </c>
    </row>
    <row r="1300" spans="1:10" ht="16" x14ac:dyDescent="0.45">
      <c r="A1300" s="153" t="str">
        <f>B1300&amp;C1300&amp;E1300&amp;G1300</f>
        <v>매트리스시그니처 컴포트7베이직케어(4M)</v>
      </c>
      <c r="B1300" s="17" t="s">
        <v>228</v>
      </c>
      <c r="C1300" s="18" t="s">
        <v>496</v>
      </c>
      <c r="D1300" s="19" t="s">
        <v>948</v>
      </c>
      <c r="E1300" s="19">
        <v>7</v>
      </c>
      <c r="F1300" s="19" t="s">
        <v>0</v>
      </c>
      <c r="G1300" s="20" t="s">
        <v>608</v>
      </c>
      <c r="H1300" s="36">
        <v>82900</v>
      </c>
      <c r="I1300" s="36">
        <v>82900</v>
      </c>
      <c r="J1300" s="25">
        <v>412100</v>
      </c>
    </row>
    <row r="1301" spans="1:10" ht="16" x14ac:dyDescent="0.45">
      <c r="A1301" s="153" t="str">
        <f>B1301&amp;C1301&amp;E1301&amp;G1301</f>
        <v>매트리스시그니처 컴포트9베이직케어(4M)</v>
      </c>
      <c r="B1301" s="17" t="s">
        <v>228</v>
      </c>
      <c r="C1301" s="18" t="s">
        <v>496</v>
      </c>
      <c r="D1301" s="19" t="s">
        <v>948</v>
      </c>
      <c r="E1301" s="19">
        <v>9</v>
      </c>
      <c r="F1301" s="19" t="s">
        <v>0</v>
      </c>
      <c r="G1301" s="20" t="s">
        <v>608</v>
      </c>
      <c r="H1301" s="36">
        <v>76900</v>
      </c>
      <c r="I1301" s="36">
        <v>76900</v>
      </c>
      <c r="J1301" s="25">
        <v>412100</v>
      </c>
    </row>
    <row r="1302" spans="1:10" ht="16" x14ac:dyDescent="0.45">
      <c r="A1302" s="153" t="str">
        <f>B1302&amp;C1302&amp;E1302&amp;G1302</f>
        <v>매트리스시그니처 컴포트5서비스프리</v>
      </c>
      <c r="B1302" s="17" t="s">
        <v>228</v>
      </c>
      <c r="C1302" s="18" t="s">
        <v>496</v>
      </c>
      <c r="D1302" s="19" t="s">
        <v>948</v>
      </c>
      <c r="E1302" s="19">
        <v>5</v>
      </c>
      <c r="F1302" s="19" t="s">
        <v>0</v>
      </c>
      <c r="G1302" s="20" t="s">
        <v>183</v>
      </c>
      <c r="H1302" s="36">
        <v>90900</v>
      </c>
      <c r="I1302" s="36">
        <v>90900</v>
      </c>
      <c r="J1302" s="25">
        <v>374600</v>
      </c>
    </row>
    <row r="1303" spans="1:10" ht="16" x14ac:dyDescent="0.45">
      <c r="A1303" s="153" t="str">
        <f>B1303&amp;C1303&amp;E1303&amp;G1303</f>
        <v>매트리스시그니처 컴포트7서비스프리</v>
      </c>
      <c r="B1303" s="17" t="s">
        <v>228</v>
      </c>
      <c r="C1303" s="18" t="s">
        <v>496</v>
      </c>
      <c r="D1303" s="19" t="s">
        <v>948</v>
      </c>
      <c r="E1303" s="19">
        <v>7</v>
      </c>
      <c r="F1303" s="19" t="s">
        <v>0</v>
      </c>
      <c r="G1303" s="20" t="s">
        <v>183</v>
      </c>
      <c r="H1303" s="36">
        <v>80900</v>
      </c>
      <c r="I1303" s="36">
        <v>80900</v>
      </c>
      <c r="J1303" s="25">
        <v>412100</v>
      </c>
    </row>
    <row r="1304" spans="1:10" ht="16" x14ac:dyDescent="0.45">
      <c r="A1304" s="153" t="str">
        <f>B1304&amp;C1304&amp;E1304&amp;G1304</f>
        <v>매트리스시그니처 컴포트9서비스프리</v>
      </c>
      <c r="B1304" s="17" t="s">
        <v>228</v>
      </c>
      <c r="C1304" s="18" t="s">
        <v>496</v>
      </c>
      <c r="D1304" s="19" t="s">
        <v>948</v>
      </c>
      <c r="E1304" s="19">
        <v>9</v>
      </c>
      <c r="F1304" s="19" t="s">
        <v>0</v>
      </c>
      <c r="G1304" s="20" t="s">
        <v>183</v>
      </c>
      <c r="H1304" s="36">
        <v>74900</v>
      </c>
      <c r="I1304" s="36">
        <v>74900</v>
      </c>
      <c r="J1304" s="25">
        <v>412100</v>
      </c>
    </row>
    <row r="1305" spans="1:10" ht="16" x14ac:dyDescent="0.45">
      <c r="A1305" s="153" t="str">
        <f>B1305&amp;C1305&amp;E1305&amp;G1305</f>
        <v>매트리스시그니처 컴포트51회서비스</v>
      </c>
      <c r="B1305" s="17" t="s">
        <v>228</v>
      </c>
      <c r="C1305" s="18" t="s">
        <v>496</v>
      </c>
      <c r="D1305" s="19" t="s">
        <v>281</v>
      </c>
      <c r="E1305" s="19">
        <v>5</v>
      </c>
      <c r="F1305" s="19" t="s">
        <v>0</v>
      </c>
      <c r="G1305" s="20" t="s">
        <v>457</v>
      </c>
      <c r="H1305" s="36">
        <v>78900</v>
      </c>
      <c r="I1305" s="36">
        <v>78900</v>
      </c>
      <c r="J1305" s="25">
        <v>340900</v>
      </c>
    </row>
    <row r="1306" spans="1:10" ht="16" x14ac:dyDescent="0.45">
      <c r="A1306" s="153" t="str">
        <f>B1306&amp;C1306&amp;E1306&amp;G1306</f>
        <v>매트리스시그니처 컴포트71회서비스</v>
      </c>
      <c r="B1306" s="17" t="s">
        <v>228</v>
      </c>
      <c r="C1306" s="18" t="s">
        <v>496</v>
      </c>
      <c r="D1306" s="19" t="s">
        <v>281</v>
      </c>
      <c r="E1306" s="19">
        <v>7</v>
      </c>
      <c r="F1306" s="19" t="s">
        <v>0</v>
      </c>
      <c r="G1306" s="20" t="s">
        <v>457</v>
      </c>
      <c r="H1306" s="36">
        <v>68900</v>
      </c>
      <c r="I1306" s="36">
        <v>68900</v>
      </c>
      <c r="J1306" s="25">
        <v>375000</v>
      </c>
    </row>
    <row r="1307" spans="1:10" ht="16" x14ac:dyDescent="0.45">
      <c r="A1307" s="153" t="str">
        <f>B1307&amp;C1307&amp;E1307&amp;G1307</f>
        <v>매트리스시그니처 컴포트91회서비스</v>
      </c>
      <c r="B1307" s="17" t="s">
        <v>228</v>
      </c>
      <c r="C1307" s="18" t="s">
        <v>496</v>
      </c>
      <c r="D1307" s="19" t="s">
        <v>281</v>
      </c>
      <c r="E1307" s="19">
        <v>9</v>
      </c>
      <c r="F1307" s="19" t="s">
        <v>0</v>
      </c>
      <c r="G1307" s="20" t="s">
        <v>457</v>
      </c>
      <c r="H1307" s="36">
        <v>62900</v>
      </c>
      <c r="I1307" s="36">
        <v>62900</v>
      </c>
      <c r="J1307" s="25">
        <v>375000</v>
      </c>
    </row>
    <row r="1308" spans="1:10" ht="16" x14ac:dyDescent="0.45">
      <c r="A1308" s="153" t="str">
        <f>B1308&amp;C1308&amp;E1308&amp;G1308</f>
        <v>매트리스시그니처 컴포트54M(4개월점검주기)</v>
      </c>
      <c r="B1308" s="17" t="s">
        <v>228</v>
      </c>
      <c r="C1308" s="18" t="s">
        <v>496</v>
      </c>
      <c r="D1308" s="19" t="s">
        <v>281</v>
      </c>
      <c r="E1308" s="19">
        <v>5</v>
      </c>
      <c r="F1308" s="19" t="s">
        <v>0</v>
      </c>
      <c r="G1308" s="20" t="s">
        <v>453</v>
      </c>
      <c r="H1308" s="36">
        <v>80900</v>
      </c>
      <c r="I1308" s="36">
        <v>80900</v>
      </c>
      <c r="J1308" s="25">
        <v>352100</v>
      </c>
    </row>
    <row r="1309" spans="1:10" ht="16" x14ac:dyDescent="0.45">
      <c r="A1309" s="153" t="str">
        <f>B1309&amp;C1309&amp;E1309&amp;G1309</f>
        <v>매트리스시그니처 컴포트74M(4개월점검주기)</v>
      </c>
      <c r="B1309" s="17" t="s">
        <v>228</v>
      </c>
      <c r="C1309" s="18" t="s">
        <v>496</v>
      </c>
      <c r="D1309" s="19" t="s">
        <v>281</v>
      </c>
      <c r="E1309" s="19">
        <v>7</v>
      </c>
      <c r="F1309" s="19" t="s">
        <v>0</v>
      </c>
      <c r="G1309" s="20" t="s">
        <v>453</v>
      </c>
      <c r="H1309" s="36">
        <v>70900</v>
      </c>
      <c r="I1309" s="36">
        <v>70900</v>
      </c>
      <c r="J1309" s="25">
        <v>387300</v>
      </c>
    </row>
    <row r="1310" spans="1:10" ht="16" x14ac:dyDescent="0.45">
      <c r="A1310" s="153" t="str">
        <f>B1310&amp;C1310&amp;E1310&amp;G1310</f>
        <v>매트리스시그니처 컴포트94M(4개월점검주기)</v>
      </c>
      <c r="B1310" s="17" t="s">
        <v>228</v>
      </c>
      <c r="C1310" s="18" t="s">
        <v>496</v>
      </c>
      <c r="D1310" s="19" t="s">
        <v>281</v>
      </c>
      <c r="E1310" s="19">
        <v>9</v>
      </c>
      <c r="F1310" s="19" t="s">
        <v>0</v>
      </c>
      <c r="G1310" s="20" t="s">
        <v>453</v>
      </c>
      <c r="H1310" s="36">
        <v>64900</v>
      </c>
      <c r="I1310" s="36">
        <v>64900</v>
      </c>
      <c r="J1310" s="25">
        <v>387300</v>
      </c>
    </row>
    <row r="1311" spans="1:10" ht="16" x14ac:dyDescent="0.45">
      <c r="A1311" s="153" t="str">
        <f>B1311&amp;C1311&amp;E1311&amp;G1311</f>
        <v>매트리스시그니처 컴포트5베이직케어(4M)</v>
      </c>
      <c r="B1311" s="17" t="s">
        <v>228</v>
      </c>
      <c r="C1311" s="18" t="s">
        <v>496</v>
      </c>
      <c r="D1311" s="19" t="s">
        <v>281</v>
      </c>
      <c r="E1311" s="19">
        <v>5</v>
      </c>
      <c r="F1311" s="19" t="s">
        <v>0</v>
      </c>
      <c r="G1311" s="20" t="s">
        <v>608</v>
      </c>
      <c r="H1311" s="36">
        <v>74900</v>
      </c>
      <c r="I1311" s="36">
        <v>74900</v>
      </c>
      <c r="J1311" s="25">
        <v>329600</v>
      </c>
    </row>
    <row r="1312" spans="1:10" ht="16" x14ac:dyDescent="0.45">
      <c r="A1312" s="153" t="str">
        <f>B1312&amp;C1312&amp;E1312&amp;G1312</f>
        <v>매트리스시그니처 컴포트7베이직케어(4M)</v>
      </c>
      <c r="B1312" s="17" t="s">
        <v>228</v>
      </c>
      <c r="C1312" s="18" t="s">
        <v>496</v>
      </c>
      <c r="D1312" s="19" t="s">
        <v>281</v>
      </c>
      <c r="E1312" s="19">
        <v>7</v>
      </c>
      <c r="F1312" s="19" t="s">
        <v>0</v>
      </c>
      <c r="G1312" s="20" t="s">
        <v>608</v>
      </c>
      <c r="H1312" s="36">
        <v>64900</v>
      </c>
      <c r="I1312" s="36">
        <v>64900</v>
      </c>
      <c r="J1312" s="25">
        <v>362600</v>
      </c>
    </row>
    <row r="1313" spans="1:10" ht="16" x14ac:dyDescent="0.45">
      <c r="A1313" s="153" t="str">
        <f>B1313&amp;C1313&amp;E1313&amp;G1313</f>
        <v>매트리스시그니처 컴포트9베이직케어(4M)</v>
      </c>
      <c r="B1313" s="17" t="s">
        <v>228</v>
      </c>
      <c r="C1313" s="18" t="s">
        <v>496</v>
      </c>
      <c r="D1313" s="19" t="s">
        <v>281</v>
      </c>
      <c r="E1313" s="19">
        <v>9</v>
      </c>
      <c r="F1313" s="19" t="s">
        <v>0</v>
      </c>
      <c r="G1313" s="20" t="s">
        <v>608</v>
      </c>
      <c r="H1313" s="36">
        <v>58900</v>
      </c>
      <c r="I1313" s="36">
        <v>58900</v>
      </c>
      <c r="J1313" s="25">
        <v>362600</v>
      </c>
    </row>
    <row r="1314" spans="1:10" ht="16" x14ac:dyDescent="0.45">
      <c r="A1314" s="153" t="str">
        <f>B1314&amp;C1314&amp;E1314&amp;G1314</f>
        <v>매트리스시그니처 컴포트5서비스프리</v>
      </c>
      <c r="B1314" s="17" t="s">
        <v>228</v>
      </c>
      <c r="C1314" s="18" t="s">
        <v>496</v>
      </c>
      <c r="D1314" s="19" t="s">
        <v>281</v>
      </c>
      <c r="E1314" s="19">
        <v>5</v>
      </c>
      <c r="F1314" s="19" t="s">
        <v>0</v>
      </c>
      <c r="G1314" s="20" t="s">
        <v>183</v>
      </c>
      <c r="H1314" s="36">
        <v>72900</v>
      </c>
      <c r="I1314" s="36">
        <v>72900</v>
      </c>
      <c r="J1314" s="25">
        <v>329600</v>
      </c>
    </row>
    <row r="1315" spans="1:10" ht="16" x14ac:dyDescent="0.45">
      <c r="A1315" s="153" t="str">
        <f>B1315&amp;C1315&amp;E1315&amp;G1315</f>
        <v>매트리스시그니처 컴포트7서비스프리</v>
      </c>
      <c r="B1315" s="17" t="s">
        <v>228</v>
      </c>
      <c r="C1315" s="18" t="s">
        <v>496</v>
      </c>
      <c r="D1315" s="19" t="s">
        <v>281</v>
      </c>
      <c r="E1315" s="19">
        <v>7</v>
      </c>
      <c r="F1315" s="19" t="s">
        <v>0</v>
      </c>
      <c r="G1315" s="20" t="s">
        <v>183</v>
      </c>
      <c r="H1315" s="36">
        <v>62900</v>
      </c>
      <c r="I1315" s="36">
        <v>62900</v>
      </c>
      <c r="J1315" s="25">
        <v>362600</v>
      </c>
    </row>
    <row r="1316" spans="1:10" ht="16" x14ac:dyDescent="0.45">
      <c r="A1316" s="153" t="str">
        <f>B1316&amp;C1316&amp;E1316&amp;G1316</f>
        <v>매트리스시그니처 컴포트9서비스프리</v>
      </c>
      <c r="B1316" s="17" t="s">
        <v>228</v>
      </c>
      <c r="C1316" s="18" t="s">
        <v>496</v>
      </c>
      <c r="D1316" s="19" t="s">
        <v>281</v>
      </c>
      <c r="E1316" s="19">
        <v>9</v>
      </c>
      <c r="F1316" s="19" t="s">
        <v>0</v>
      </c>
      <c r="G1316" s="20" t="s">
        <v>183</v>
      </c>
      <c r="H1316" s="36">
        <v>56900</v>
      </c>
      <c r="I1316" s="36">
        <v>56900</v>
      </c>
      <c r="J1316" s="25">
        <v>362600</v>
      </c>
    </row>
    <row r="1317" spans="1:10" ht="16" x14ac:dyDescent="0.45">
      <c r="A1317" s="153" t="str">
        <f>B1317&amp;C1317&amp;E1317&amp;G1317</f>
        <v>매트리스시그니처 컴포트51회서비스</v>
      </c>
      <c r="B1317" s="17" t="s">
        <v>228</v>
      </c>
      <c r="C1317" s="18" t="s">
        <v>496</v>
      </c>
      <c r="D1317" s="19" t="s">
        <v>280</v>
      </c>
      <c r="E1317" s="19">
        <v>5</v>
      </c>
      <c r="F1317" s="19" t="s">
        <v>0</v>
      </c>
      <c r="G1317" s="20" t="s">
        <v>457</v>
      </c>
      <c r="H1317" s="36">
        <v>86900</v>
      </c>
      <c r="I1317" s="36">
        <v>86900</v>
      </c>
      <c r="J1317" s="25">
        <v>363400</v>
      </c>
    </row>
    <row r="1318" spans="1:10" ht="16" x14ac:dyDescent="0.45">
      <c r="A1318" s="153" t="str">
        <f>B1318&amp;C1318&amp;E1318&amp;G1318</f>
        <v>매트리스시그니처 컴포트71회서비스</v>
      </c>
      <c r="B1318" s="17" t="s">
        <v>228</v>
      </c>
      <c r="C1318" s="18" t="s">
        <v>496</v>
      </c>
      <c r="D1318" s="19" t="s">
        <v>280</v>
      </c>
      <c r="E1318" s="19">
        <v>7</v>
      </c>
      <c r="F1318" s="19" t="s">
        <v>0</v>
      </c>
      <c r="G1318" s="20" t="s">
        <v>457</v>
      </c>
      <c r="H1318" s="36">
        <v>76900</v>
      </c>
      <c r="I1318" s="36">
        <v>76900</v>
      </c>
      <c r="J1318" s="25">
        <v>399700</v>
      </c>
    </row>
    <row r="1319" spans="1:10" ht="16" x14ac:dyDescent="0.45">
      <c r="A1319" s="153" t="str">
        <f>B1319&amp;C1319&amp;E1319&amp;G1319</f>
        <v>매트리스시그니처 컴포트91회서비스</v>
      </c>
      <c r="B1319" s="17" t="s">
        <v>228</v>
      </c>
      <c r="C1319" s="18" t="s">
        <v>496</v>
      </c>
      <c r="D1319" s="19" t="s">
        <v>280</v>
      </c>
      <c r="E1319" s="19">
        <v>9</v>
      </c>
      <c r="F1319" s="19" t="s">
        <v>0</v>
      </c>
      <c r="G1319" s="20" t="s">
        <v>457</v>
      </c>
      <c r="H1319" s="36">
        <v>70900</v>
      </c>
      <c r="I1319" s="36">
        <v>70900</v>
      </c>
      <c r="J1319" s="25">
        <v>399700</v>
      </c>
    </row>
    <row r="1320" spans="1:10" ht="16" x14ac:dyDescent="0.45">
      <c r="A1320" s="153" t="str">
        <f>B1320&amp;C1320&amp;E1320&amp;G1320</f>
        <v>매트리스시그니처 컴포트54M(4개월점검주기)</v>
      </c>
      <c r="B1320" s="17" t="s">
        <v>228</v>
      </c>
      <c r="C1320" s="18" t="s">
        <v>496</v>
      </c>
      <c r="D1320" s="19" t="s">
        <v>280</v>
      </c>
      <c r="E1320" s="19">
        <v>5</v>
      </c>
      <c r="F1320" s="19" t="s">
        <v>0</v>
      </c>
      <c r="G1320" s="20" t="s">
        <v>453</v>
      </c>
      <c r="H1320" s="36">
        <v>88900</v>
      </c>
      <c r="I1320" s="36">
        <v>88900</v>
      </c>
      <c r="J1320" s="25">
        <v>363400</v>
      </c>
    </row>
    <row r="1321" spans="1:10" ht="16" x14ac:dyDescent="0.45">
      <c r="A1321" s="153" t="str">
        <f>B1321&amp;C1321&amp;E1321&amp;G1321</f>
        <v>매트리스시그니처 컴포트74M(4개월점검주기)</v>
      </c>
      <c r="B1321" s="17" t="s">
        <v>228</v>
      </c>
      <c r="C1321" s="18" t="s">
        <v>496</v>
      </c>
      <c r="D1321" s="19" t="s">
        <v>280</v>
      </c>
      <c r="E1321" s="19">
        <v>7</v>
      </c>
      <c r="F1321" s="19" t="s">
        <v>0</v>
      </c>
      <c r="G1321" s="20" t="s">
        <v>453</v>
      </c>
      <c r="H1321" s="36">
        <v>78900</v>
      </c>
      <c r="I1321" s="36">
        <v>78900</v>
      </c>
      <c r="J1321" s="25">
        <v>399700</v>
      </c>
    </row>
    <row r="1322" spans="1:10" ht="16" x14ac:dyDescent="0.45">
      <c r="A1322" s="153" t="str">
        <f>B1322&amp;C1322&amp;E1322&amp;G1322</f>
        <v>매트리스시그니처 컴포트94M(4개월점검주기)</v>
      </c>
      <c r="B1322" s="17" t="s">
        <v>228</v>
      </c>
      <c r="C1322" s="18" t="s">
        <v>496</v>
      </c>
      <c r="D1322" s="19" t="s">
        <v>280</v>
      </c>
      <c r="E1322" s="19">
        <v>9</v>
      </c>
      <c r="F1322" s="19" t="s">
        <v>0</v>
      </c>
      <c r="G1322" s="20" t="s">
        <v>453</v>
      </c>
      <c r="H1322" s="36">
        <v>72900</v>
      </c>
      <c r="I1322" s="36">
        <v>72900</v>
      </c>
      <c r="J1322" s="25">
        <v>399700</v>
      </c>
    </row>
    <row r="1323" spans="1:10" ht="16" x14ac:dyDescent="0.45">
      <c r="A1323" s="153" t="str">
        <f>B1323&amp;C1323&amp;E1323&amp;G1323</f>
        <v>매트리스시그니처 컴포트5베이직케어(4M)</v>
      </c>
      <c r="B1323" s="17" t="s">
        <v>228</v>
      </c>
      <c r="C1323" s="18" t="s">
        <v>496</v>
      </c>
      <c r="D1323" s="19" t="s">
        <v>280</v>
      </c>
      <c r="E1323" s="19">
        <v>5</v>
      </c>
      <c r="F1323" s="19" t="s">
        <v>0</v>
      </c>
      <c r="G1323" s="20" t="s">
        <v>608</v>
      </c>
      <c r="H1323" s="36">
        <v>82900</v>
      </c>
      <c r="I1323" s="36">
        <v>82900</v>
      </c>
      <c r="J1323" s="25">
        <v>352100</v>
      </c>
    </row>
    <row r="1324" spans="1:10" ht="16" x14ac:dyDescent="0.45">
      <c r="A1324" s="153" t="str">
        <f>B1324&amp;C1324&amp;E1324&amp;G1324</f>
        <v>매트리스시그니처 컴포트7베이직케어(4M)</v>
      </c>
      <c r="B1324" s="17" t="s">
        <v>228</v>
      </c>
      <c r="C1324" s="18" t="s">
        <v>496</v>
      </c>
      <c r="D1324" s="19" t="s">
        <v>280</v>
      </c>
      <c r="E1324" s="19">
        <v>7</v>
      </c>
      <c r="F1324" s="19" t="s">
        <v>0</v>
      </c>
      <c r="G1324" s="20" t="s">
        <v>608</v>
      </c>
      <c r="H1324" s="36">
        <v>72900</v>
      </c>
      <c r="I1324" s="36">
        <v>72900</v>
      </c>
      <c r="J1324" s="25">
        <v>387300</v>
      </c>
    </row>
    <row r="1325" spans="1:10" ht="16" x14ac:dyDescent="0.45">
      <c r="A1325" s="153" t="str">
        <f>B1325&amp;C1325&amp;E1325&amp;G1325</f>
        <v>매트리스시그니처 컴포트9베이직케어(4M)</v>
      </c>
      <c r="B1325" s="17" t="s">
        <v>228</v>
      </c>
      <c r="C1325" s="18" t="s">
        <v>496</v>
      </c>
      <c r="D1325" s="19" t="s">
        <v>280</v>
      </c>
      <c r="E1325" s="19">
        <v>9</v>
      </c>
      <c r="F1325" s="19" t="s">
        <v>0</v>
      </c>
      <c r="G1325" s="20" t="s">
        <v>608</v>
      </c>
      <c r="H1325" s="36">
        <v>66900</v>
      </c>
      <c r="I1325" s="36">
        <v>66900</v>
      </c>
      <c r="J1325" s="25">
        <v>387300</v>
      </c>
    </row>
    <row r="1326" spans="1:10" ht="16" x14ac:dyDescent="0.45">
      <c r="A1326" s="153" t="str">
        <f>B1326&amp;C1326&amp;E1326&amp;G1326</f>
        <v>매트리스시그니처 컴포트5서비스프리</v>
      </c>
      <c r="B1326" s="17" t="s">
        <v>228</v>
      </c>
      <c r="C1326" s="18" t="s">
        <v>496</v>
      </c>
      <c r="D1326" s="19" t="s">
        <v>280</v>
      </c>
      <c r="E1326" s="19">
        <v>5</v>
      </c>
      <c r="F1326" s="19" t="s">
        <v>0</v>
      </c>
      <c r="G1326" s="20" t="s">
        <v>183</v>
      </c>
      <c r="H1326" s="36">
        <v>80900</v>
      </c>
      <c r="I1326" s="36">
        <v>80900</v>
      </c>
      <c r="J1326" s="25">
        <v>352100</v>
      </c>
    </row>
    <row r="1327" spans="1:10" ht="16" x14ac:dyDescent="0.45">
      <c r="A1327" s="153" t="str">
        <f>B1327&amp;C1327&amp;E1327&amp;G1327</f>
        <v>매트리스시그니처 컴포트7서비스프리</v>
      </c>
      <c r="B1327" s="17" t="s">
        <v>228</v>
      </c>
      <c r="C1327" s="18" t="s">
        <v>496</v>
      </c>
      <c r="D1327" s="19" t="s">
        <v>280</v>
      </c>
      <c r="E1327" s="19">
        <v>7</v>
      </c>
      <c r="F1327" s="19" t="s">
        <v>0</v>
      </c>
      <c r="G1327" s="20" t="s">
        <v>183</v>
      </c>
      <c r="H1327" s="36">
        <v>70900</v>
      </c>
      <c r="I1327" s="36">
        <v>70900</v>
      </c>
      <c r="J1327" s="25">
        <v>387300</v>
      </c>
    </row>
    <row r="1328" spans="1:10" ht="16" x14ac:dyDescent="0.45">
      <c r="A1328" s="153" t="str">
        <f>B1328&amp;C1328&amp;E1328&amp;G1328</f>
        <v>매트리스시그니처 컴포트9서비스프리</v>
      </c>
      <c r="B1328" s="17" t="s">
        <v>228</v>
      </c>
      <c r="C1328" s="18" t="s">
        <v>496</v>
      </c>
      <c r="D1328" s="19" t="s">
        <v>280</v>
      </c>
      <c r="E1328" s="19">
        <v>9</v>
      </c>
      <c r="F1328" s="19" t="s">
        <v>0</v>
      </c>
      <c r="G1328" s="20" t="s">
        <v>183</v>
      </c>
      <c r="H1328" s="36">
        <v>64900</v>
      </c>
      <c r="I1328" s="36">
        <v>64900</v>
      </c>
      <c r="J1328" s="25">
        <v>387300</v>
      </c>
    </row>
    <row r="1329" spans="1:10" ht="16" x14ac:dyDescent="0.45">
      <c r="A1329" s="153" t="str">
        <f>B1329&amp;C1329&amp;E1329&amp;G1329</f>
        <v>매트리스시그니처 컴포트51회서비스</v>
      </c>
      <c r="B1329" s="17" t="s">
        <v>228</v>
      </c>
      <c r="C1329" s="18" t="s">
        <v>496</v>
      </c>
      <c r="D1329" s="19" t="s">
        <v>282</v>
      </c>
      <c r="E1329" s="19">
        <v>5</v>
      </c>
      <c r="F1329" s="19" t="s">
        <v>0</v>
      </c>
      <c r="G1329" s="20" t="s">
        <v>457</v>
      </c>
      <c r="H1329" s="36">
        <v>71900</v>
      </c>
      <c r="I1329" s="36">
        <v>71900</v>
      </c>
      <c r="J1329" s="25">
        <v>329600</v>
      </c>
    </row>
    <row r="1330" spans="1:10" ht="16" x14ac:dyDescent="0.45">
      <c r="A1330" s="153" t="str">
        <f>B1330&amp;C1330&amp;E1330&amp;G1330</f>
        <v>매트리스시그니처 컴포트71회서비스</v>
      </c>
      <c r="B1330" s="17" t="s">
        <v>228</v>
      </c>
      <c r="C1330" s="18" t="s">
        <v>496</v>
      </c>
      <c r="D1330" s="19" t="s">
        <v>282</v>
      </c>
      <c r="E1330" s="19">
        <v>7</v>
      </c>
      <c r="F1330" s="19" t="s">
        <v>0</v>
      </c>
      <c r="G1330" s="20" t="s">
        <v>457</v>
      </c>
      <c r="H1330" s="36">
        <v>61900</v>
      </c>
      <c r="I1330" s="36">
        <v>61900</v>
      </c>
      <c r="J1330" s="25">
        <v>362600</v>
      </c>
    </row>
    <row r="1331" spans="1:10" ht="16" x14ac:dyDescent="0.45">
      <c r="A1331" s="153" t="str">
        <f>B1331&amp;C1331&amp;E1331&amp;G1331</f>
        <v>매트리스시그니처 컴포트91회서비스</v>
      </c>
      <c r="B1331" s="17" t="s">
        <v>228</v>
      </c>
      <c r="C1331" s="18" t="s">
        <v>496</v>
      </c>
      <c r="D1331" s="19" t="s">
        <v>282</v>
      </c>
      <c r="E1331" s="19">
        <v>9</v>
      </c>
      <c r="F1331" s="19" t="s">
        <v>0</v>
      </c>
      <c r="G1331" s="20" t="s">
        <v>457</v>
      </c>
      <c r="H1331" s="36">
        <v>55900</v>
      </c>
      <c r="I1331" s="36">
        <v>55900</v>
      </c>
      <c r="J1331" s="25">
        <v>362600</v>
      </c>
    </row>
    <row r="1332" spans="1:10" ht="16" x14ac:dyDescent="0.45">
      <c r="A1332" s="153" t="str">
        <f>B1332&amp;C1332&amp;E1332&amp;G1332</f>
        <v>매트리스시그니처 컴포트54M(4개월점검주기)</v>
      </c>
      <c r="B1332" s="17" t="s">
        <v>228</v>
      </c>
      <c r="C1332" s="18" t="s">
        <v>496</v>
      </c>
      <c r="D1332" s="19" t="s">
        <v>282</v>
      </c>
      <c r="E1332" s="19">
        <v>5</v>
      </c>
      <c r="F1332" s="19" t="s">
        <v>0</v>
      </c>
      <c r="G1332" s="20" t="s">
        <v>453</v>
      </c>
      <c r="H1332" s="36">
        <v>73900</v>
      </c>
      <c r="I1332" s="36">
        <v>73900</v>
      </c>
      <c r="J1332" s="25">
        <v>329600</v>
      </c>
    </row>
    <row r="1333" spans="1:10" ht="16" x14ac:dyDescent="0.45">
      <c r="A1333" s="153" t="str">
        <f>B1333&amp;C1333&amp;E1333&amp;G1333</f>
        <v>매트리스시그니처 컴포트74M(4개월점검주기)</v>
      </c>
      <c r="B1333" s="17" t="s">
        <v>228</v>
      </c>
      <c r="C1333" s="18" t="s">
        <v>496</v>
      </c>
      <c r="D1333" s="19" t="s">
        <v>282</v>
      </c>
      <c r="E1333" s="19">
        <v>7</v>
      </c>
      <c r="F1333" s="19" t="s">
        <v>0</v>
      </c>
      <c r="G1333" s="20" t="s">
        <v>453</v>
      </c>
      <c r="H1333" s="36">
        <v>63900</v>
      </c>
      <c r="I1333" s="36">
        <v>63900</v>
      </c>
      <c r="J1333" s="25">
        <v>362600</v>
      </c>
    </row>
    <row r="1334" spans="1:10" ht="16" x14ac:dyDescent="0.45">
      <c r="A1334" s="153" t="str">
        <f>B1334&amp;C1334&amp;E1334&amp;G1334</f>
        <v>매트리스시그니처 컴포트94M(4개월점검주기)</v>
      </c>
      <c r="B1334" s="17" t="s">
        <v>228</v>
      </c>
      <c r="C1334" s="18" t="s">
        <v>496</v>
      </c>
      <c r="D1334" s="19" t="s">
        <v>282</v>
      </c>
      <c r="E1334" s="19">
        <v>9</v>
      </c>
      <c r="F1334" s="19" t="s">
        <v>0</v>
      </c>
      <c r="G1334" s="20" t="s">
        <v>453</v>
      </c>
      <c r="H1334" s="36">
        <v>57900</v>
      </c>
      <c r="I1334" s="36">
        <v>57900</v>
      </c>
      <c r="J1334" s="25">
        <v>362600</v>
      </c>
    </row>
    <row r="1335" spans="1:10" ht="16" x14ac:dyDescent="0.45">
      <c r="A1335" s="153" t="str">
        <f>B1335&amp;C1335&amp;E1335&amp;G1335</f>
        <v>매트리스시그니처 컴포트5베이직케어(4M)</v>
      </c>
      <c r="B1335" s="17" t="s">
        <v>228</v>
      </c>
      <c r="C1335" s="18" t="s">
        <v>496</v>
      </c>
      <c r="D1335" s="19" t="s">
        <v>282</v>
      </c>
      <c r="E1335" s="19">
        <v>5</v>
      </c>
      <c r="F1335" s="19" t="s">
        <v>0</v>
      </c>
      <c r="G1335" s="20" t="s">
        <v>608</v>
      </c>
      <c r="H1335" s="36">
        <v>67900</v>
      </c>
      <c r="I1335" s="36">
        <v>67900</v>
      </c>
      <c r="J1335" s="25">
        <v>318400</v>
      </c>
    </row>
    <row r="1336" spans="1:10" ht="16" x14ac:dyDescent="0.45">
      <c r="A1336" s="153" t="str">
        <f>B1336&amp;C1336&amp;E1336&amp;G1336</f>
        <v>매트리스시그니처 컴포트7베이직케어(4M)</v>
      </c>
      <c r="B1336" s="17" t="s">
        <v>228</v>
      </c>
      <c r="C1336" s="18" t="s">
        <v>496</v>
      </c>
      <c r="D1336" s="19" t="s">
        <v>282</v>
      </c>
      <c r="E1336" s="19">
        <v>7</v>
      </c>
      <c r="F1336" s="19" t="s">
        <v>0</v>
      </c>
      <c r="G1336" s="20" t="s">
        <v>608</v>
      </c>
      <c r="H1336" s="36">
        <v>57900</v>
      </c>
      <c r="I1336" s="36">
        <v>57900</v>
      </c>
      <c r="J1336" s="25">
        <v>350200</v>
      </c>
    </row>
    <row r="1337" spans="1:10" ht="16" x14ac:dyDescent="0.45">
      <c r="A1337" s="153" t="str">
        <f>B1337&amp;C1337&amp;E1337&amp;G1337</f>
        <v>매트리스시그니처 컴포트9베이직케어(4M)</v>
      </c>
      <c r="B1337" s="17" t="s">
        <v>228</v>
      </c>
      <c r="C1337" s="18" t="s">
        <v>496</v>
      </c>
      <c r="D1337" s="19" t="s">
        <v>282</v>
      </c>
      <c r="E1337" s="19">
        <v>9</v>
      </c>
      <c r="F1337" s="19" t="s">
        <v>0</v>
      </c>
      <c r="G1337" s="20" t="s">
        <v>608</v>
      </c>
      <c r="H1337" s="36">
        <v>51900</v>
      </c>
      <c r="I1337" s="36">
        <v>51900</v>
      </c>
      <c r="J1337" s="25">
        <v>350200</v>
      </c>
    </row>
    <row r="1338" spans="1:10" ht="16" x14ac:dyDescent="0.45">
      <c r="A1338" s="153" t="str">
        <f>B1338&amp;C1338&amp;E1338&amp;G1338</f>
        <v>매트리스시그니처 컴포트5서비스프리</v>
      </c>
      <c r="B1338" s="17" t="s">
        <v>228</v>
      </c>
      <c r="C1338" s="18" t="s">
        <v>496</v>
      </c>
      <c r="D1338" s="19" t="s">
        <v>282</v>
      </c>
      <c r="E1338" s="19">
        <v>5</v>
      </c>
      <c r="F1338" s="19" t="s">
        <v>0</v>
      </c>
      <c r="G1338" s="20" t="s">
        <v>183</v>
      </c>
      <c r="H1338" s="36">
        <v>65900</v>
      </c>
      <c r="I1338" s="36">
        <v>65900</v>
      </c>
      <c r="J1338" s="25">
        <v>318400</v>
      </c>
    </row>
    <row r="1339" spans="1:10" ht="16" x14ac:dyDescent="0.45">
      <c r="A1339" s="153" t="str">
        <f>B1339&amp;C1339&amp;E1339&amp;G1339</f>
        <v>매트리스시그니처 컴포트7서비스프리</v>
      </c>
      <c r="B1339" s="17" t="s">
        <v>228</v>
      </c>
      <c r="C1339" s="18" t="s">
        <v>496</v>
      </c>
      <c r="D1339" s="19" t="s">
        <v>282</v>
      </c>
      <c r="E1339" s="19">
        <v>7</v>
      </c>
      <c r="F1339" s="19" t="s">
        <v>0</v>
      </c>
      <c r="G1339" s="20" t="s">
        <v>183</v>
      </c>
      <c r="H1339" s="36">
        <v>55900</v>
      </c>
      <c r="I1339" s="36">
        <v>55900</v>
      </c>
      <c r="J1339" s="25">
        <v>350200</v>
      </c>
    </row>
    <row r="1340" spans="1:10" ht="16" x14ac:dyDescent="0.45">
      <c r="A1340" s="153" t="str">
        <f>B1340&amp;C1340&amp;E1340&amp;G1340</f>
        <v>매트리스시그니처 컴포트9서비스프리</v>
      </c>
      <c r="B1340" s="17" t="s">
        <v>228</v>
      </c>
      <c r="C1340" s="18" t="s">
        <v>496</v>
      </c>
      <c r="D1340" s="19" t="s">
        <v>282</v>
      </c>
      <c r="E1340" s="19">
        <v>9</v>
      </c>
      <c r="F1340" s="19" t="s">
        <v>0</v>
      </c>
      <c r="G1340" s="20" t="s">
        <v>183</v>
      </c>
      <c r="H1340" s="36">
        <v>49900</v>
      </c>
      <c r="I1340" s="36">
        <v>49900</v>
      </c>
      <c r="J1340" s="25">
        <v>350200</v>
      </c>
    </row>
    <row r="1341" spans="1:10" ht="16" x14ac:dyDescent="0.45">
      <c r="A1341" s="153" t="str">
        <f>B1341&amp;C1341&amp;E1341&amp;G1341</f>
        <v>매트리스시그니처 컴포트51회서비스</v>
      </c>
      <c r="B1341" s="17" t="s">
        <v>228</v>
      </c>
      <c r="C1341" s="18" t="s">
        <v>496</v>
      </c>
      <c r="D1341" s="19" t="s">
        <v>283</v>
      </c>
      <c r="E1341" s="19">
        <v>5</v>
      </c>
      <c r="F1341" s="19" t="s">
        <v>0</v>
      </c>
      <c r="G1341" s="20" t="s">
        <v>457</v>
      </c>
      <c r="H1341" s="36">
        <v>64900</v>
      </c>
      <c r="I1341" s="36">
        <v>64900</v>
      </c>
      <c r="J1341" s="25">
        <v>307200</v>
      </c>
    </row>
    <row r="1342" spans="1:10" ht="16" x14ac:dyDescent="0.45">
      <c r="A1342" s="153" t="str">
        <f>B1342&amp;C1342&amp;E1342&amp;G1342</f>
        <v>매트리스시그니처 컴포트71회서비스</v>
      </c>
      <c r="B1342" s="17" t="s">
        <v>228</v>
      </c>
      <c r="C1342" s="18" t="s">
        <v>496</v>
      </c>
      <c r="D1342" s="19" t="s">
        <v>283</v>
      </c>
      <c r="E1342" s="19">
        <v>7</v>
      </c>
      <c r="F1342" s="19" t="s">
        <v>0</v>
      </c>
      <c r="G1342" s="20" t="s">
        <v>457</v>
      </c>
      <c r="H1342" s="36">
        <v>54900</v>
      </c>
      <c r="I1342" s="36">
        <v>54900</v>
      </c>
      <c r="J1342" s="25">
        <v>337900</v>
      </c>
    </row>
    <row r="1343" spans="1:10" ht="16" x14ac:dyDescent="0.45">
      <c r="A1343" s="153" t="str">
        <f>B1343&amp;C1343&amp;E1343&amp;G1343</f>
        <v>매트리스시그니처 컴포트91회서비스</v>
      </c>
      <c r="B1343" s="17" t="s">
        <v>228</v>
      </c>
      <c r="C1343" s="18" t="s">
        <v>496</v>
      </c>
      <c r="D1343" s="19" t="s">
        <v>283</v>
      </c>
      <c r="E1343" s="19">
        <v>9</v>
      </c>
      <c r="F1343" s="19" t="s">
        <v>0</v>
      </c>
      <c r="G1343" s="20" t="s">
        <v>457</v>
      </c>
      <c r="H1343" s="36">
        <v>48900</v>
      </c>
      <c r="I1343" s="36">
        <v>48900</v>
      </c>
      <c r="J1343" s="25">
        <v>337900</v>
      </c>
    </row>
    <row r="1344" spans="1:10" ht="16" x14ac:dyDescent="0.45">
      <c r="A1344" s="153" t="str">
        <f>B1344&amp;C1344&amp;E1344&amp;G1344</f>
        <v>매트리스시그니처 컴포트54M(4개월점검주기)</v>
      </c>
      <c r="B1344" s="17" t="s">
        <v>228</v>
      </c>
      <c r="C1344" s="18" t="s">
        <v>496</v>
      </c>
      <c r="D1344" s="19" t="s">
        <v>283</v>
      </c>
      <c r="E1344" s="19">
        <v>5</v>
      </c>
      <c r="F1344" s="19" t="s">
        <v>0</v>
      </c>
      <c r="G1344" s="20" t="s">
        <v>453</v>
      </c>
      <c r="H1344" s="36">
        <v>66900</v>
      </c>
      <c r="I1344" s="36">
        <v>66900</v>
      </c>
      <c r="J1344" s="25">
        <v>318400</v>
      </c>
    </row>
    <row r="1345" spans="1:10" ht="16" x14ac:dyDescent="0.45">
      <c r="A1345" s="153" t="str">
        <f>B1345&amp;C1345&amp;E1345&amp;G1345</f>
        <v>매트리스시그니처 컴포트74M(4개월점검주기)</v>
      </c>
      <c r="B1345" s="17" t="s">
        <v>228</v>
      </c>
      <c r="C1345" s="18" t="s">
        <v>496</v>
      </c>
      <c r="D1345" s="19" t="s">
        <v>283</v>
      </c>
      <c r="E1345" s="19">
        <v>7</v>
      </c>
      <c r="F1345" s="19" t="s">
        <v>0</v>
      </c>
      <c r="G1345" s="20" t="s">
        <v>453</v>
      </c>
      <c r="H1345" s="36">
        <v>56900</v>
      </c>
      <c r="I1345" s="36">
        <v>56900</v>
      </c>
      <c r="J1345" s="25">
        <v>350200</v>
      </c>
    </row>
    <row r="1346" spans="1:10" ht="16" x14ac:dyDescent="0.45">
      <c r="A1346" s="153" t="str">
        <f>B1346&amp;C1346&amp;E1346&amp;G1346</f>
        <v>매트리스시그니처 컴포트94M(4개월점검주기)</v>
      </c>
      <c r="B1346" s="17" t="s">
        <v>228</v>
      </c>
      <c r="C1346" s="18" t="s">
        <v>496</v>
      </c>
      <c r="D1346" s="19" t="s">
        <v>283</v>
      </c>
      <c r="E1346" s="19">
        <v>9</v>
      </c>
      <c r="F1346" s="19" t="s">
        <v>0</v>
      </c>
      <c r="G1346" s="20" t="s">
        <v>453</v>
      </c>
      <c r="H1346" s="36">
        <v>50900</v>
      </c>
      <c r="I1346" s="36">
        <v>50900</v>
      </c>
      <c r="J1346" s="25">
        <v>350200</v>
      </c>
    </row>
    <row r="1347" spans="1:10" ht="16" x14ac:dyDescent="0.45">
      <c r="A1347" s="153" t="str">
        <f>B1347&amp;C1347&amp;E1347&amp;G1347</f>
        <v>매트리스시그니처 컴포트5베이직케어(4M)</v>
      </c>
      <c r="B1347" s="17" t="s">
        <v>228</v>
      </c>
      <c r="C1347" s="18" t="s">
        <v>496</v>
      </c>
      <c r="D1347" s="19" t="s">
        <v>283</v>
      </c>
      <c r="E1347" s="19">
        <v>5</v>
      </c>
      <c r="F1347" s="19" t="s">
        <v>0</v>
      </c>
      <c r="G1347" s="20" t="s">
        <v>608</v>
      </c>
      <c r="H1347" s="36">
        <v>60900</v>
      </c>
      <c r="I1347" s="36">
        <v>60900</v>
      </c>
      <c r="J1347" s="25">
        <v>307200</v>
      </c>
    </row>
    <row r="1348" spans="1:10" ht="16" x14ac:dyDescent="0.45">
      <c r="A1348" s="153" t="str">
        <f>B1348&amp;C1348&amp;E1348&amp;G1348</f>
        <v>매트리스시그니처 컴포트7베이직케어(4M)</v>
      </c>
      <c r="B1348" s="17" t="s">
        <v>228</v>
      </c>
      <c r="C1348" s="18" t="s">
        <v>496</v>
      </c>
      <c r="D1348" s="19" t="s">
        <v>283</v>
      </c>
      <c r="E1348" s="19">
        <v>7</v>
      </c>
      <c r="F1348" s="19" t="s">
        <v>0</v>
      </c>
      <c r="G1348" s="20" t="s">
        <v>608</v>
      </c>
      <c r="H1348" s="36">
        <v>50900</v>
      </c>
      <c r="I1348" s="36">
        <v>50900</v>
      </c>
      <c r="J1348" s="25">
        <v>337900</v>
      </c>
    </row>
    <row r="1349" spans="1:10" ht="16" x14ac:dyDescent="0.45">
      <c r="A1349" s="153" t="str">
        <f>B1349&amp;C1349&amp;E1349&amp;G1349</f>
        <v>매트리스시그니처 컴포트9베이직케어(4M)</v>
      </c>
      <c r="B1349" s="17" t="s">
        <v>228</v>
      </c>
      <c r="C1349" s="18" t="s">
        <v>496</v>
      </c>
      <c r="D1349" s="19" t="s">
        <v>283</v>
      </c>
      <c r="E1349" s="19">
        <v>9</v>
      </c>
      <c r="F1349" s="19" t="s">
        <v>0</v>
      </c>
      <c r="G1349" s="20" t="s">
        <v>608</v>
      </c>
      <c r="H1349" s="36">
        <v>44900</v>
      </c>
      <c r="I1349" s="36">
        <v>44900</v>
      </c>
      <c r="J1349" s="25">
        <v>337900</v>
      </c>
    </row>
    <row r="1350" spans="1:10" ht="16" x14ac:dyDescent="0.45">
      <c r="A1350" s="153" t="str">
        <f>B1350&amp;C1350&amp;E1350&amp;G1350</f>
        <v>매트리스시그니처 컴포트5서비스프리</v>
      </c>
      <c r="B1350" s="17" t="s">
        <v>228</v>
      </c>
      <c r="C1350" s="18" t="s">
        <v>496</v>
      </c>
      <c r="D1350" s="19" t="s">
        <v>283</v>
      </c>
      <c r="E1350" s="19">
        <v>5</v>
      </c>
      <c r="F1350" s="19" t="s">
        <v>0</v>
      </c>
      <c r="G1350" s="20" t="s">
        <v>183</v>
      </c>
      <c r="H1350" s="36">
        <v>58900</v>
      </c>
      <c r="I1350" s="36">
        <v>58900</v>
      </c>
      <c r="J1350" s="25">
        <v>295900</v>
      </c>
    </row>
    <row r="1351" spans="1:10" ht="16" x14ac:dyDescent="0.45">
      <c r="A1351" s="153" t="str">
        <f>B1351&amp;C1351&amp;E1351&amp;G1351</f>
        <v>매트리스시그니처 컴포트7서비스프리</v>
      </c>
      <c r="B1351" s="17" t="s">
        <v>228</v>
      </c>
      <c r="C1351" s="18" t="s">
        <v>496</v>
      </c>
      <c r="D1351" s="19" t="s">
        <v>283</v>
      </c>
      <c r="E1351" s="19">
        <v>7</v>
      </c>
      <c r="F1351" s="19" t="s">
        <v>0</v>
      </c>
      <c r="G1351" s="20" t="s">
        <v>183</v>
      </c>
      <c r="H1351" s="36">
        <v>48900</v>
      </c>
      <c r="I1351" s="36">
        <v>48900</v>
      </c>
      <c r="J1351" s="25">
        <v>325500</v>
      </c>
    </row>
    <row r="1352" spans="1:10" ht="16" x14ac:dyDescent="0.45">
      <c r="A1352" s="153" t="str">
        <f>B1352&amp;C1352&amp;E1352&amp;G1352</f>
        <v>매트리스시그니처 컴포트9서비스프리</v>
      </c>
      <c r="B1352" s="17" t="s">
        <v>228</v>
      </c>
      <c r="C1352" s="18" t="s">
        <v>496</v>
      </c>
      <c r="D1352" s="19" t="s">
        <v>283</v>
      </c>
      <c r="E1352" s="19">
        <v>9</v>
      </c>
      <c r="F1352" s="19" t="s">
        <v>0</v>
      </c>
      <c r="G1352" s="20" t="s">
        <v>183</v>
      </c>
      <c r="H1352" s="36">
        <v>42900</v>
      </c>
      <c r="I1352" s="36">
        <v>42900</v>
      </c>
      <c r="J1352" s="25">
        <v>325500</v>
      </c>
    </row>
    <row r="1353" spans="1:10" ht="16" x14ac:dyDescent="0.45">
      <c r="A1353" s="153" t="str">
        <f>B1353&amp;C1353&amp;E1353&amp;G1353</f>
        <v>매트리스시그니처파이어쉴드5베이직케어(4M)</v>
      </c>
      <c r="B1353" s="17" t="s">
        <v>228</v>
      </c>
      <c r="C1353" s="18" t="s">
        <v>950</v>
      </c>
      <c r="D1353" s="19" t="s">
        <v>952</v>
      </c>
      <c r="E1353" s="19">
        <v>5</v>
      </c>
      <c r="F1353" s="19" t="s">
        <v>0</v>
      </c>
      <c r="G1353" s="20" t="s">
        <v>608</v>
      </c>
      <c r="H1353" s="36">
        <v>92900</v>
      </c>
      <c r="I1353" s="36">
        <v>92900</v>
      </c>
      <c r="J1353" s="25">
        <v>374600</v>
      </c>
    </row>
    <row r="1354" spans="1:10" ht="16" x14ac:dyDescent="0.45">
      <c r="A1354" s="153" t="str">
        <f>B1354&amp;C1354&amp;E1354&amp;G1354</f>
        <v>매트리스시그니처파이어쉴드7베이직케어(4M)</v>
      </c>
      <c r="B1354" s="17" t="s">
        <v>228</v>
      </c>
      <c r="C1354" s="18" t="s">
        <v>950</v>
      </c>
      <c r="D1354" s="19" t="s">
        <v>952</v>
      </c>
      <c r="E1354" s="19">
        <v>7</v>
      </c>
      <c r="F1354" s="19" t="s">
        <v>0</v>
      </c>
      <c r="G1354" s="20" t="s">
        <v>608</v>
      </c>
      <c r="H1354" s="36">
        <v>82900</v>
      </c>
      <c r="I1354" s="36">
        <v>82900</v>
      </c>
      <c r="J1354" s="25">
        <v>412100</v>
      </c>
    </row>
    <row r="1355" spans="1:10" ht="16" x14ac:dyDescent="0.45">
      <c r="A1355" s="153" t="str">
        <f>B1355&amp;C1355&amp;E1355&amp;G1355</f>
        <v>매트리스시그니처파이어쉴드9베이직케어(4M)</v>
      </c>
      <c r="B1355" s="17" t="s">
        <v>228</v>
      </c>
      <c r="C1355" s="18" t="s">
        <v>950</v>
      </c>
      <c r="D1355" s="19" t="s">
        <v>952</v>
      </c>
      <c r="E1355" s="19">
        <v>9</v>
      </c>
      <c r="F1355" s="19" t="s">
        <v>0</v>
      </c>
      <c r="G1355" s="20" t="s">
        <v>608</v>
      </c>
      <c r="H1355" s="36">
        <v>76900</v>
      </c>
      <c r="I1355" s="36">
        <v>76900</v>
      </c>
      <c r="J1355" s="25">
        <v>412100</v>
      </c>
    </row>
    <row r="1356" spans="1:10" ht="16" x14ac:dyDescent="0.45">
      <c r="A1356" s="153" t="str">
        <f>B1356&amp;C1356&amp;E1356&amp;G1356</f>
        <v>매트리스시그니처파이어쉴드5서비스프리</v>
      </c>
      <c r="B1356" s="17" t="s">
        <v>228</v>
      </c>
      <c r="C1356" s="18" t="s">
        <v>950</v>
      </c>
      <c r="D1356" s="19" t="s">
        <v>952</v>
      </c>
      <c r="E1356" s="19">
        <v>5</v>
      </c>
      <c r="F1356" s="19" t="s">
        <v>0</v>
      </c>
      <c r="G1356" s="20" t="s">
        <v>183</v>
      </c>
      <c r="H1356" s="36">
        <v>90900</v>
      </c>
      <c r="I1356" s="36">
        <v>90900</v>
      </c>
      <c r="J1356" s="25">
        <v>374600</v>
      </c>
    </row>
    <row r="1357" spans="1:10" ht="16" x14ac:dyDescent="0.45">
      <c r="A1357" s="153" t="str">
        <f>B1357&amp;C1357&amp;E1357&amp;G1357</f>
        <v>매트리스시그니처파이어쉴드7서비스프리</v>
      </c>
      <c r="B1357" s="17" t="s">
        <v>228</v>
      </c>
      <c r="C1357" s="18" t="s">
        <v>950</v>
      </c>
      <c r="D1357" s="19" t="s">
        <v>952</v>
      </c>
      <c r="E1357" s="19">
        <v>7</v>
      </c>
      <c r="F1357" s="19" t="s">
        <v>0</v>
      </c>
      <c r="G1357" s="20" t="s">
        <v>183</v>
      </c>
      <c r="H1357" s="36">
        <v>80900</v>
      </c>
      <c r="I1357" s="36">
        <v>80900</v>
      </c>
      <c r="J1357" s="25">
        <v>412100</v>
      </c>
    </row>
    <row r="1358" spans="1:10" ht="16" x14ac:dyDescent="0.45">
      <c r="A1358" s="153" t="str">
        <f>B1358&amp;C1358&amp;E1358&amp;G1358</f>
        <v>매트리스시그니처파이어쉴드9서비스프리</v>
      </c>
      <c r="B1358" s="17" t="s">
        <v>228</v>
      </c>
      <c r="C1358" s="18" t="s">
        <v>950</v>
      </c>
      <c r="D1358" s="19" t="s">
        <v>952</v>
      </c>
      <c r="E1358" s="19">
        <v>9</v>
      </c>
      <c r="F1358" s="19" t="s">
        <v>0</v>
      </c>
      <c r="G1358" s="20" t="s">
        <v>183</v>
      </c>
      <c r="H1358" s="36">
        <v>74900</v>
      </c>
      <c r="I1358" s="36">
        <v>74900</v>
      </c>
      <c r="J1358" s="25">
        <v>412100</v>
      </c>
    </row>
    <row r="1359" spans="1:10" ht="16" x14ac:dyDescent="0.45">
      <c r="A1359" s="153" t="str">
        <f>B1359&amp;C1359&amp;E1359&amp;G1359</f>
        <v>매트리스시그니처파이어쉴드5베이직케어(4M)</v>
      </c>
      <c r="B1359" s="17" t="s">
        <v>228</v>
      </c>
      <c r="C1359" s="18" t="s">
        <v>950</v>
      </c>
      <c r="D1359" s="19" t="s">
        <v>954</v>
      </c>
      <c r="E1359" s="19">
        <v>5</v>
      </c>
      <c r="F1359" s="19" t="s">
        <v>0</v>
      </c>
      <c r="G1359" s="20" t="s">
        <v>608</v>
      </c>
      <c r="H1359" s="36">
        <v>74900</v>
      </c>
      <c r="I1359" s="36">
        <v>74900</v>
      </c>
      <c r="J1359" s="25">
        <v>329600</v>
      </c>
    </row>
    <row r="1360" spans="1:10" ht="16" x14ac:dyDescent="0.45">
      <c r="A1360" s="153" t="str">
        <f>B1360&amp;C1360&amp;E1360&amp;G1360</f>
        <v>매트리스시그니처파이어쉴드7베이직케어(4M)</v>
      </c>
      <c r="B1360" s="17" t="s">
        <v>228</v>
      </c>
      <c r="C1360" s="18" t="s">
        <v>950</v>
      </c>
      <c r="D1360" s="19" t="s">
        <v>954</v>
      </c>
      <c r="E1360" s="19">
        <v>7</v>
      </c>
      <c r="F1360" s="19" t="s">
        <v>0</v>
      </c>
      <c r="G1360" s="20" t="s">
        <v>608</v>
      </c>
      <c r="H1360" s="36">
        <v>64900</v>
      </c>
      <c r="I1360" s="36">
        <v>64900</v>
      </c>
      <c r="J1360" s="25">
        <v>362600</v>
      </c>
    </row>
    <row r="1361" spans="1:10" ht="16" x14ac:dyDescent="0.45">
      <c r="A1361" s="153" t="str">
        <f>B1361&amp;C1361&amp;E1361&amp;G1361</f>
        <v>매트리스시그니처파이어쉴드9베이직케어(4M)</v>
      </c>
      <c r="B1361" s="17" t="s">
        <v>228</v>
      </c>
      <c r="C1361" s="18" t="s">
        <v>950</v>
      </c>
      <c r="D1361" s="19" t="s">
        <v>954</v>
      </c>
      <c r="E1361" s="19">
        <v>9</v>
      </c>
      <c r="F1361" s="19" t="s">
        <v>0</v>
      </c>
      <c r="G1361" s="20" t="s">
        <v>608</v>
      </c>
      <c r="H1361" s="36">
        <v>58900</v>
      </c>
      <c r="I1361" s="36">
        <v>58900</v>
      </c>
      <c r="J1361" s="25">
        <v>362600</v>
      </c>
    </row>
    <row r="1362" spans="1:10" ht="16" x14ac:dyDescent="0.45">
      <c r="A1362" s="153" t="str">
        <f>B1362&amp;C1362&amp;E1362&amp;G1362</f>
        <v>매트리스시그니처파이어쉴드5서비스프리</v>
      </c>
      <c r="B1362" s="17" t="s">
        <v>228</v>
      </c>
      <c r="C1362" s="18" t="s">
        <v>950</v>
      </c>
      <c r="D1362" s="19" t="s">
        <v>954</v>
      </c>
      <c r="E1362" s="19">
        <v>5</v>
      </c>
      <c r="F1362" s="19" t="s">
        <v>0</v>
      </c>
      <c r="G1362" s="20" t="s">
        <v>183</v>
      </c>
      <c r="H1362" s="36">
        <v>72900</v>
      </c>
      <c r="I1362" s="36">
        <v>72900</v>
      </c>
      <c r="J1362" s="25">
        <v>329600</v>
      </c>
    </row>
    <row r="1363" spans="1:10" ht="16" x14ac:dyDescent="0.45">
      <c r="A1363" s="153" t="str">
        <f>B1363&amp;C1363&amp;E1363&amp;G1363</f>
        <v>매트리스시그니처파이어쉴드7서비스프리</v>
      </c>
      <c r="B1363" s="17" t="s">
        <v>228</v>
      </c>
      <c r="C1363" s="18" t="s">
        <v>950</v>
      </c>
      <c r="D1363" s="19" t="s">
        <v>954</v>
      </c>
      <c r="E1363" s="19">
        <v>7</v>
      </c>
      <c r="F1363" s="19" t="s">
        <v>0</v>
      </c>
      <c r="G1363" s="20" t="s">
        <v>183</v>
      </c>
      <c r="H1363" s="36">
        <v>62900</v>
      </c>
      <c r="I1363" s="36">
        <v>62900</v>
      </c>
      <c r="J1363" s="25">
        <v>362600</v>
      </c>
    </row>
    <row r="1364" spans="1:10" ht="16" x14ac:dyDescent="0.45">
      <c r="A1364" s="153" t="str">
        <f>B1364&amp;C1364&amp;E1364&amp;G1364</f>
        <v>매트리스시그니처파이어쉴드9서비스프리</v>
      </c>
      <c r="B1364" s="17" t="s">
        <v>228</v>
      </c>
      <c r="C1364" s="18" t="s">
        <v>950</v>
      </c>
      <c r="D1364" s="19" t="s">
        <v>954</v>
      </c>
      <c r="E1364" s="19">
        <v>9</v>
      </c>
      <c r="F1364" s="19" t="s">
        <v>0</v>
      </c>
      <c r="G1364" s="20" t="s">
        <v>183</v>
      </c>
      <c r="H1364" s="36">
        <v>56900</v>
      </c>
      <c r="I1364" s="36">
        <v>56900</v>
      </c>
      <c r="J1364" s="25">
        <v>362600</v>
      </c>
    </row>
    <row r="1365" spans="1:10" ht="16" x14ac:dyDescent="0.45">
      <c r="A1365" s="153" t="str">
        <f>B1365&amp;C1365&amp;E1365&amp;G1365</f>
        <v>매트리스시그니처파이어쉴드5베이직케어(4M)</v>
      </c>
      <c r="B1365" s="17" t="s">
        <v>228</v>
      </c>
      <c r="C1365" s="18" t="s">
        <v>950</v>
      </c>
      <c r="D1365" s="19" t="s">
        <v>953</v>
      </c>
      <c r="E1365" s="19">
        <v>5</v>
      </c>
      <c r="F1365" s="19" t="s">
        <v>0</v>
      </c>
      <c r="G1365" s="20" t="s">
        <v>608</v>
      </c>
      <c r="H1365" s="36">
        <v>82900</v>
      </c>
      <c r="I1365" s="36">
        <v>82900</v>
      </c>
      <c r="J1365" s="25">
        <v>352100</v>
      </c>
    </row>
    <row r="1366" spans="1:10" ht="16" x14ac:dyDescent="0.45">
      <c r="A1366" s="153" t="str">
        <f>B1366&amp;C1366&amp;E1366&amp;G1366</f>
        <v>매트리스시그니처파이어쉴드7베이직케어(4M)</v>
      </c>
      <c r="B1366" s="17" t="s">
        <v>228</v>
      </c>
      <c r="C1366" s="18" t="s">
        <v>950</v>
      </c>
      <c r="D1366" s="19" t="s">
        <v>953</v>
      </c>
      <c r="E1366" s="19">
        <v>7</v>
      </c>
      <c r="F1366" s="19" t="s">
        <v>0</v>
      </c>
      <c r="G1366" s="20" t="s">
        <v>608</v>
      </c>
      <c r="H1366" s="36">
        <v>72900</v>
      </c>
      <c r="I1366" s="36">
        <v>72900</v>
      </c>
      <c r="J1366" s="25">
        <v>387300</v>
      </c>
    </row>
    <row r="1367" spans="1:10" ht="16" x14ac:dyDescent="0.45">
      <c r="A1367" s="153" t="str">
        <f>B1367&amp;C1367&amp;E1367&amp;G1367</f>
        <v>매트리스시그니처파이어쉴드9베이직케어(4M)</v>
      </c>
      <c r="B1367" s="17" t="s">
        <v>228</v>
      </c>
      <c r="C1367" s="18" t="s">
        <v>950</v>
      </c>
      <c r="D1367" s="19" t="s">
        <v>953</v>
      </c>
      <c r="E1367" s="19">
        <v>9</v>
      </c>
      <c r="F1367" s="19" t="s">
        <v>0</v>
      </c>
      <c r="G1367" s="20" t="s">
        <v>608</v>
      </c>
      <c r="H1367" s="36">
        <v>66900</v>
      </c>
      <c r="I1367" s="36">
        <v>66900</v>
      </c>
      <c r="J1367" s="25">
        <v>387300</v>
      </c>
    </row>
    <row r="1368" spans="1:10" ht="16" x14ac:dyDescent="0.45">
      <c r="A1368" s="153" t="str">
        <f>B1368&amp;C1368&amp;E1368&amp;G1368</f>
        <v>매트리스시그니처파이어쉴드5서비스프리</v>
      </c>
      <c r="B1368" s="17" t="s">
        <v>228</v>
      </c>
      <c r="C1368" s="18" t="s">
        <v>950</v>
      </c>
      <c r="D1368" s="19" t="s">
        <v>953</v>
      </c>
      <c r="E1368" s="19">
        <v>5</v>
      </c>
      <c r="F1368" s="19" t="s">
        <v>0</v>
      </c>
      <c r="G1368" s="20" t="s">
        <v>183</v>
      </c>
      <c r="H1368" s="36">
        <v>80900</v>
      </c>
      <c r="I1368" s="36">
        <v>80900</v>
      </c>
      <c r="J1368" s="25">
        <v>352100</v>
      </c>
    </row>
    <row r="1369" spans="1:10" ht="16" x14ac:dyDescent="0.45">
      <c r="A1369" s="153" t="str">
        <f>B1369&amp;C1369&amp;E1369&amp;G1369</f>
        <v>매트리스시그니처파이어쉴드7서비스프리</v>
      </c>
      <c r="B1369" s="17" t="s">
        <v>228</v>
      </c>
      <c r="C1369" s="18" t="s">
        <v>950</v>
      </c>
      <c r="D1369" s="19" t="s">
        <v>953</v>
      </c>
      <c r="E1369" s="19">
        <v>7</v>
      </c>
      <c r="F1369" s="19" t="s">
        <v>0</v>
      </c>
      <c r="G1369" s="20" t="s">
        <v>183</v>
      </c>
      <c r="H1369" s="36">
        <v>70900</v>
      </c>
      <c r="I1369" s="36">
        <v>70900</v>
      </c>
      <c r="J1369" s="25">
        <v>387300</v>
      </c>
    </row>
    <row r="1370" spans="1:10" ht="16" x14ac:dyDescent="0.45">
      <c r="A1370" s="153" t="str">
        <f>B1370&amp;C1370&amp;E1370&amp;G1370</f>
        <v>매트리스시그니처파이어쉴드9서비스프리</v>
      </c>
      <c r="B1370" s="17" t="s">
        <v>228</v>
      </c>
      <c r="C1370" s="18" t="s">
        <v>950</v>
      </c>
      <c r="D1370" s="19" t="s">
        <v>953</v>
      </c>
      <c r="E1370" s="19">
        <v>9</v>
      </c>
      <c r="F1370" s="19" t="s">
        <v>0</v>
      </c>
      <c r="G1370" s="20" t="s">
        <v>183</v>
      </c>
      <c r="H1370" s="36">
        <v>64900</v>
      </c>
      <c r="I1370" s="36">
        <v>64900</v>
      </c>
      <c r="J1370" s="25">
        <v>387300</v>
      </c>
    </row>
    <row r="1371" spans="1:10" ht="16" x14ac:dyDescent="0.45">
      <c r="A1371" s="153" t="str">
        <f>B1371&amp;C1371&amp;E1371&amp;G1371</f>
        <v>매트리스시그니처파이어쉴드5베이직케어(4M)</v>
      </c>
      <c r="B1371" s="17" t="s">
        <v>228</v>
      </c>
      <c r="C1371" s="18" t="s">
        <v>950</v>
      </c>
      <c r="D1371" s="19" t="s">
        <v>955</v>
      </c>
      <c r="E1371" s="19">
        <v>5</v>
      </c>
      <c r="F1371" s="19" t="s">
        <v>0</v>
      </c>
      <c r="G1371" s="20" t="s">
        <v>608</v>
      </c>
      <c r="H1371" s="36">
        <v>67900</v>
      </c>
      <c r="I1371" s="36">
        <v>67900</v>
      </c>
      <c r="J1371" s="25">
        <v>318400</v>
      </c>
    </row>
    <row r="1372" spans="1:10" ht="16" x14ac:dyDescent="0.45">
      <c r="A1372" s="153" t="str">
        <f>B1372&amp;C1372&amp;E1372&amp;G1372</f>
        <v>매트리스시그니처파이어쉴드7베이직케어(4M)</v>
      </c>
      <c r="B1372" s="17" t="s">
        <v>228</v>
      </c>
      <c r="C1372" s="18" t="s">
        <v>950</v>
      </c>
      <c r="D1372" s="19" t="s">
        <v>955</v>
      </c>
      <c r="E1372" s="19">
        <v>7</v>
      </c>
      <c r="F1372" s="19" t="s">
        <v>0</v>
      </c>
      <c r="G1372" s="20" t="s">
        <v>608</v>
      </c>
      <c r="H1372" s="36">
        <v>57900</v>
      </c>
      <c r="I1372" s="36">
        <v>57900</v>
      </c>
      <c r="J1372" s="25">
        <v>350200</v>
      </c>
    </row>
    <row r="1373" spans="1:10" ht="16" x14ac:dyDescent="0.45">
      <c r="A1373" s="153" t="str">
        <f>B1373&amp;C1373&amp;E1373&amp;G1373</f>
        <v>매트리스시그니처파이어쉴드9베이직케어(4M)</v>
      </c>
      <c r="B1373" s="17" t="s">
        <v>228</v>
      </c>
      <c r="C1373" s="18" t="s">
        <v>950</v>
      </c>
      <c r="D1373" s="19" t="s">
        <v>955</v>
      </c>
      <c r="E1373" s="19">
        <v>9</v>
      </c>
      <c r="F1373" s="19" t="s">
        <v>0</v>
      </c>
      <c r="G1373" s="20" t="s">
        <v>608</v>
      </c>
      <c r="H1373" s="36">
        <v>51900</v>
      </c>
      <c r="I1373" s="36">
        <v>51900</v>
      </c>
      <c r="J1373" s="25">
        <v>350200</v>
      </c>
    </row>
    <row r="1374" spans="1:10" ht="16" x14ac:dyDescent="0.45">
      <c r="A1374" s="153" t="str">
        <f>B1374&amp;C1374&amp;E1374&amp;G1374</f>
        <v>매트리스시그니처파이어쉴드5서비스프리</v>
      </c>
      <c r="B1374" s="17" t="s">
        <v>228</v>
      </c>
      <c r="C1374" s="18" t="s">
        <v>950</v>
      </c>
      <c r="D1374" s="19" t="s">
        <v>955</v>
      </c>
      <c r="E1374" s="19">
        <v>5</v>
      </c>
      <c r="F1374" s="19" t="s">
        <v>0</v>
      </c>
      <c r="G1374" s="20" t="s">
        <v>183</v>
      </c>
      <c r="H1374" s="36">
        <v>65900</v>
      </c>
      <c r="I1374" s="36">
        <v>65900</v>
      </c>
      <c r="J1374" s="25">
        <v>318400</v>
      </c>
    </row>
    <row r="1375" spans="1:10" ht="16" x14ac:dyDescent="0.45">
      <c r="A1375" s="153" t="str">
        <f>B1375&amp;C1375&amp;E1375&amp;G1375</f>
        <v>매트리스시그니처파이어쉴드7서비스프리</v>
      </c>
      <c r="B1375" s="17" t="s">
        <v>228</v>
      </c>
      <c r="C1375" s="18" t="s">
        <v>950</v>
      </c>
      <c r="D1375" s="19" t="s">
        <v>955</v>
      </c>
      <c r="E1375" s="19">
        <v>7</v>
      </c>
      <c r="F1375" s="19" t="s">
        <v>0</v>
      </c>
      <c r="G1375" s="20" t="s">
        <v>183</v>
      </c>
      <c r="H1375" s="36">
        <v>55900</v>
      </c>
      <c r="I1375" s="36">
        <v>55900</v>
      </c>
      <c r="J1375" s="25">
        <v>350200</v>
      </c>
    </row>
    <row r="1376" spans="1:10" ht="16" x14ac:dyDescent="0.45">
      <c r="A1376" s="153" t="str">
        <f>B1376&amp;C1376&amp;E1376&amp;G1376</f>
        <v>매트리스시그니처파이어쉴드9서비스프리</v>
      </c>
      <c r="B1376" s="17" t="s">
        <v>228</v>
      </c>
      <c r="C1376" s="18" t="s">
        <v>950</v>
      </c>
      <c r="D1376" s="19" t="s">
        <v>955</v>
      </c>
      <c r="E1376" s="19">
        <v>9</v>
      </c>
      <c r="F1376" s="19" t="s">
        <v>0</v>
      </c>
      <c r="G1376" s="20" t="s">
        <v>183</v>
      </c>
      <c r="H1376" s="36">
        <v>49900</v>
      </c>
      <c r="I1376" s="36">
        <v>49900</v>
      </c>
      <c r="J1376" s="25">
        <v>350200</v>
      </c>
    </row>
    <row r="1377" spans="1:10" ht="16" x14ac:dyDescent="0.45">
      <c r="A1377" s="153" t="str">
        <f>B1377&amp;C1377&amp;E1377&amp;G1377</f>
        <v>매트리스시그니처파이어쉴드5베이직케어(4M)</v>
      </c>
      <c r="B1377" s="17" t="s">
        <v>228</v>
      </c>
      <c r="C1377" s="18" t="s">
        <v>950</v>
      </c>
      <c r="D1377" s="19" t="s">
        <v>956</v>
      </c>
      <c r="E1377" s="19">
        <v>5</v>
      </c>
      <c r="F1377" s="19" t="s">
        <v>0</v>
      </c>
      <c r="G1377" s="20" t="s">
        <v>608</v>
      </c>
      <c r="H1377" s="36">
        <v>60900</v>
      </c>
      <c r="I1377" s="36">
        <v>60900</v>
      </c>
      <c r="J1377" s="25">
        <v>307200</v>
      </c>
    </row>
    <row r="1378" spans="1:10" ht="16" x14ac:dyDescent="0.45">
      <c r="A1378" s="153" t="str">
        <f>B1378&amp;C1378&amp;E1378&amp;G1378</f>
        <v>매트리스시그니처파이어쉴드7베이직케어(4M)</v>
      </c>
      <c r="B1378" s="17" t="s">
        <v>228</v>
      </c>
      <c r="C1378" s="18" t="s">
        <v>950</v>
      </c>
      <c r="D1378" s="19" t="s">
        <v>956</v>
      </c>
      <c r="E1378" s="19">
        <v>7</v>
      </c>
      <c r="F1378" s="19" t="s">
        <v>0</v>
      </c>
      <c r="G1378" s="20" t="s">
        <v>608</v>
      </c>
      <c r="H1378" s="36">
        <v>50900</v>
      </c>
      <c r="I1378" s="36">
        <v>50900</v>
      </c>
      <c r="J1378" s="25">
        <v>337900</v>
      </c>
    </row>
    <row r="1379" spans="1:10" ht="16" x14ac:dyDescent="0.45">
      <c r="A1379" s="153" t="str">
        <f>B1379&amp;C1379&amp;E1379&amp;G1379</f>
        <v>매트리스시그니처파이어쉴드9베이직케어(4M)</v>
      </c>
      <c r="B1379" s="17" t="s">
        <v>228</v>
      </c>
      <c r="C1379" s="18" t="s">
        <v>950</v>
      </c>
      <c r="D1379" s="19" t="s">
        <v>956</v>
      </c>
      <c r="E1379" s="19">
        <v>9</v>
      </c>
      <c r="F1379" s="19" t="s">
        <v>0</v>
      </c>
      <c r="G1379" s="20" t="s">
        <v>608</v>
      </c>
      <c r="H1379" s="36">
        <v>44900</v>
      </c>
      <c r="I1379" s="36">
        <v>44900</v>
      </c>
      <c r="J1379" s="25">
        <v>337900</v>
      </c>
    </row>
    <row r="1380" spans="1:10" ht="16" x14ac:dyDescent="0.45">
      <c r="A1380" s="153" t="str">
        <f>B1380&amp;C1380&amp;E1380&amp;G1380</f>
        <v>매트리스시그니처파이어쉴드5서비스프리</v>
      </c>
      <c r="B1380" s="17" t="s">
        <v>228</v>
      </c>
      <c r="C1380" s="18" t="s">
        <v>950</v>
      </c>
      <c r="D1380" s="19" t="s">
        <v>956</v>
      </c>
      <c r="E1380" s="19">
        <v>5</v>
      </c>
      <c r="F1380" s="19" t="s">
        <v>0</v>
      </c>
      <c r="G1380" s="20" t="s">
        <v>183</v>
      </c>
      <c r="H1380" s="36">
        <v>58900</v>
      </c>
      <c r="I1380" s="36">
        <v>58900</v>
      </c>
      <c r="J1380" s="25">
        <v>295900</v>
      </c>
    </row>
    <row r="1381" spans="1:10" ht="16" x14ac:dyDescent="0.45">
      <c r="A1381" s="153" t="str">
        <f>B1381&amp;C1381&amp;E1381&amp;G1381</f>
        <v>매트리스시그니처파이어쉴드7서비스프리</v>
      </c>
      <c r="B1381" s="17" t="s">
        <v>228</v>
      </c>
      <c r="C1381" s="18" t="s">
        <v>950</v>
      </c>
      <c r="D1381" s="19" t="s">
        <v>956</v>
      </c>
      <c r="E1381" s="19">
        <v>7</v>
      </c>
      <c r="F1381" s="19" t="s">
        <v>0</v>
      </c>
      <c r="G1381" s="20" t="s">
        <v>183</v>
      </c>
      <c r="H1381" s="36">
        <v>48900</v>
      </c>
      <c r="I1381" s="36">
        <v>48900</v>
      </c>
      <c r="J1381" s="25">
        <v>325500</v>
      </c>
    </row>
    <row r="1382" spans="1:10" ht="16" x14ac:dyDescent="0.45">
      <c r="A1382" s="153" t="str">
        <f>B1382&amp;C1382&amp;E1382&amp;G1382</f>
        <v>매트리스시그니처파이어쉴드9서비스프리</v>
      </c>
      <c r="B1382" s="17" t="s">
        <v>228</v>
      </c>
      <c r="C1382" s="18" t="s">
        <v>950</v>
      </c>
      <c r="D1382" s="19" t="s">
        <v>956</v>
      </c>
      <c r="E1382" s="19">
        <v>9</v>
      </c>
      <c r="F1382" s="19" t="s">
        <v>0</v>
      </c>
      <c r="G1382" s="20" t="s">
        <v>183</v>
      </c>
      <c r="H1382" s="36">
        <v>42900</v>
      </c>
      <c r="I1382" s="36">
        <v>42900</v>
      </c>
      <c r="J1382" s="25">
        <v>325500</v>
      </c>
    </row>
    <row r="1383" spans="1:10" ht="16" x14ac:dyDescent="0.45">
      <c r="A1383" s="153" t="str">
        <f>B1383&amp;C1383&amp;E1383&amp;G1383</f>
        <v>매트리스시그니처파이어쉴드컴포트51회서비스</v>
      </c>
      <c r="B1383" s="17" t="s">
        <v>228</v>
      </c>
      <c r="C1383" s="18" t="s">
        <v>951</v>
      </c>
      <c r="D1383" s="19" t="s">
        <v>957</v>
      </c>
      <c r="E1383" s="19">
        <v>5</v>
      </c>
      <c r="F1383" s="19" t="s">
        <v>0</v>
      </c>
      <c r="G1383" s="20" t="s">
        <v>457</v>
      </c>
      <c r="H1383" s="36">
        <v>100900</v>
      </c>
      <c r="I1383" s="36">
        <v>100900</v>
      </c>
      <c r="J1383" s="25">
        <v>397100</v>
      </c>
    </row>
    <row r="1384" spans="1:10" ht="16" x14ac:dyDescent="0.45">
      <c r="A1384" s="153" t="str">
        <f>B1384&amp;C1384&amp;E1384&amp;G1384</f>
        <v>매트리스시그니처파이어쉴드컴포트71회서비스</v>
      </c>
      <c r="B1384" s="17" t="s">
        <v>228</v>
      </c>
      <c r="C1384" s="18" t="s">
        <v>951</v>
      </c>
      <c r="D1384" s="19" t="s">
        <v>957</v>
      </c>
      <c r="E1384" s="19">
        <v>7</v>
      </c>
      <c r="F1384" s="19" t="s">
        <v>0</v>
      </c>
      <c r="G1384" s="20" t="s">
        <v>457</v>
      </c>
      <c r="H1384" s="36">
        <v>90900</v>
      </c>
      <c r="I1384" s="36">
        <v>90900</v>
      </c>
      <c r="J1384" s="25">
        <v>436800</v>
      </c>
    </row>
    <row r="1385" spans="1:10" ht="16" x14ac:dyDescent="0.45">
      <c r="A1385" s="153" t="str">
        <f>B1385&amp;C1385&amp;E1385&amp;G1385</f>
        <v>매트리스시그니처파이어쉴드컴포트91회서비스</v>
      </c>
      <c r="B1385" s="17" t="s">
        <v>228</v>
      </c>
      <c r="C1385" s="18" t="s">
        <v>951</v>
      </c>
      <c r="D1385" s="19" t="s">
        <v>957</v>
      </c>
      <c r="E1385" s="19">
        <v>9</v>
      </c>
      <c r="F1385" s="19" t="s">
        <v>0</v>
      </c>
      <c r="G1385" s="20" t="s">
        <v>457</v>
      </c>
      <c r="H1385" s="36">
        <v>84900</v>
      </c>
      <c r="I1385" s="36">
        <v>84900</v>
      </c>
      <c r="J1385" s="25">
        <v>436800</v>
      </c>
    </row>
    <row r="1386" spans="1:10" ht="16" x14ac:dyDescent="0.45">
      <c r="A1386" s="153" t="str">
        <f>B1386&amp;C1386&amp;E1386&amp;G1386</f>
        <v>매트리스시그니처파이어쉴드컴포트54M(4개월점검주기)</v>
      </c>
      <c r="B1386" s="17" t="s">
        <v>228</v>
      </c>
      <c r="C1386" s="18" t="s">
        <v>951</v>
      </c>
      <c r="D1386" s="19" t="s">
        <v>957</v>
      </c>
      <c r="E1386" s="19">
        <v>5</v>
      </c>
      <c r="F1386" s="19" t="s">
        <v>0</v>
      </c>
      <c r="G1386" s="20" t="s">
        <v>453</v>
      </c>
      <c r="H1386" s="36">
        <v>102900</v>
      </c>
      <c r="I1386" s="36">
        <v>102900</v>
      </c>
      <c r="J1386" s="25">
        <v>397100</v>
      </c>
    </row>
    <row r="1387" spans="1:10" ht="16" x14ac:dyDescent="0.45">
      <c r="A1387" s="153" t="str">
        <f>B1387&amp;C1387&amp;E1387&amp;G1387</f>
        <v>매트리스시그니처파이어쉴드컴포트74M(4개월점검주기)</v>
      </c>
      <c r="B1387" s="17" t="s">
        <v>228</v>
      </c>
      <c r="C1387" s="18" t="s">
        <v>951</v>
      </c>
      <c r="D1387" s="19" t="s">
        <v>957</v>
      </c>
      <c r="E1387" s="19">
        <v>7</v>
      </c>
      <c r="F1387" s="19" t="s">
        <v>0</v>
      </c>
      <c r="G1387" s="20" t="s">
        <v>453</v>
      </c>
      <c r="H1387" s="36">
        <v>92900</v>
      </c>
      <c r="I1387" s="36">
        <v>92900</v>
      </c>
      <c r="J1387" s="25">
        <v>436800</v>
      </c>
    </row>
    <row r="1388" spans="1:10" ht="16" x14ac:dyDescent="0.45">
      <c r="A1388" s="153" t="str">
        <f>B1388&amp;C1388&amp;E1388&amp;G1388</f>
        <v>매트리스시그니처파이어쉴드컴포트94M(4개월점검주기)</v>
      </c>
      <c r="B1388" s="17" t="s">
        <v>228</v>
      </c>
      <c r="C1388" s="18" t="s">
        <v>951</v>
      </c>
      <c r="D1388" s="19" t="s">
        <v>957</v>
      </c>
      <c r="E1388" s="19">
        <v>9</v>
      </c>
      <c r="F1388" s="19" t="s">
        <v>0</v>
      </c>
      <c r="G1388" s="20" t="s">
        <v>453</v>
      </c>
      <c r="H1388" s="36">
        <v>86900</v>
      </c>
      <c r="I1388" s="36">
        <v>86900</v>
      </c>
      <c r="J1388" s="25">
        <v>436800</v>
      </c>
    </row>
    <row r="1389" spans="1:10" ht="16" x14ac:dyDescent="0.45">
      <c r="A1389" s="153" t="str">
        <f>B1389&amp;C1389&amp;E1389&amp;G1389</f>
        <v>매트리스시그니처파이어쉴드컴포트5베이직케어(4M)</v>
      </c>
      <c r="B1389" s="17" t="s">
        <v>228</v>
      </c>
      <c r="C1389" s="18" t="s">
        <v>951</v>
      </c>
      <c r="D1389" s="19" t="s">
        <v>957</v>
      </c>
      <c r="E1389" s="19">
        <v>5</v>
      </c>
      <c r="F1389" s="19" t="s">
        <v>0</v>
      </c>
      <c r="G1389" s="20" t="s">
        <v>608</v>
      </c>
      <c r="H1389" s="36">
        <v>96900</v>
      </c>
      <c r="I1389" s="36">
        <v>96900</v>
      </c>
      <c r="J1389" s="25">
        <v>385800</v>
      </c>
    </row>
    <row r="1390" spans="1:10" ht="16" x14ac:dyDescent="0.45">
      <c r="A1390" s="153" t="str">
        <f>B1390&amp;C1390&amp;E1390&amp;G1390</f>
        <v>매트리스시그니처파이어쉴드컴포트7베이직케어(4M)</v>
      </c>
      <c r="B1390" s="17" t="s">
        <v>228</v>
      </c>
      <c r="C1390" s="18" t="s">
        <v>951</v>
      </c>
      <c r="D1390" s="19" t="s">
        <v>957</v>
      </c>
      <c r="E1390" s="19">
        <v>7</v>
      </c>
      <c r="F1390" s="19" t="s">
        <v>0</v>
      </c>
      <c r="G1390" s="20" t="s">
        <v>608</v>
      </c>
      <c r="H1390" s="36">
        <v>86900</v>
      </c>
      <c r="I1390" s="36">
        <v>86900</v>
      </c>
      <c r="J1390" s="25">
        <v>424400</v>
      </c>
    </row>
    <row r="1391" spans="1:10" ht="16" x14ac:dyDescent="0.45">
      <c r="A1391" s="153" t="str">
        <f>B1391&amp;C1391&amp;E1391&amp;G1391</f>
        <v>매트리스시그니처파이어쉴드컴포트9베이직케어(4M)</v>
      </c>
      <c r="B1391" s="17" t="s">
        <v>228</v>
      </c>
      <c r="C1391" s="18" t="s">
        <v>951</v>
      </c>
      <c r="D1391" s="19" t="s">
        <v>957</v>
      </c>
      <c r="E1391" s="19">
        <v>9</v>
      </c>
      <c r="F1391" s="19" t="s">
        <v>0</v>
      </c>
      <c r="G1391" s="20" t="s">
        <v>608</v>
      </c>
      <c r="H1391" s="36">
        <v>80900</v>
      </c>
      <c r="I1391" s="36">
        <v>80900</v>
      </c>
      <c r="J1391" s="25">
        <v>424400</v>
      </c>
    </row>
    <row r="1392" spans="1:10" ht="16" x14ac:dyDescent="0.45">
      <c r="A1392" s="153" t="str">
        <f>B1392&amp;C1392&amp;E1392&amp;G1392</f>
        <v>매트리스시그니처파이어쉴드컴포트5서비스프리</v>
      </c>
      <c r="B1392" s="17" t="s">
        <v>228</v>
      </c>
      <c r="C1392" s="18" t="s">
        <v>951</v>
      </c>
      <c r="D1392" s="19" t="s">
        <v>957</v>
      </c>
      <c r="E1392" s="19">
        <v>5</v>
      </c>
      <c r="F1392" s="19" t="s">
        <v>0</v>
      </c>
      <c r="G1392" s="20" t="s">
        <v>183</v>
      </c>
      <c r="H1392" s="36">
        <v>94900</v>
      </c>
      <c r="I1392" s="36">
        <v>94900</v>
      </c>
      <c r="J1392" s="25">
        <v>374600</v>
      </c>
    </row>
    <row r="1393" spans="1:10" ht="16" x14ac:dyDescent="0.45">
      <c r="A1393" s="153" t="str">
        <f>B1393&amp;C1393&amp;E1393&amp;G1393</f>
        <v>매트리스시그니처파이어쉴드컴포트7서비스프리</v>
      </c>
      <c r="B1393" s="17" t="s">
        <v>228</v>
      </c>
      <c r="C1393" s="18" t="s">
        <v>951</v>
      </c>
      <c r="D1393" s="19" t="s">
        <v>957</v>
      </c>
      <c r="E1393" s="19">
        <v>7</v>
      </c>
      <c r="F1393" s="19" t="s">
        <v>0</v>
      </c>
      <c r="G1393" s="20" t="s">
        <v>183</v>
      </c>
      <c r="H1393" s="36">
        <v>84900</v>
      </c>
      <c r="I1393" s="36">
        <v>84900</v>
      </c>
      <c r="J1393" s="25">
        <v>412100</v>
      </c>
    </row>
    <row r="1394" spans="1:10" ht="16" x14ac:dyDescent="0.45">
      <c r="A1394" s="153" t="str">
        <f>B1394&amp;C1394&amp;E1394&amp;G1394</f>
        <v>매트리스시그니처파이어쉴드컴포트9서비스프리</v>
      </c>
      <c r="B1394" s="17" t="s">
        <v>228</v>
      </c>
      <c r="C1394" s="18" t="s">
        <v>951</v>
      </c>
      <c r="D1394" s="19" t="s">
        <v>957</v>
      </c>
      <c r="E1394" s="19">
        <v>9</v>
      </c>
      <c r="F1394" s="19" t="s">
        <v>0</v>
      </c>
      <c r="G1394" s="20" t="s">
        <v>183</v>
      </c>
      <c r="H1394" s="36">
        <v>78900</v>
      </c>
      <c r="I1394" s="36">
        <v>78900</v>
      </c>
      <c r="J1394" s="25">
        <v>412100</v>
      </c>
    </row>
    <row r="1395" spans="1:10" ht="16" x14ac:dyDescent="0.45">
      <c r="A1395" s="153" t="str">
        <f>B1395&amp;C1395&amp;E1395&amp;G1395</f>
        <v>매트리스시그니처파이어쉴드컴포트51회서비스</v>
      </c>
      <c r="B1395" s="17" t="s">
        <v>228</v>
      </c>
      <c r="C1395" s="18" t="s">
        <v>951</v>
      </c>
      <c r="D1395" s="19" t="s">
        <v>959</v>
      </c>
      <c r="E1395" s="19">
        <v>5</v>
      </c>
      <c r="F1395" s="19" t="s">
        <v>0</v>
      </c>
      <c r="G1395" s="20" t="s">
        <v>457</v>
      </c>
      <c r="H1395" s="36">
        <v>82900</v>
      </c>
      <c r="I1395" s="36">
        <v>82900</v>
      </c>
      <c r="J1395" s="25">
        <v>352100</v>
      </c>
    </row>
    <row r="1396" spans="1:10" ht="16" x14ac:dyDescent="0.45">
      <c r="A1396" s="153" t="str">
        <f>B1396&amp;C1396&amp;E1396&amp;G1396</f>
        <v>매트리스시그니처파이어쉴드컴포트71회서비스</v>
      </c>
      <c r="B1396" s="17" t="s">
        <v>228</v>
      </c>
      <c r="C1396" s="18" t="s">
        <v>951</v>
      </c>
      <c r="D1396" s="19" t="s">
        <v>959</v>
      </c>
      <c r="E1396" s="19">
        <v>7</v>
      </c>
      <c r="F1396" s="19" t="s">
        <v>0</v>
      </c>
      <c r="G1396" s="20" t="s">
        <v>457</v>
      </c>
      <c r="H1396" s="36">
        <v>72900</v>
      </c>
      <c r="I1396" s="36">
        <v>72900</v>
      </c>
      <c r="J1396" s="25">
        <v>387300</v>
      </c>
    </row>
    <row r="1397" spans="1:10" ht="16" x14ac:dyDescent="0.45">
      <c r="A1397" s="153" t="str">
        <f>B1397&amp;C1397&amp;E1397&amp;G1397</f>
        <v>매트리스시그니처파이어쉴드컴포트91회서비스</v>
      </c>
      <c r="B1397" s="17" t="s">
        <v>228</v>
      </c>
      <c r="C1397" s="18" t="s">
        <v>951</v>
      </c>
      <c r="D1397" s="19" t="s">
        <v>959</v>
      </c>
      <c r="E1397" s="19">
        <v>9</v>
      </c>
      <c r="F1397" s="19" t="s">
        <v>0</v>
      </c>
      <c r="G1397" s="20" t="s">
        <v>457</v>
      </c>
      <c r="H1397" s="36">
        <v>66900</v>
      </c>
      <c r="I1397" s="36">
        <v>66900</v>
      </c>
      <c r="J1397" s="25">
        <v>387300</v>
      </c>
    </row>
    <row r="1398" spans="1:10" ht="16" x14ac:dyDescent="0.45">
      <c r="A1398" s="153" t="str">
        <f>B1398&amp;C1398&amp;E1398&amp;G1398</f>
        <v>매트리스시그니처파이어쉴드컴포트54M(4개월점검주기)</v>
      </c>
      <c r="B1398" s="17" t="s">
        <v>228</v>
      </c>
      <c r="C1398" s="18" t="s">
        <v>951</v>
      </c>
      <c r="D1398" s="19" t="s">
        <v>959</v>
      </c>
      <c r="E1398" s="19">
        <v>5</v>
      </c>
      <c r="F1398" s="19" t="s">
        <v>0</v>
      </c>
      <c r="G1398" s="20" t="s">
        <v>453</v>
      </c>
      <c r="H1398" s="36">
        <v>84900</v>
      </c>
      <c r="I1398" s="36">
        <v>84900</v>
      </c>
      <c r="J1398" s="25">
        <v>352100</v>
      </c>
    </row>
    <row r="1399" spans="1:10" ht="16" x14ac:dyDescent="0.45">
      <c r="A1399" s="153" t="str">
        <f>B1399&amp;C1399&amp;E1399&amp;G1399</f>
        <v>매트리스시그니처파이어쉴드컴포트74M(4개월점검주기)</v>
      </c>
      <c r="B1399" s="17" t="s">
        <v>228</v>
      </c>
      <c r="C1399" s="18" t="s">
        <v>951</v>
      </c>
      <c r="D1399" s="19" t="s">
        <v>959</v>
      </c>
      <c r="E1399" s="19">
        <v>7</v>
      </c>
      <c r="F1399" s="19" t="s">
        <v>0</v>
      </c>
      <c r="G1399" s="20" t="s">
        <v>453</v>
      </c>
      <c r="H1399" s="36">
        <v>74900</v>
      </c>
      <c r="I1399" s="36">
        <v>74900</v>
      </c>
      <c r="J1399" s="25">
        <v>387300</v>
      </c>
    </row>
    <row r="1400" spans="1:10" ht="16" x14ac:dyDescent="0.45">
      <c r="A1400" s="153" t="str">
        <f>B1400&amp;C1400&amp;E1400&amp;G1400</f>
        <v>매트리스시그니처파이어쉴드컴포트94M(4개월점검주기)</v>
      </c>
      <c r="B1400" s="17" t="s">
        <v>228</v>
      </c>
      <c r="C1400" s="18" t="s">
        <v>951</v>
      </c>
      <c r="D1400" s="19" t="s">
        <v>959</v>
      </c>
      <c r="E1400" s="19">
        <v>9</v>
      </c>
      <c r="F1400" s="19" t="s">
        <v>0</v>
      </c>
      <c r="G1400" s="20" t="s">
        <v>453</v>
      </c>
      <c r="H1400" s="36">
        <v>68900</v>
      </c>
      <c r="I1400" s="36">
        <v>68900</v>
      </c>
      <c r="J1400" s="25">
        <v>387300</v>
      </c>
    </row>
    <row r="1401" spans="1:10" ht="16" x14ac:dyDescent="0.45">
      <c r="A1401" s="153" t="str">
        <f>B1401&amp;C1401&amp;E1401&amp;G1401</f>
        <v>매트리스시그니처파이어쉴드컴포트5베이직케어(4M)</v>
      </c>
      <c r="B1401" s="17" t="s">
        <v>228</v>
      </c>
      <c r="C1401" s="18" t="s">
        <v>951</v>
      </c>
      <c r="D1401" s="19" t="s">
        <v>959</v>
      </c>
      <c r="E1401" s="19">
        <v>5</v>
      </c>
      <c r="F1401" s="19" t="s">
        <v>0</v>
      </c>
      <c r="G1401" s="20" t="s">
        <v>608</v>
      </c>
      <c r="H1401" s="36">
        <v>78900</v>
      </c>
      <c r="I1401" s="36">
        <v>78900</v>
      </c>
      <c r="J1401" s="25">
        <v>340900</v>
      </c>
    </row>
    <row r="1402" spans="1:10" ht="16" x14ac:dyDescent="0.45">
      <c r="A1402" s="153" t="str">
        <f>B1402&amp;C1402&amp;E1402&amp;G1402</f>
        <v>매트리스시그니처파이어쉴드컴포트7베이직케어(4M)</v>
      </c>
      <c r="B1402" s="17" t="s">
        <v>228</v>
      </c>
      <c r="C1402" s="18" t="s">
        <v>951</v>
      </c>
      <c r="D1402" s="19" t="s">
        <v>959</v>
      </c>
      <c r="E1402" s="19">
        <v>7</v>
      </c>
      <c r="F1402" s="19" t="s">
        <v>0</v>
      </c>
      <c r="G1402" s="20" t="s">
        <v>608</v>
      </c>
      <c r="H1402" s="36">
        <v>68900</v>
      </c>
      <c r="I1402" s="36">
        <v>68900</v>
      </c>
      <c r="J1402" s="25">
        <v>375000</v>
      </c>
    </row>
    <row r="1403" spans="1:10" ht="16" x14ac:dyDescent="0.45">
      <c r="A1403" s="153" t="str">
        <f>B1403&amp;C1403&amp;E1403&amp;G1403</f>
        <v>매트리스시그니처파이어쉴드컴포트9베이직케어(4M)</v>
      </c>
      <c r="B1403" s="17" t="s">
        <v>228</v>
      </c>
      <c r="C1403" s="18" t="s">
        <v>951</v>
      </c>
      <c r="D1403" s="19" t="s">
        <v>959</v>
      </c>
      <c r="E1403" s="19">
        <v>9</v>
      </c>
      <c r="F1403" s="19" t="s">
        <v>0</v>
      </c>
      <c r="G1403" s="20" t="s">
        <v>608</v>
      </c>
      <c r="H1403" s="36">
        <v>62900</v>
      </c>
      <c r="I1403" s="36">
        <v>62900</v>
      </c>
      <c r="J1403" s="25">
        <v>375000</v>
      </c>
    </row>
    <row r="1404" spans="1:10" ht="16" x14ac:dyDescent="0.45">
      <c r="A1404" s="153" t="str">
        <f>B1404&amp;C1404&amp;E1404&amp;G1404</f>
        <v>매트리스시그니처파이어쉴드컴포트5서비스프리</v>
      </c>
      <c r="B1404" s="17" t="s">
        <v>228</v>
      </c>
      <c r="C1404" s="18" t="s">
        <v>951</v>
      </c>
      <c r="D1404" s="19" t="s">
        <v>959</v>
      </c>
      <c r="E1404" s="19">
        <v>5</v>
      </c>
      <c r="F1404" s="19" t="s">
        <v>0</v>
      </c>
      <c r="G1404" s="20" t="s">
        <v>183</v>
      </c>
      <c r="H1404" s="36">
        <v>76900</v>
      </c>
      <c r="I1404" s="36">
        <v>76900</v>
      </c>
      <c r="J1404" s="25">
        <v>340900</v>
      </c>
    </row>
    <row r="1405" spans="1:10" ht="16" x14ac:dyDescent="0.45">
      <c r="A1405" s="153" t="str">
        <f>B1405&amp;C1405&amp;E1405&amp;G1405</f>
        <v>매트리스시그니처파이어쉴드컴포트7서비스프리</v>
      </c>
      <c r="B1405" s="17" t="s">
        <v>228</v>
      </c>
      <c r="C1405" s="18" t="s">
        <v>951</v>
      </c>
      <c r="D1405" s="19" t="s">
        <v>959</v>
      </c>
      <c r="E1405" s="19">
        <v>7</v>
      </c>
      <c r="F1405" s="19" t="s">
        <v>0</v>
      </c>
      <c r="G1405" s="20" t="s">
        <v>183</v>
      </c>
      <c r="H1405" s="36">
        <v>66900</v>
      </c>
      <c r="I1405" s="36">
        <v>66900</v>
      </c>
      <c r="J1405" s="25">
        <v>375000</v>
      </c>
    </row>
    <row r="1406" spans="1:10" ht="16" x14ac:dyDescent="0.45">
      <c r="A1406" s="153" t="str">
        <f>B1406&amp;C1406&amp;E1406&amp;G1406</f>
        <v>매트리스시그니처파이어쉴드컴포트9서비스프리</v>
      </c>
      <c r="B1406" s="17" t="s">
        <v>228</v>
      </c>
      <c r="C1406" s="18" t="s">
        <v>951</v>
      </c>
      <c r="D1406" s="19" t="s">
        <v>959</v>
      </c>
      <c r="E1406" s="19">
        <v>9</v>
      </c>
      <c r="F1406" s="19" t="s">
        <v>0</v>
      </c>
      <c r="G1406" s="20" t="s">
        <v>183</v>
      </c>
      <c r="H1406" s="36">
        <v>60900</v>
      </c>
      <c r="I1406" s="36">
        <v>60900</v>
      </c>
      <c r="J1406" s="25">
        <v>375000</v>
      </c>
    </row>
    <row r="1407" spans="1:10" ht="16" x14ac:dyDescent="0.45">
      <c r="A1407" s="153" t="str">
        <f>B1407&amp;C1407&amp;E1407&amp;G1407</f>
        <v>매트리스시그니처파이어쉴드컴포트51회서비스</v>
      </c>
      <c r="B1407" s="17" t="s">
        <v>228</v>
      </c>
      <c r="C1407" s="18" t="s">
        <v>951</v>
      </c>
      <c r="D1407" s="19" t="s">
        <v>958</v>
      </c>
      <c r="E1407" s="19">
        <v>5</v>
      </c>
      <c r="F1407" s="19" t="s">
        <v>0</v>
      </c>
      <c r="G1407" s="20" t="s">
        <v>457</v>
      </c>
      <c r="H1407" s="36">
        <v>90900</v>
      </c>
      <c r="I1407" s="36">
        <v>90900</v>
      </c>
      <c r="J1407" s="25">
        <v>374600</v>
      </c>
    </row>
    <row r="1408" spans="1:10" ht="16" x14ac:dyDescent="0.45">
      <c r="A1408" s="153" t="str">
        <f>B1408&amp;C1408&amp;E1408&amp;G1408</f>
        <v>매트리스시그니처파이어쉴드컴포트71회서비스</v>
      </c>
      <c r="B1408" s="17" t="s">
        <v>228</v>
      </c>
      <c r="C1408" s="18" t="s">
        <v>951</v>
      </c>
      <c r="D1408" s="19" t="s">
        <v>958</v>
      </c>
      <c r="E1408" s="19">
        <v>7</v>
      </c>
      <c r="F1408" s="19" t="s">
        <v>0</v>
      </c>
      <c r="G1408" s="20" t="s">
        <v>457</v>
      </c>
      <c r="H1408" s="36">
        <v>80900</v>
      </c>
      <c r="I1408" s="36">
        <v>80900</v>
      </c>
      <c r="J1408" s="25">
        <v>412100</v>
      </c>
    </row>
    <row r="1409" spans="1:10" ht="16" x14ac:dyDescent="0.45">
      <c r="A1409" s="153" t="str">
        <f>B1409&amp;C1409&amp;E1409&amp;G1409</f>
        <v>매트리스시그니처파이어쉴드컴포트91회서비스</v>
      </c>
      <c r="B1409" s="17" t="s">
        <v>228</v>
      </c>
      <c r="C1409" s="18" t="s">
        <v>951</v>
      </c>
      <c r="D1409" s="19" t="s">
        <v>958</v>
      </c>
      <c r="E1409" s="19">
        <v>9</v>
      </c>
      <c r="F1409" s="19" t="s">
        <v>0</v>
      </c>
      <c r="G1409" s="20" t="s">
        <v>457</v>
      </c>
      <c r="H1409" s="36">
        <v>74900</v>
      </c>
      <c r="I1409" s="36">
        <v>74900</v>
      </c>
      <c r="J1409" s="25">
        <v>412100</v>
      </c>
    </row>
    <row r="1410" spans="1:10" ht="16" x14ac:dyDescent="0.45">
      <c r="A1410" s="153" t="str">
        <f>B1410&amp;C1410&amp;E1410&amp;G1410</f>
        <v>매트리스시그니처파이어쉴드컴포트54M(4개월점검주기)</v>
      </c>
      <c r="B1410" s="17" t="s">
        <v>228</v>
      </c>
      <c r="C1410" s="18" t="s">
        <v>951</v>
      </c>
      <c r="D1410" s="19" t="s">
        <v>958</v>
      </c>
      <c r="E1410" s="19">
        <v>5</v>
      </c>
      <c r="F1410" s="19" t="s">
        <v>0</v>
      </c>
      <c r="G1410" s="20" t="s">
        <v>453</v>
      </c>
      <c r="H1410" s="36">
        <v>92900</v>
      </c>
      <c r="I1410" s="36">
        <v>92900</v>
      </c>
      <c r="J1410" s="25">
        <v>374600</v>
      </c>
    </row>
    <row r="1411" spans="1:10" ht="16" x14ac:dyDescent="0.45">
      <c r="A1411" s="153" t="str">
        <f>B1411&amp;C1411&amp;E1411&amp;G1411</f>
        <v>매트리스시그니처파이어쉴드컴포트74M(4개월점검주기)</v>
      </c>
      <c r="B1411" s="17" t="s">
        <v>228</v>
      </c>
      <c r="C1411" s="18" t="s">
        <v>951</v>
      </c>
      <c r="D1411" s="19" t="s">
        <v>958</v>
      </c>
      <c r="E1411" s="19">
        <v>7</v>
      </c>
      <c r="F1411" s="19" t="s">
        <v>0</v>
      </c>
      <c r="G1411" s="20" t="s">
        <v>453</v>
      </c>
      <c r="H1411" s="36">
        <v>82900</v>
      </c>
      <c r="I1411" s="36">
        <v>82900</v>
      </c>
      <c r="J1411" s="25">
        <v>412100</v>
      </c>
    </row>
    <row r="1412" spans="1:10" ht="16" x14ac:dyDescent="0.45">
      <c r="A1412" s="153" t="str">
        <f>B1412&amp;C1412&amp;E1412&amp;G1412</f>
        <v>매트리스시그니처파이어쉴드컴포트94M(4개월점검주기)</v>
      </c>
      <c r="B1412" s="17" t="s">
        <v>228</v>
      </c>
      <c r="C1412" s="18" t="s">
        <v>951</v>
      </c>
      <c r="D1412" s="19" t="s">
        <v>958</v>
      </c>
      <c r="E1412" s="19">
        <v>9</v>
      </c>
      <c r="F1412" s="19" t="s">
        <v>0</v>
      </c>
      <c r="G1412" s="20" t="s">
        <v>453</v>
      </c>
      <c r="H1412" s="36">
        <v>76900</v>
      </c>
      <c r="I1412" s="36">
        <v>76900</v>
      </c>
      <c r="J1412" s="25">
        <v>412100</v>
      </c>
    </row>
    <row r="1413" spans="1:10" ht="16" x14ac:dyDescent="0.45">
      <c r="A1413" s="153" t="str">
        <f>B1413&amp;C1413&amp;E1413&amp;G1413</f>
        <v>매트리스시그니처파이어쉴드컴포트5베이직케어(4M)</v>
      </c>
      <c r="B1413" s="17" t="s">
        <v>228</v>
      </c>
      <c r="C1413" s="18" t="s">
        <v>951</v>
      </c>
      <c r="D1413" s="19" t="s">
        <v>958</v>
      </c>
      <c r="E1413" s="19">
        <v>5</v>
      </c>
      <c r="F1413" s="19" t="s">
        <v>0</v>
      </c>
      <c r="G1413" s="20" t="s">
        <v>608</v>
      </c>
      <c r="H1413" s="36">
        <v>86900</v>
      </c>
      <c r="I1413" s="36">
        <v>86900</v>
      </c>
      <c r="J1413" s="25">
        <v>363400</v>
      </c>
    </row>
    <row r="1414" spans="1:10" ht="16" x14ac:dyDescent="0.45">
      <c r="A1414" s="153" t="str">
        <f>B1414&amp;C1414&amp;E1414&amp;G1414</f>
        <v>매트리스시그니처파이어쉴드컴포트7베이직케어(4M)</v>
      </c>
      <c r="B1414" s="17" t="s">
        <v>228</v>
      </c>
      <c r="C1414" s="18" t="s">
        <v>951</v>
      </c>
      <c r="D1414" s="19" t="s">
        <v>958</v>
      </c>
      <c r="E1414" s="19">
        <v>7</v>
      </c>
      <c r="F1414" s="19" t="s">
        <v>0</v>
      </c>
      <c r="G1414" s="20" t="s">
        <v>608</v>
      </c>
      <c r="H1414" s="36">
        <v>76900</v>
      </c>
      <c r="I1414" s="36">
        <v>76900</v>
      </c>
      <c r="J1414" s="25">
        <v>399700</v>
      </c>
    </row>
    <row r="1415" spans="1:10" ht="16" x14ac:dyDescent="0.45">
      <c r="A1415" s="153" t="str">
        <f>B1415&amp;C1415&amp;E1415&amp;G1415</f>
        <v>매트리스시그니처파이어쉴드컴포트9베이직케어(4M)</v>
      </c>
      <c r="B1415" s="17" t="s">
        <v>228</v>
      </c>
      <c r="C1415" s="18" t="s">
        <v>951</v>
      </c>
      <c r="D1415" s="19" t="s">
        <v>958</v>
      </c>
      <c r="E1415" s="19">
        <v>9</v>
      </c>
      <c r="F1415" s="19" t="s">
        <v>0</v>
      </c>
      <c r="G1415" s="20" t="s">
        <v>608</v>
      </c>
      <c r="H1415" s="36">
        <v>70900</v>
      </c>
      <c r="I1415" s="36">
        <v>70900</v>
      </c>
      <c r="J1415" s="25">
        <v>399700</v>
      </c>
    </row>
    <row r="1416" spans="1:10" ht="16" x14ac:dyDescent="0.45">
      <c r="A1416" s="153" t="str">
        <f>B1416&amp;C1416&amp;E1416&amp;G1416</f>
        <v>매트리스시그니처파이어쉴드컴포트5서비스프리</v>
      </c>
      <c r="B1416" s="17" t="s">
        <v>228</v>
      </c>
      <c r="C1416" s="18" t="s">
        <v>951</v>
      </c>
      <c r="D1416" s="19" t="s">
        <v>958</v>
      </c>
      <c r="E1416" s="19">
        <v>5</v>
      </c>
      <c r="F1416" s="19" t="s">
        <v>0</v>
      </c>
      <c r="G1416" s="20" t="s">
        <v>183</v>
      </c>
      <c r="H1416" s="36">
        <v>84900</v>
      </c>
      <c r="I1416" s="36">
        <v>84900</v>
      </c>
      <c r="J1416" s="25">
        <v>352100</v>
      </c>
    </row>
    <row r="1417" spans="1:10" ht="16" x14ac:dyDescent="0.45">
      <c r="A1417" s="153" t="str">
        <f>B1417&amp;C1417&amp;E1417&amp;G1417</f>
        <v>매트리스시그니처파이어쉴드컴포트7서비스프리</v>
      </c>
      <c r="B1417" s="17" t="s">
        <v>228</v>
      </c>
      <c r="C1417" s="18" t="s">
        <v>951</v>
      </c>
      <c r="D1417" s="19" t="s">
        <v>958</v>
      </c>
      <c r="E1417" s="19">
        <v>7</v>
      </c>
      <c r="F1417" s="19" t="s">
        <v>0</v>
      </c>
      <c r="G1417" s="20" t="s">
        <v>183</v>
      </c>
      <c r="H1417" s="36">
        <v>74900</v>
      </c>
      <c r="I1417" s="36">
        <v>74900</v>
      </c>
      <c r="J1417" s="25">
        <v>387300</v>
      </c>
    </row>
    <row r="1418" spans="1:10" ht="16" x14ac:dyDescent="0.45">
      <c r="A1418" s="153" t="str">
        <f>B1418&amp;C1418&amp;E1418&amp;G1418</f>
        <v>매트리스시그니처파이어쉴드컴포트9서비스프리</v>
      </c>
      <c r="B1418" s="17" t="s">
        <v>228</v>
      </c>
      <c r="C1418" s="18" t="s">
        <v>951</v>
      </c>
      <c r="D1418" s="19" t="s">
        <v>958</v>
      </c>
      <c r="E1418" s="19">
        <v>9</v>
      </c>
      <c r="F1418" s="19" t="s">
        <v>0</v>
      </c>
      <c r="G1418" s="20" t="s">
        <v>183</v>
      </c>
      <c r="H1418" s="36">
        <v>68900</v>
      </c>
      <c r="I1418" s="36">
        <v>68900</v>
      </c>
      <c r="J1418" s="25">
        <v>387300</v>
      </c>
    </row>
    <row r="1419" spans="1:10" ht="16" x14ac:dyDescent="0.45">
      <c r="A1419" s="153" t="str">
        <f>B1419&amp;C1419&amp;E1419&amp;G1419</f>
        <v>매트리스시그니처파이어쉴드컴포트51회서비스</v>
      </c>
      <c r="B1419" s="17" t="s">
        <v>228</v>
      </c>
      <c r="C1419" s="18" t="s">
        <v>951</v>
      </c>
      <c r="D1419" s="19" t="s">
        <v>960</v>
      </c>
      <c r="E1419" s="19">
        <v>5</v>
      </c>
      <c r="F1419" s="19" t="s">
        <v>0</v>
      </c>
      <c r="G1419" s="20" t="s">
        <v>457</v>
      </c>
      <c r="H1419" s="36">
        <v>75900</v>
      </c>
      <c r="I1419" s="36">
        <v>75900</v>
      </c>
      <c r="J1419" s="25">
        <v>340900</v>
      </c>
    </row>
    <row r="1420" spans="1:10" ht="16" x14ac:dyDescent="0.45">
      <c r="A1420" s="153" t="str">
        <f>B1420&amp;C1420&amp;E1420&amp;G1420</f>
        <v>매트리스시그니처파이어쉴드컴포트71회서비스</v>
      </c>
      <c r="B1420" s="17" t="s">
        <v>228</v>
      </c>
      <c r="C1420" s="18" t="s">
        <v>951</v>
      </c>
      <c r="D1420" s="19" t="s">
        <v>960</v>
      </c>
      <c r="E1420" s="19">
        <v>7</v>
      </c>
      <c r="F1420" s="19" t="s">
        <v>0</v>
      </c>
      <c r="G1420" s="20" t="s">
        <v>457</v>
      </c>
      <c r="H1420" s="36">
        <v>65900</v>
      </c>
      <c r="I1420" s="36">
        <v>65900</v>
      </c>
      <c r="J1420" s="25">
        <v>375000</v>
      </c>
    </row>
    <row r="1421" spans="1:10" ht="16" x14ac:dyDescent="0.45">
      <c r="A1421" s="153" t="str">
        <f>B1421&amp;C1421&amp;E1421&amp;G1421</f>
        <v>매트리스시그니처파이어쉴드컴포트91회서비스</v>
      </c>
      <c r="B1421" s="17" t="s">
        <v>228</v>
      </c>
      <c r="C1421" s="18" t="s">
        <v>951</v>
      </c>
      <c r="D1421" s="19" t="s">
        <v>960</v>
      </c>
      <c r="E1421" s="19">
        <v>9</v>
      </c>
      <c r="F1421" s="19" t="s">
        <v>0</v>
      </c>
      <c r="G1421" s="20" t="s">
        <v>457</v>
      </c>
      <c r="H1421" s="36">
        <v>59900</v>
      </c>
      <c r="I1421" s="36">
        <v>59900</v>
      </c>
      <c r="J1421" s="25">
        <v>375000</v>
      </c>
    </row>
    <row r="1422" spans="1:10" ht="16" x14ac:dyDescent="0.45">
      <c r="A1422" s="153" t="str">
        <f>B1422&amp;C1422&amp;E1422&amp;G1422</f>
        <v>매트리스시그니처파이어쉴드컴포트54M(4개월점검주기)</v>
      </c>
      <c r="B1422" s="17" t="s">
        <v>228</v>
      </c>
      <c r="C1422" s="18" t="s">
        <v>951</v>
      </c>
      <c r="D1422" s="19" t="s">
        <v>960</v>
      </c>
      <c r="E1422" s="19">
        <v>5</v>
      </c>
      <c r="F1422" s="19" t="s">
        <v>0</v>
      </c>
      <c r="G1422" s="20" t="s">
        <v>453</v>
      </c>
      <c r="H1422" s="36">
        <v>77900</v>
      </c>
      <c r="I1422" s="36">
        <v>77900</v>
      </c>
      <c r="J1422" s="25">
        <v>340900</v>
      </c>
    </row>
    <row r="1423" spans="1:10" ht="16" x14ac:dyDescent="0.45">
      <c r="A1423" s="153" t="str">
        <f>B1423&amp;C1423&amp;E1423&amp;G1423</f>
        <v>매트리스시그니처파이어쉴드컴포트74M(4개월점검주기)</v>
      </c>
      <c r="B1423" s="17" t="s">
        <v>228</v>
      </c>
      <c r="C1423" s="18" t="s">
        <v>951</v>
      </c>
      <c r="D1423" s="19" t="s">
        <v>960</v>
      </c>
      <c r="E1423" s="19">
        <v>7</v>
      </c>
      <c r="F1423" s="19" t="s">
        <v>0</v>
      </c>
      <c r="G1423" s="20" t="s">
        <v>453</v>
      </c>
      <c r="H1423" s="36">
        <v>67900</v>
      </c>
      <c r="I1423" s="36">
        <v>67900</v>
      </c>
      <c r="J1423" s="25">
        <v>375000</v>
      </c>
    </row>
    <row r="1424" spans="1:10" ht="16" x14ac:dyDescent="0.45">
      <c r="A1424" s="153" t="str">
        <f>B1424&amp;C1424&amp;E1424&amp;G1424</f>
        <v>매트리스시그니처파이어쉴드컴포트94M(4개월점검주기)</v>
      </c>
      <c r="B1424" s="17" t="s">
        <v>228</v>
      </c>
      <c r="C1424" s="18" t="s">
        <v>951</v>
      </c>
      <c r="D1424" s="19" t="s">
        <v>960</v>
      </c>
      <c r="E1424" s="19">
        <v>9</v>
      </c>
      <c r="F1424" s="19" t="s">
        <v>0</v>
      </c>
      <c r="G1424" s="20" t="s">
        <v>453</v>
      </c>
      <c r="H1424" s="36">
        <v>61900</v>
      </c>
      <c r="I1424" s="36">
        <v>61900</v>
      </c>
      <c r="J1424" s="25">
        <v>375000</v>
      </c>
    </row>
    <row r="1425" spans="1:10" ht="16" x14ac:dyDescent="0.45">
      <c r="A1425" s="153" t="str">
        <f>B1425&amp;C1425&amp;E1425&amp;G1425</f>
        <v>매트리스시그니처파이어쉴드컴포트5베이직케어(4M)</v>
      </c>
      <c r="B1425" s="17" t="s">
        <v>228</v>
      </c>
      <c r="C1425" s="18" t="s">
        <v>951</v>
      </c>
      <c r="D1425" s="19" t="s">
        <v>960</v>
      </c>
      <c r="E1425" s="19">
        <v>5</v>
      </c>
      <c r="F1425" s="19" t="s">
        <v>0</v>
      </c>
      <c r="G1425" s="20" t="s">
        <v>608</v>
      </c>
      <c r="H1425" s="36">
        <v>71900</v>
      </c>
      <c r="I1425" s="36">
        <v>71900</v>
      </c>
      <c r="J1425" s="25">
        <v>329600</v>
      </c>
    </row>
    <row r="1426" spans="1:10" ht="16" x14ac:dyDescent="0.45">
      <c r="A1426" s="153" t="str">
        <f>B1426&amp;C1426&amp;E1426&amp;G1426</f>
        <v>매트리스시그니처파이어쉴드컴포트7베이직케어(4M)</v>
      </c>
      <c r="B1426" s="17" t="s">
        <v>228</v>
      </c>
      <c r="C1426" s="18" t="s">
        <v>951</v>
      </c>
      <c r="D1426" s="19" t="s">
        <v>960</v>
      </c>
      <c r="E1426" s="19">
        <v>7</v>
      </c>
      <c r="F1426" s="19" t="s">
        <v>0</v>
      </c>
      <c r="G1426" s="20" t="s">
        <v>608</v>
      </c>
      <c r="H1426" s="36">
        <v>61900</v>
      </c>
      <c r="I1426" s="36">
        <v>61900</v>
      </c>
      <c r="J1426" s="25">
        <v>362600</v>
      </c>
    </row>
    <row r="1427" spans="1:10" ht="16" x14ac:dyDescent="0.45">
      <c r="A1427" s="153" t="str">
        <f>B1427&amp;C1427&amp;E1427&amp;G1427</f>
        <v>매트리스시그니처파이어쉴드컴포트9베이직케어(4M)</v>
      </c>
      <c r="B1427" s="17" t="s">
        <v>228</v>
      </c>
      <c r="C1427" s="18" t="s">
        <v>951</v>
      </c>
      <c r="D1427" s="19" t="s">
        <v>960</v>
      </c>
      <c r="E1427" s="19">
        <v>9</v>
      </c>
      <c r="F1427" s="19" t="s">
        <v>0</v>
      </c>
      <c r="G1427" s="20" t="s">
        <v>608</v>
      </c>
      <c r="H1427" s="36">
        <v>55900</v>
      </c>
      <c r="I1427" s="36">
        <v>55900</v>
      </c>
      <c r="J1427" s="25">
        <v>362600</v>
      </c>
    </row>
    <row r="1428" spans="1:10" ht="16" x14ac:dyDescent="0.45">
      <c r="A1428" s="153" t="str">
        <f>B1428&amp;C1428&amp;E1428&amp;G1428</f>
        <v>매트리스시그니처파이어쉴드컴포트5서비스프리</v>
      </c>
      <c r="B1428" s="17" t="s">
        <v>228</v>
      </c>
      <c r="C1428" s="18" t="s">
        <v>951</v>
      </c>
      <c r="D1428" s="19" t="s">
        <v>960</v>
      </c>
      <c r="E1428" s="19">
        <v>5</v>
      </c>
      <c r="F1428" s="19" t="s">
        <v>0</v>
      </c>
      <c r="G1428" s="20" t="s">
        <v>183</v>
      </c>
      <c r="H1428" s="36">
        <v>69900</v>
      </c>
      <c r="I1428" s="36">
        <v>69900</v>
      </c>
      <c r="J1428" s="25">
        <v>318400</v>
      </c>
    </row>
    <row r="1429" spans="1:10" ht="16" x14ac:dyDescent="0.45">
      <c r="A1429" s="153" t="str">
        <f>B1429&amp;C1429&amp;E1429&amp;G1429</f>
        <v>매트리스시그니처파이어쉴드컴포트7서비스프리</v>
      </c>
      <c r="B1429" s="17" t="s">
        <v>228</v>
      </c>
      <c r="C1429" s="18" t="s">
        <v>951</v>
      </c>
      <c r="D1429" s="19" t="s">
        <v>960</v>
      </c>
      <c r="E1429" s="19">
        <v>7</v>
      </c>
      <c r="F1429" s="19" t="s">
        <v>0</v>
      </c>
      <c r="G1429" s="20" t="s">
        <v>183</v>
      </c>
      <c r="H1429" s="36">
        <v>59900</v>
      </c>
      <c r="I1429" s="36">
        <v>59900</v>
      </c>
      <c r="J1429" s="25">
        <v>350200</v>
      </c>
    </row>
    <row r="1430" spans="1:10" ht="16" x14ac:dyDescent="0.45">
      <c r="A1430" s="153" t="str">
        <f>B1430&amp;C1430&amp;E1430&amp;G1430</f>
        <v>매트리스시그니처파이어쉴드컴포트9서비스프리</v>
      </c>
      <c r="B1430" s="17" t="s">
        <v>228</v>
      </c>
      <c r="C1430" s="18" t="s">
        <v>951</v>
      </c>
      <c r="D1430" s="19" t="s">
        <v>960</v>
      </c>
      <c r="E1430" s="19">
        <v>9</v>
      </c>
      <c r="F1430" s="19" t="s">
        <v>0</v>
      </c>
      <c r="G1430" s="20" t="s">
        <v>183</v>
      </c>
      <c r="H1430" s="36">
        <v>53900</v>
      </c>
      <c r="I1430" s="36">
        <v>53900</v>
      </c>
      <c r="J1430" s="25">
        <v>350200</v>
      </c>
    </row>
    <row r="1431" spans="1:10" ht="16" x14ac:dyDescent="0.45">
      <c r="A1431" s="153" t="str">
        <f>B1431&amp;C1431&amp;E1431&amp;G1431</f>
        <v>매트리스시그니처파이어쉴드컴포트51회서비스</v>
      </c>
      <c r="B1431" s="17" t="s">
        <v>228</v>
      </c>
      <c r="C1431" s="18" t="s">
        <v>951</v>
      </c>
      <c r="D1431" s="19" t="s">
        <v>961</v>
      </c>
      <c r="E1431" s="19">
        <v>5</v>
      </c>
      <c r="F1431" s="19" t="s">
        <v>0</v>
      </c>
      <c r="G1431" s="20" t="s">
        <v>457</v>
      </c>
      <c r="H1431" s="36">
        <v>68900</v>
      </c>
      <c r="I1431" s="36">
        <v>68900</v>
      </c>
      <c r="J1431" s="25">
        <v>318400</v>
      </c>
    </row>
    <row r="1432" spans="1:10" ht="16" x14ac:dyDescent="0.45">
      <c r="A1432" s="153" t="str">
        <f>B1432&amp;C1432&amp;E1432&amp;G1432</f>
        <v>매트리스시그니처파이어쉴드컴포트71회서비스</v>
      </c>
      <c r="B1432" s="17" t="s">
        <v>228</v>
      </c>
      <c r="C1432" s="18" t="s">
        <v>951</v>
      </c>
      <c r="D1432" s="19" t="s">
        <v>961</v>
      </c>
      <c r="E1432" s="19">
        <v>7</v>
      </c>
      <c r="F1432" s="19" t="s">
        <v>0</v>
      </c>
      <c r="G1432" s="20" t="s">
        <v>457</v>
      </c>
      <c r="H1432" s="36">
        <v>58900</v>
      </c>
      <c r="I1432" s="36">
        <v>58900</v>
      </c>
      <c r="J1432" s="25">
        <v>350200</v>
      </c>
    </row>
    <row r="1433" spans="1:10" ht="16" x14ac:dyDescent="0.45">
      <c r="A1433" s="153" t="str">
        <f>B1433&amp;C1433&amp;E1433&amp;G1433</f>
        <v>매트리스시그니처파이어쉴드컴포트91회서비스</v>
      </c>
      <c r="B1433" s="17" t="s">
        <v>228</v>
      </c>
      <c r="C1433" s="18" t="s">
        <v>951</v>
      </c>
      <c r="D1433" s="19" t="s">
        <v>961</v>
      </c>
      <c r="E1433" s="19">
        <v>9</v>
      </c>
      <c r="F1433" s="19" t="s">
        <v>0</v>
      </c>
      <c r="G1433" s="20" t="s">
        <v>457</v>
      </c>
      <c r="H1433" s="36">
        <v>52900</v>
      </c>
      <c r="I1433" s="36">
        <v>52900</v>
      </c>
      <c r="J1433" s="25">
        <v>350200</v>
      </c>
    </row>
    <row r="1434" spans="1:10" ht="16" x14ac:dyDescent="0.45">
      <c r="A1434" s="153" t="str">
        <f>B1434&amp;C1434&amp;E1434&amp;G1434</f>
        <v>매트리스시그니처파이어쉴드컴포트54M(4개월점검주기)</v>
      </c>
      <c r="B1434" s="17" t="s">
        <v>228</v>
      </c>
      <c r="C1434" s="18" t="s">
        <v>951</v>
      </c>
      <c r="D1434" s="19" t="s">
        <v>961</v>
      </c>
      <c r="E1434" s="19">
        <v>5</v>
      </c>
      <c r="F1434" s="19" t="s">
        <v>0</v>
      </c>
      <c r="G1434" s="20" t="s">
        <v>453</v>
      </c>
      <c r="H1434" s="36">
        <v>70900</v>
      </c>
      <c r="I1434" s="36">
        <v>70900</v>
      </c>
      <c r="J1434" s="25">
        <v>329600</v>
      </c>
    </row>
    <row r="1435" spans="1:10" ht="16" x14ac:dyDescent="0.45">
      <c r="A1435" s="153" t="str">
        <f>B1435&amp;C1435&amp;E1435&amp;G1435</f>
        <v>매트리스시그니처파이어쉴드컴포트74M(4개월점검주기)</v>
      </c>
      <c r="B1435" s="17" t="s">
        <v>228</v>
      </c>
      <c r="C1435" s="18" t="s">
        <v>951</v>
      </c>
      <c r="D1435" s="19" t="s">
        <v>961</v>
      </c>
      <c r="E1435" s="19">
        <v>7</v>
      </c>
      <c r="F1435" s="19" t="s">
        <v>0</v>
      </c>
      <c r="G1435" s="20" t="s">
        <v>453</v>
      </c>
      <c r="H1435" s="36">
        <v>60900</v>
      </c>
      <c r="I1435" s="36">
        <v>60900</v>
      </c>
      <c r="J1435" s="25">
        <v>362600</v>
      </c>
    </row>
    <row r="1436" spans="1:10" ht="16" x14ac:dyDescent="0.45">
      <c r="A1436" s="153" t="str">
        <f>B1436&amp;C1436&amp;E1436&amp;G1436</f>
        <v>매트리스시그니처파이어쉴드컴포트94M(4개월점검주기)</v>
      </c>
      <c r="B1436" s="17" t="s">
        <v>228</v>
      </c>
      <c r="C1436" s="18" t="s">
        <v>951</v>
      </c>
      <c r="D1436" s="19" t="s">
        <v>961</v>
      </c>
      <c r="E1436" s="19">
        <v>9</v>
      </c>
      <c r="F1436" s="19" t="s">
        <v>0</v>
      </c>
      <c r="G1436" s="20" t="s">
        <v>453</v>
      </c>
      <c r="H1436" s="36">
        <v>54900</v>
      </c>
      <c r="I1436" s="36">
        <v>54900</v>
      </c>
      <c r="J1436" s="25">
        <v>362600</v>
      </c>
    </row>
    <row r="1437" spans="1:10" ht="16" x14ac:dyDescent="0.45">
      <c r="A1437" s="153" t="str">
        <f>B1437&amp;C1437&amp;E1437&amp;G1437</f>
        <v>매트리스시그니처파이어쉴드컴포트5베이직케어(4M)</v>
      </c>
      <c r="B1437" s="17" t="s">
        <v>228</v>
      </c>
      <c r="C1437" s="18" t="s">
        <v>951</v>
      </c>
      <c r="D1437" s="19" t="s">
        <v>961</v>
      </c>
      <c r="E1437" s="19">
        <v>5</v>
      </c>
      <c r="F1437" s="19" t="s">
        <v>0</v>
      </c>
      <c r="G1437" s="20" t="s">
        <v>608</v>
      </c>
      <c r="H1437" s="36">
        <v>64900</v>
      </c>
      <c r="I1437" s="36">
        <v>64900</v>
      </c>
      <c r="J1437" s="25">
        <v>307200</v>
      </c>
    </row>
    <row r="1438" spans="1:10" ht="16" x14ac:dyDescent="0.45">
      <c r="A1438" s="153" t="str">
        <f>B1438&amp;C1438&amp;E1438&amp;G1438</f>
        <v>매트리스시그니처파이어쉴드컴포트7베이직케어(4M)</v>
      </c>
      <c r="B1438" s="17" t="s">
        <v>228</v>
      </c>
      <c r="C1438" s="18" t="s">
        <v>951</v>
      </c>
      <c r="D1438" s="19" t="s">
        <v>961</v>
      </c>
      <c r="E1438" s="19">
        <v>7</v>
      </c>
      <c r="F1438" s="19" t="s">
        <v>0</v>
      </c>
      <c r="G1438" s="20" t="s">
        <v>608</v>
      </c>
      <c r="H1438" s="36">
        <v>54900</v>
      </c>
      <c r="I1438" s="36">
        <v>54900</v>
      </c>
      <c r="J1438" s="25">
        <v>337900</v>
      </c>
    </row>
    <row r="1439" spans="1:10" ht="16" x14ac:dyDescent="0.45">
      <c r="A1439" s="153" t="str">
        <f>B1439&amp;C1439&amp;E1439&amp;G1439</f>
        <v>매트리스시그니처파이어쉴드컴포트9베이직케어(4M)</v>
      </c>
      <c r="B1439" s="17" t="s">
        <v>228</v>
      </c>
      <c r="C1439" s="18" t="s">
        <v>951</v>
      </c>
      <c r="D1439" s="19" t="s">
        <v>961</v>
      </c>
      <c r="E1439" s="19">
        <v>9</v>
      </c>
      <c r="F1439" s="19" t="s">
        <v>0</v>
      </c>
      <c r="G1439" s="20" t="s">
        <v>608</v>
      </c>
      <c r="H1439" s="36">
        <v>48900</v>
      </c>
      <c r="I1439" s="36">
        <v>48900</v>
      </c>
      <c r="J1439" s="25">
        <v>337900</v>
      </c>
    </row>
    <row r="1440" spans="1:10" ht="16" x14ac:dyDescent="0.45">
      <c r="A1440" s="153" t="str">
        <f>B1440&amp;C1440&amp;E1440&amp;G1440</f>
        <v>매트리스시그니처파이어쉴드컴포트5서비스프리</v>
      </c>
      <c r="B1440" s="17" t="s">
        <v>228</v>
      </c>
      <c r="C1440" s="18" t="s">
        <v>951</v>
      </c>
      <c r="D1440" s="19" t="s">
        <v>961</v>
      </c>
      <c r="E1440" s="19">
        <v>5</v>
      </c>
      <c r="F1440" s="19" t="s">
        <v>0</v>
      </c>
      <c r="G1440" s="20" t="s">
        <v>183</v>
      </c>
      <c r="H1440" s="36">
        <v>62900</v>
      </c>
      <c r="I1440" s="36">
        <v>62900</v>
      </c>
      <c r="J1440" s="25">
        <v>307200</v>
      </c>
    </row>
    <row r="1441" spans="1:10" ht="16" x14ac:dyDescent="0.45">
      <c r="A1441" s="153" t="str">
        <f>B1441&amp;C1441&amp;E1441&amp;G1441</f>
        <v>매트리스시그니처파이어쉴드컴포트7서비스프리</v>
      </c>
      <c r="B1441" s="17" t="s">
        <v>228</v>
      </c>
      <c r="C1441" s="18" t="s">
        <v>951</v>
      </c>
      <c r="D1441" s="19" t="s">
        <v>961</v>
      </c>
      <c r="E1441" s="19">
        <v>7</v>
      </c>
      <c r="F1441" s="19" t="s">
        <v>0</v>
      </c>
      <c r="G1441" s="20" t="s">
        <v>183</v>
      </c>
      <c r="H1441" s="36">
        <v>52900</v>
      </c>
      <c r="I1441" s="36">
        <v>52900</v>
      </c>
      <c r="J1441" s="25">
        <v>337900</v>
      </c>
    </row>
    <row r="1442" spans="1:10" ht="16" x14ac:dyDescent="0.45">
      <c r="A1442" s="153" t="str">
        <f>B1442&amp;C1442&amp;E1442&amp;G1442</f>
        <v>매트리스시그니처파이어쉴드컴포트9서비스프리</v>
      </c>
      <c r="B1442" s="17" t="s">
        <v>228</v>
      </c>
      <c r="C1442" s="18" t="s">
        <v>951</v>
      </c>
      <c r="D1442" s="19" t="s">
        <v>961</v>
      </c>
      <c r="E1442" s="19">
        <v>9</v>
      </c>
      <c r="F1442" s="19" t="s">
        <v>0</v>
      </c>
      <c r="G1442" s="20" t="s">
        <v>183</v>
      </c>
      <c r="H1442" s="36">
        <v>46900</v>
      </c>
      <c r="I1442" s="36">
        <v>46900</v>
      </c>
      <c r="J1442" s="25">
        <v>337900</v>
      </c>
    </row>
    <row r="1443" spans="1:10" ht="16" x14ac:dyDescent="0.45">
      <c r="A1443" s="153" t="str">
        <f>B1443&amp;C1443&amp;E1443&amp;G1443</f>
        <v>매트리스엘리트51회서비스</v>
      </c>
      <c r="B1443" s="17" t="s">
        <v>228</v>
      </c>
      <c r="C1443" s="18" t="s">
        <v>497</v>
      </c>
      <c r="D1443" s="19" t="s">
        <v>845</v>
      </c>
      <c r="E1443" s="19">
        <v>5</v>
      </c>
      <c r="F1443" s="19" t="s">
        <v>0</v>
      </c>
      <c r="G1443" s="20" t="s">
        <v>457</v>
      </c>
      <c r="H1443" s="36">
        <v>32900</v>
      </c>
      <c r="I1443" s="36">
        <v>32900</v>
      </c>
      <c r="J1443" s="25">
        <v>219800</v>
      </c>
    </row>
    <row r="1444" spans="1:10" ht="16" x14ac:dyDescent="0.45">
      <c r="A1444" s="153" t="str">
        <f>B1444&amp;C1444&amp;E1444&amp;G1444</f>
        <v>매트리스엘리트71회서비스</v>
      </c>
      <c r="B1444" s="17" t="s">
        <v>228</v>
      </c>
      <c r="C1444" s="18" t="s">
        <v>497</v>
      </c>
      <c r="D1444" s="19" t="s">
        <v>274</v>
      </c>
      <c r="E1444" s="19">
        <v>7</v>
      </c>
      <c r="F1444" s="19" t="s">
        <v>0</v>
      </c>
      <c r="G1444" s="20" t="s">
        <v>457</v>
      </c>
      <c r="H1444" s="36">
        <v>24900</v>
      </c>
      <c r="I1444" s="36">
        <v>24900</v>
      </c>
      <c r="J1444" s="25">
        <v>241800</v>
      </c>
    </row>
    <row r="1445" spans="1:10" ht="16" x14ac:dyDescent="0.45">
      <c r="A1445" s="153" t="str">
        <f>B1445&amp;C1445&amp;E1445&amp;G1445</f>
        <v>매트리스엘리트91회서비스</v>
      </c>
      <c r="B1445" s="17" t="s">
        <v>228</v>
      </c>
      <c r="C1445" s="18" t="s">
        <v>497</v>
      </c>
      <c r="D1445" s="19" t="s">
        <v>274</v>
      </c>
      <c r="E1445" s="19">
        <v>9</v>
      </c>
      <c r="F1445" s="19" t="s">
        <v>0</v>
      </c>
      <c r="G1445" s="20" t="s">
        <v>457</v>
      </c>
      <c r="H1445" s="36">
        <v>20900</v>
      </c>
      <c r="I1445" s="36">
        <v>20900</v>
      </c>
      <c r="J1445" s="25">
        <v>241800</v>
      </c>
    </row>
    <row r="1446" spans="1:10" ht="16" x14ac:dyDescent="0.45">
      <c r="A1446" s="153" t="str">
        <f>B1446&amp;C1446&amp;E1446&amp;G1446</f>
        <v>매트리스엘리트54M(4개월점검주기)</v>
      </c>
      <c r="B1446" s="17" t="s">
        <v>228</v>
      </c>
      <c r="C1446" s="18" t="s">
        <v>497</v>
      </c>
      <c r="D1446" s="19" t="s">
        <v>274</v>
      </c>
      <c r="E1446" s="19">
        <v>5</v>
      </c>
      <c r="F1446" s="19" t="s">
        <v>0</v>
      </c>
      <c r="G1446" s="20" t="s">
        <v>453</v>
      </c>
      <c r="H1446" s="36">
        <v>34900</v>
      </c>
      <c r="I1446" s="36">
        <v>34900</v>
      </c>
      <c r="J1446" s="25">
        <v>231100</v>
      </c>
    </row>
    <row r="1447" spans="1:10" ht="16" x14ac:dyDescent="0.45">
      <c r="A1447" s="153" t="str">
        <f>B1447&amp;C1447&amp;E1447&amp;G1447</f>
        <v>매트리스엘리트64M(4개월점검주기)</v>
      </c>
      <c r="B1447" s="17" t="s">
        <v>228</v>
      </c>
      <c r="C1447" s="18" t="s">
        <v>497</v>
      </c>
      <c r="D1447" s="19" t="s">
        <v>274</v>
      </c>
      <c r="E1447" s="19">
        <v>6</v>
      </c>
      <c r="F1447" s="19" t="s">
        <v>0</v>
      </c>
      <c r="G1447" s="20" t="s">
        <v>453</v>
      </c>
      <c r="H1447" s="36">
        <v>29900</v>
      </c>
      <c r="I1447" s="36">
        <v>29900</v>
      </c>
      <c r="J1447" s="25">
        <v>231100</v>
      </c>
    </row>
    <row r="1448" spans="1:10" ht="16" x14ac:dyDescent="0.45">
      <c r="A1448" s="153" t="str">
        <f>B1448&amp;C1448&amp;E1448&amp;G1448</f>
        <v>매트리스엘리트74M(4개월점검주기)</v>
      </c>
      <c r="B1448" s="17" t="s">
        <v>228</v>
      </c>
      <c r="C1448" s="18" t="s">
        <v>497</v>
      </c>
      <c r="D1448" s="19" t="s">
        <v>274</v>
      </c>
      <c r="E1448" s="19">
        <v>7</v>
      </c>
      <c r="F1448" s="19" t="s">
        <v>0</v>
      </c>
      <c r="G1448" s="20" t="s">
        <v>453</v>
      </c>
      <c r="H1448" s="36">
        <v>26900</v>
      </c>
      <c r="I1448" s="36">
        <v>26900</v>
      </c>
      <c r="J1448" s="25">
        <v>254200</v>
      </c>
    </row>
    <row r="1449" spans="1:10" ht="16" x14ac:dyDescent="0.45">
      <c r="A1449" s="153" t="str">
        <f>B1449&amp;C1449&amp;E1449&amp;G1449</f>
        <v>매트리스엘리트94M(4개월점검주기)</v>
      </c>
      <c r="B1449" s="17" t="s">
        <v>228</v>
      </c>
      <c r="C1449" s="18" t="s">
        <v>497</v>
      </c>
      <c r="D1449" s="19" t="s">
        <v>274</v>
      </c>
      <c r="E1449" s="19">
        <v>9</v>
      </c>
      <c r="F1449" s="19" t="s">
        <v>0</v>
      </c>
      <c r="G1449" s="20" t="s">
        <v>453</v>
      </c>
      <c r="H1449" s="36">
        <v>22900</v>
      </c>
      <c r="I1449" s="36">
        <v>22900</v>
      </c>
      <c r="J1449" s="25">
        <v>254200</v>
      </c>
    </row>
    <row r="1450" spans="1:10" ht="16" x14ac:dyDescent="0.45">
      <c r="A1450" s="153" t="str">
        <f>B1450&amp;C1450&amp;E1450&amp;G1450</f>
        <v>매트리스엘리트5베이직케어(4M)</v>
      </c>
      <c r="B1450" s="17" t="s">
        <v>228</v>
      </c>
      <c r="C1450" s="18" t="s">
        <v>497</v>
      </c>
      <c r="D1450" s="19" t="s">
        <v>274</v>
      </c>
      <c r="E1450" s="19">
        <v>5</v>
      </c>
      <c r="F1450" s="19" t="s">
        <v>0</v>
      </c>
      <c r="G1450" s="20" t="s">
        <v>608</v>
      </c>
      <c r="H1450" s="36">
        <v>33900</v>
      </c>
      <c r="I1450" s="36">
        <v>33900</v>
      </c>
      <c r="J1450" s="25">
        <v>231100</v>
      </c>
    </row>
    <row r="1451" spans="1:10" ht="16" x14ac:dyDescent="0.45">
      <c r="A1451" s="153" t="str">
        <f>B1451&amp;C1451&amp;E1451&amp;G1451</f>
        <v>매트리스엘리트7베이직케어(4M)</v>
      </c>
      <c r="B1451" s="17" t="s">
        <v>228</v>
      </c>
      <c r="C1451" s="18" t="s">
        <v>497</v>
      </c>
      <c r="D1451" s="19" t="s">
        <v>274</v>
      </c>
      <c r="E1451" s="19">
        <v>7</v>
      </c>
      <c r="F1451" s="19" t="s">
        <v>0</v>
      </c>
      <c r="G1451" s="20" t="s">
        <v>608</v>
      </c>
      <c r="H1451" s="36">
        <v>25900</v>
      </c>
      <c r="I1451" s="36">
        <v>25900</v>
      </c>
      <c r="J1451" s="25">
        <v>254200</v>
      </c>
    </row>
    <row r="1452" spans="1:10" ht="16" x14ac:dyDescent="0.45">
      <c r="A1452" s="153" t="str">
        <f>B1452&amp;C1452&amp;E1452&amp;G1452</f>
        <v>매트리스엘리트9베이직케어(4M)</v>
      </c>
      <c r="B1452" s="17" t="s">
        <v>228</v>
      </c>
      <c r="C1452" s="18" t="s">
        <v>497</v>
      </c>
      <c r="D1452" s="19" t="s">
        <v>274</v>
      </c>
      <c r="E1452" s="19">
        <v>9</v>
      </c>
      <c r="F1452" s="19" t="s">
        <v>0</v>
      </c>
      <c r="G1452" s="20" t="s">
        <v>608</v>
      </c>
      <c r="H1452" s="36">
        <v>21900</v>
      </c>
      <c r="I1452" s="36">
        <v>21900</v>
      </c>
      <c r="J1452" s="25">
        <v>254200</v>
      </c>
    </row>
    <row r="1453" spans="1:10" ht="16" x14ac:dyDescent="0.45">
      <c r="A1453" s="153" t="str">
        <f>B1453&amp;C1453&amp;E1453&amp;G1453</f>
        <v>매트리스엘리트5서비스프리</v>
      </c>
      <c r="B1453" s="17" t="s">
        <v>228</v>
      </c>
      <c r="C1453" s="18" t="s">
        <v>497</v>
      </c>
      <c r="D1453" s="19" t="s">
        <v>274</v>
      </c>
      <c r="E1453" s="19">
        <v>5</v>
      </c>
      <c r="F1453" s="19" t="s">
        <v>0</v>
      </c>
      <c r="G1453" s="20" t="s">
        <v>183</v>
      </c>
      <c r="H1453" s="36">
        <v>31900</v>
      </c>
      <c r="I1453" s="36">
        <v>31900</v>
      </c>
      <c r="J1453" s="25">
        <v>219800</v>
      </c>
    </row>
    <row r="1454" spans="1:10" ht="16" x14ac:dyDescent="0.45">
      <c r="A1454" s="153" t="str">
        <f>B1454&amp;C1454&amp;E1454&amp;G1454</f>
        <v>매트리스엘리트7서비스프리</v>
      </c>
      <c r="B1454" s="17" t="s">
        <v>228</v>
      </c>
      <c r="C1454" s="18" t="s">
        <v>497</v>
      </c>
      <c r="D1454" s="19" t="s">
        <v>274</v>
      </c>
      <c r="E1454" s="19">
        <v>7</v>
      </c>
      <c r="F1454" s="19" t="s">
        <v>0</v>
      </c>
      <c r="G1454" s="20" t="s">
        <v>183</v>
      </c>
      <c r="H1454" s="36">
        <v>23900</v>
      </c>
      <c r="I1454" s="36">
        <v>23900</v>
      </c>
      <c r="J1454" s="25">
        <v>241800</v>
      </c>
    </row>
    <row r="1455" spans="1:10" ht="16" x14ac:dyDescent="0.45">
      <c r="A1455" s="153" t="str">
        <f>B1455&amp;C1455&amp;E1455&amp;G1455</f>
        <v>매트리스엘리트9서비스프리</v>
      </c>
      <c r="B1455" s="17" t="s">
        <v>228</v>
      </c>
      <c r="C1455" s="18" t="s">
        <v>497</v>
      </c>
      <c r="D1455" s="19" t="s">
        <v>274</v>
      </c>
      <c r="E1455" s="19">
        <v>9</v>
      </c>
      <c r="F1455" s="19" t="s">
        <v>0</v>
      </c>
      <c r="G1455" s="20" t="s">
        <v>183</v>
      </c>
      <c r="H1455" s="36">
        <v>19900</v>
      </c>
      <c r="I1455" s="36">
        <v>19900</v>
      </c>
      <c r="J1455" s="25">
        <v>241800</v>
      </c>
    </row>
    <row r="1456" spans="1:10" ht="16" x14ac:dyDescent="0.45">
      <c r="A1456" s="153" t="str">
        <f>B1456&amp;C1456&amp;E1456&amp;G1456</f>
        <v>매트리스엘리트51회서비스</v>
      </c>
      <c r="B1456" s="17" t="s">
        <v>228</v>
      </c>
      <c r="C1456" s="18" t="s">
        <v>497</v>
      </c>
      <c r="D1456" s="19" t="s">
        <v>275</v>
      </c>
      <c r="E1456" s="19">
        <v>5</v>
      </c>
      <c r="F1456" s="19" t="s">
        <v>0</v>
      </c>
      <c r="G1456" s="20" t="s">
        <v>457</v>
      </c>
      <c r="H1456" s="36">
        <v>27900</v>
      </c>
      <c r="I1456" s="36">
        <v>27900</v>
      </c>
      <c r="J1456" s="25">
        <v>208600</v>
      </c>
    </row>
    <row r="1457" spans="1:10" ht="16" x14ac:dyDescent="0.45">
      <c r="A1457" s="153" t="str">
        <f>B1457&amp;C1457&amp;E1457&amp;G1457</f>
        <v>매트리스엘리트71회서비스</v>
      </c>
      <c r="B1457" s="17" t="s">
        <v>228</v>
      </c>
      <c r="C1457" s="18" t="s">
        <v>497</v>
      </c>
      <c r="D1457" s="19" t="s">
        <v>275</v>
      </c>
      <c r="E1457" s="19">
        <v>7</v>
      </c>
      <c r="F1457" s="19" t="s">
        <v>0</v>
      </c>
      <c r="G1457" s="20" t="s">
        <v>457</v>
      </c>
      <c r="H1457" s="36">
        <v>20900</v>
      </c>
      <c r="I1457" s="36">
        <v>20900</v>
      </c>
      <c r="J1457" s="25">
        <v>229500</v>
      </c>
    </row>
    <row r="1458" spans="1:10" ht="16" x14ac:dyDescent="0.45">
      <c r="A1458" s="153" t="str">
        <f>B1458&amp;C1458&amp;E1458&amp;G1458</f>
        <v>매트리스엘리트91회서비스</v>
      </c>
      <c r="B1458" s="17" t="s">
        <v>228</v>
      </c>
      <c r="C1458" s="18" t="s">
        <v>497</v>
      </c>
      <c r="D1458" s="19" t="s">
        <v>275</v>
      </c>
      <c r="E1458" s="19">
        <v>9</v>
      </c>
      <c r="F1458" s="19" t="s">
        <v>0</v>
      </c>
      <c r="G1458" s="20" t="s">
        <v>457</v>
      </c>
      <c r="H1458" s="36">
        <v>16900</v>
      </c>
      <c r="I1458" s="36">
        <v>16900</v>
      </c>
      <c r="J1458" s="25">
        <v>229500</v>
      </c>
    </row>
    <row r="1459" spans="1:10" ht="16" x14ac:dyDescent="0.45">
      <c r="A1459" s="153" t="str">
        <f>B1459&amp;C1459&amp;E1459&amp;G1459</f>
        <v>매트리스엘리트54M(4개월점검주기)</v>
      </c>
      <c r="B1459" s="17" t="s">
        <v>228</v>
      </c>
      <c r="C1459" s="18" t="s">
        <v>497</v>
      </c>
      <c r="D1459" s="19" t="s">
        <v>275</v>
      </c>
      <c r="E1459" s="19">
        <v>5</v>
      </c>
      <c r="F1459" s="19" t="s">
        <v>0</v>
      </c>
      <c r="G1459" s="20" t="s">
        <v>453</v>
      </c>
      <c r="H1459" s="36">
        <v>29900</v>
      </c>
      <c r="I1459" s="36">
        <v>29900</v>
      </c>
      <c r="J1459" s="25">
        <v>208600</v>
      </c>
    </row>
    <row r="1460" spans="1:10" ht="16" x14ac:dyDescent="0.45">
      <c r="A1460" s="153" t="str">
        <f>B1460&amp;C1460&amp;E1460&amp;G1460</f>
        <v>매트리스엘리트64M(4개월점검주기)</v>
      </c>
      <c r="B1460" s="17" t="s">
        <v>228</v>
      </c>
      <c r="C1460" s="18" t="s">
        <v>497</v>
      </c>
      <c r="D1460" s="19" t="s">
        <v>275</v>
      </c>
      <c r="E1460" s="19">
        <v>6</v>
      </c>
      <c r="F1460" s="19" t="s">
        <v>0</v>
      </c>
      <c r="G1460" s="20" t="s">
        <v>453</v>
      </c>
      <c r="H1460" s="36">
        <v>25900</v>
      </c>
      <c r="I1460" s="36">
        <v>25900</v>
      </c>
      <c r="J1460" s="25">
        <v>208600</v>
      </c>
    </row>
    <row r="1461" spans="1:10" ht="16" x14ac:dyDescent="0.45">
      <c r="A1461" s="153" t="str">
        <f>B1461&amp;C1461&amp;E1461&amp;G1461</f>
        <v>매트리스엘리트74M(4개월점검주기)</v>
      </c>
      <c r="B1461" s="17" t="s">
        <v>228</v>
      </c>
      <c r="C1461" s="18" t="s">
        <v>497</v>
      </c>
      <c r="D1461" s="19" t="s">
        <v>275</v>
      </c>
      <c r="E1461" s="19">
        <v>7</v>
      </c>
      <c r="F1461" s="19" t="s">
        <v>0</v>
      </c>
      <c r="G1461" s="20" t="s">
        <v>453</v>
      </c>
      <c r="H1461" s="36">
        <v>22900</v>
      </c>
      <c r="I1461" s="36">
        <v>22900</v>
      </c>
      <c r="J1461" s="25">
        <v>229500</v>
      </c>
    </row>
    <row r="1462" spans="1:10" ht="16" x14ac:dyDescent="0.45">
      <c r="A1462" s="153" t="str">
        <f>B1462&amp;C1462&amp;E1462&amp;G1462</f>
        <v>매트리스엘리트94M(4개월점검주기)</v>
      </c>
      <c r="B1462" s="17" t="s">
        <v>228</v>
      </c>
      <c r="C1462" s="18" t="s">
        <v>497</v>
      </c>
      <c r="D1462" s="19" t="s">
        <v>275</v>
      </c>
      <c r="E1462" s="19">
        <v>9</v>
      </c>
      <c r="F1462" s="19" t="s">
        <v>0</v>
      </c>
      <c r="G1462" s="20" t="s">
        <v>453</v>
      </c>
      <c r="H1462" s="36">
        <v>18900</v>
      </c>
      <c r="I1462" s="36">
        <v>18900</v>
      </c>
      <c r="J1462" s="25">
        <v>229500</v>
      </c>
    </row>
    <row r="1463" spans="1:10" ht="16" x14ac:dyDescent="0.45">
      <c r="A1463" s="153" t="str">
        <f>B1463&amp;C1463&amp;E1463&amp;G1463</f>
        <v>매트리스엘리트5베이직케어(4M)</v>
      </c>
      <c r="B1463" s="17" t="s">
        <v>228</v>
      </c>
      <c r="C1463" s="18" t="s">
        <v>497</v>
      </c>
      <c r="D1463" s="19" t="s">
        <v>275</v>
      </c>
      <c r="E1463" s="19">
        <v>5</v>
      </c>
      <c r="F1463" s="19" t="s">
        <v>0</v>
      </c>
      <c r="G1463" s="20" t="s">
        <v>608</v>
      </c>
      <c r="H1463" s="36">
        <v>28900</v>
      </c>
      <c r="I1463" s="36">
        <v>28900</v>
      </c>
      <c r="J1463" s="25">
        <v>208600</v>
      </c>
    </row>
    <row r="1464" spans="1:10" ht="16" x14ac:dyDescent="0.45">
      <c r="A1464" s="153" t="str">
        <f>B1464&amp;C1464&amp;E1464&amp;G1464</f>
        <v>매트리스엘리트7베이직케어(4M)</v>
      </c>
      <c r="B1464" s="17" t="s">
        <v>228</v>
      </c>
      <c r="C1464" s="18" t="s">
        <v>497</v>
      </c>
      <c r="D1464" s="19" t="s">
        <v>275</v>
      </c>
      <c r="E1464" s="19">
        <v>7</v>
      </c>
      <c r="F1464" s="19" t="s">
        <v>0</v>
      </c>
      <c r="G1464" s="20" t="s">
        <v>608</v>
      </c>
      <c r="H1464" s="36">
        <v>21900</v>
      </c>
      <c r="I1464" s="36">
        <v>21900</v>
      </c>
      <c r="J1464" s="25">
        <v>229500</v>
      </c>
    </row>
    <row r="1465" spans="1:10" ht="16" x14ac:dyDescent="0.45">
      <c r="A1465" s="153" t="str">
        <f>B1465&amp;C1465&amp;E1465&amp;G1465</f>
        <v>매트리스엘리트9베이직케어(4M)</v>
      </c>
      <c r="B1465" s="17" t="s">
        <v>228</v>
      </c>
      <c r="C1465" s="18" t="s">
        <v>497</v>
      </c>
      <c r="D1465" s="19" t="s">
        <v>275</v>
      </c>
      <c r="E1465" s="19">
        <v>9</v>
      </c>
      <c r="F1465" s="19" t="s">
        <v>0</v>
      </c>
      <c r="G1465" s="20" t="s">
        <v>608</v>
      </c>
      <c r="H1465" s="36">
        <v>17900</v>
      </c>
      <c r="I1465" s="36">
        <v>17900</v>
      </c>
      <c r="J1465" s="25">
        <v>229500</v>
      </c>
    </row>
    <row r="1466" spans="1:10" ht="16" x14ac:dyDescent="0.45">
      <c r="A1466" s="153" t="str">
        <f>B1466&amp;C1466&amp;E1466&amp;G1466</f>
        <v>매트리스엘리트5서비스프리</v>
      </c>
      <c r="B1466" s="17" t="s">
        <v>228</v>
      </c>
      <c r="C1466" s="18" t="s">
        <v>497</v>
      </c>
      <c r="D1466" s="19" t="s">
        <v>275</v>
      </c>
      <c r="E1466" s="19">
        <v>5</v>
      </c>
      <c r="F1466" s="19" t="s">
        <v>0</v>
      </c>
      <c r="G1466" s="20" t="s">
        <v>183</v>
      </c>
      <c r="H1466" s="36">
        <v>26900</v>
      </c>
      <c r="I1466" s="36">
        <v>26900</v>
      </c>
      <c r="J1466" s="25">
        <v>197400</v>
      </c>
    </row>
    <row r="1467" spans="1:10" ht="16" x14ac:dyDescent="0.45">
      <c r="A1467" s="153" t="str">
        <f>B1467&amp;C1467&amp;E1467&amp;G1467</f>
        <v>매트리스엘리트7서비스프리</v>
      </c>
      <c r="B1467" s="17" t="s">
        <v>228</v>
      </c>
      <c r="C1467" s="18" t="s">
        <v>497</v>
      </c>
      <c r="D1467" s="19" t="s">
        <v>275</v>
      </c>
      <c r="E1467" s="19">
        <v>7</v>
      </c>
      <c r="F1467" s="19" t="s">
        <v>0</v>
      </c>
      <c r="G1467" s="20" t="s">
        <v>183</v>
      </c>
      <c r="H1467" s="36">
        <v>19900</v>
      </c>
      <c r="I1467" s="36">
        <v>19900</v>
      </c>
      <c r="J1467" s="25">
        <v>217100</v>
      </c>
    </row>
    <row r="1468" spans="1:10" ht="16" x14ac:dyDescent="0.45">
      <c r="A1468" s="153" t="str">
        <f>B1468&amp;C1468&amp;E1468&amp;G1468</f>
        <v>매트리스엘리트9서비스프리</v>
      </c>
      <c r="B1468" s="17" t="s">
        <v>228</v>
      </c>
      <c r="C1468" s="18" t="s">
        <v>497</v>
      </c>
      <c r="D1468" s="19" t="s">
        <v>275</v>
      </c>
      <c r="E1468" s="19">
        <v>9</v>
      </c>
      <c r="F1468" s="19" t="s">
        <v>0</v>
      </c>
      <c r="G1468" s="20" t="s">
        <v>183</v>
      </c>
      <c r="H1468" s="36">
        <v>15900</v>
      </c>
      <c r="I1468" s="36">
        <v>15900</v>
      </c>
      <c r="J1468" s="25">
        <v>217100</v>
      </c>
    </row>
    <row r="1469" spans="1:10" ht="16" x14ac:dyDescent="0.45">
      <c r="A1469" s="153" t="str">
        <f>B1469&amp;C1469&amp;E1469&amp;G1469</f>
        <v>매트리스엘리트51회서비스</v>
      </c>
      <c r="B1469" s="17" t="s">
        <v>228</v>
      </c>
      <c r="C1469" s="18" t="s">
        <v>497</v>
      </c>
      <c r="D1469" s="19" t="s">
        <v>276</v>
      </c>
      <c r="E1469" s="19">
        <v>5</v>
      </c>
      <c r="F1469" s="19" t="s">
        <v>0</v>
      </c>
      <c r="G1469" s="20" t="s">
        <v>457</v>
      </c>
      <c r="H1469" s="36">
        <v>23900</v>
      </c>
      <c r="I1469" s="36">
        <v>23900</v>
      </c>
      <c r="J1469" s="25">
        <v>197400</v>
      </c>
    </row>
    <row r="1470" spans="1:10" ht="16" x14ac:dyDescent="0.45">
      <c r="A1470" s="153" t="str">
        <f>B1470&amp;C1470&amp;E1470&amp;G1470</f>
        <v>매트리스엘리트71회서비스</v>
      </c>
      <c r="B1470" s="17" t="s">
        <v>228</v>
      </c>
      <c r="C1470" s="18" t="s">
        <v>497</v>
      </c>
      <c r="D1470" s="19" t="s">
        <v>276</v>
      </c>
      <c r="E1470" s="19">
        <v>7</v>
      </c>
      <c r="F1470" s="19" t="s">
        <v>0</v>
      </c>
      <c r="G1470" s="20" t="s">
        <v>457</v>
      </c>
      <c r="H1470" s="36">
        <v>18900</v>
      </c>
      <c r="I1470" s="36">
        <v>18900</v>
      </c>
      <c r="J1470" s="25">
        <v>217100</v>
      </c>
    </row>
    <row r="1471" spans="1:10" ht="16" x14ac:dyDescent="0.45">
      <c r="A1471" s="153" t="str">
        <f>B1471&amp;C1471&amp;E1471&amp;G1471</f>
        <v>매트리스엘리트91회서비스</v>
      </c>
      <c r="B1471" s="17" t="s">
        <v>228</v>
      </c>
      <c r="C1471" s="18" t="s">
        <v>497</v>
      </c>
      <c r="D1471" s="19" t="s">
        <v>276</v>
      </c>
      <c r="E1471" s="19">
        <v>9</v>
      </c>
      <c r="F1471" s="19" t="s">
        <v>0</v>
      </c>
      <c r="G1471" s="20" t="s">
        <v>457</v>
      </c>
      <c r="H1471" s="36">
        <v>15900</v>
      </c>
      <c r="I1471" s="36">
        <v>15900</v>
      </c>
      <c r="J1471" s="25">
        <v>217100</v>
      </c>
    </row>
    <row r="1472" spans="1:10" ht="16" x14ac:dyDescent="0.45">
      <c r="A1472" s="153" t="str">
        <f>B1472&amp;C1472&amp;E1472&amp;G1472</f>
        <v>매트리스엘리트54M(4개월점검주기)</v>
      </c>
      <c r="B1472" s="17" t="s">
        <v>228</v>
      </c>
      <c r="C1472" s="18" t="s">
        <v>497</v>
      </c>
      <c r="D1472" s="19" t="s">
        <v>276</v>
      </c>
      <c r="E1472" s="19">
        <v>5</v>
      </c>
      <c r="F1472" s="19" t="s">
        <v>0</v>
      </c>
      <c r="G1472" s="20" t="s">
        <v>453</v>
      </c>
      <c r="H1472" s="36">
        <v>25900</v>
      </c>
      <c r="I1472" s="36">
        <v>25900</v>
      </c>
      <c r="J1472" s="25">
        <v>208600</v>
      </c>
    </row>
    <row r="1473" spans="1:10" ht="16" x14ac:dyDescent="0.45">
      <c r="A1473" s="153" t="str">
        <f>B1473&amp;C1473&amp;E1473&amp;G1473</f>
        <v>매트리스엘리트64M(4개월점검주기)</v>
      </c>
      <c r="B1473" s="17" t="s">
        <v>228</v>
      </c>
      <c r="C1473" s="18" t="s">
        <v>497</v>
      </c>
      <c r="D1473" s="19" t="s">
        <v>276</v>
      </c>
      <c r="E1473" s="19">
        <v>6</v>
      </c>
      <c r="F1473" s="19" t="s">
        <v>0</v>
      </c>
      <c r="G1473" s="20" t="s">
        <v>453</v>
      </c>
      <c r="H1473" s="36">
        <v>22900</v>
      </c>
      <c r="I1473" s="36">
        <v>22900</v>
      </c>
      <c r="J1473" s="25">
        <v>208600</v>
      </c>
    </row>
    <row r="1474" spans="1:10" ht="16" x14ac:dyDescent="0.45">
      <c r="A1474" s="153" t="str">
        <f>B1474&amp;C1474&amp;E1474&amp;G1474</f>
        <v>매트리스엘리트74M(4개월점검주기)</v>
      </c>
      <c r="B1474" s="17" t="s">
        <v>228</v>
      </c>
      <c r="C1474" s="18" t="s">
        <v>497</v>
      </c>
      <c r="D1474" s="19" t="s">
        <v>276</v>
      </c>
      <c r="E1474" s="19">
        <v>7</v>
      </c>
      <c r="F1474" s="19" t="s">
        <v>0</v>
      </c>
      <c r="G1474" s="20" t="s">
        <v>453</v>
      </c>
      <c r="H1474" s="36">
        <v>20900</v>
      </c>
      <c r="I1474" s="36">
        <v>20900</v>
      </c>
      <c r="J1474" s="25">
        <v>229500</v>
      </c>
    </row>
    <row r="1475" spans="1:10" ht="16" x14ac:dyDescent="0.45">
      <c r="A1475" s="153" t="str">
        <f>B1475&amp;C1475&amp;E1475&amp;G1475</f>
        <v>매트리스엘리트94M(4개월점검주기)</v>
      </c>
      <c r="B1475" s="17" t="s">
        <v>228</v>
      </c>
      <c r="C1475" s="18" t="s">
        <v>497</v>
      </c>
      <c r="D1475" s="19" t="s">
        <v>276</v>
      </c>
      <c r="E1475" s="19">
        <v>9</v>
      </c>
      <c r="F1475" s="19" t="s">
        <v>0</v>
      </c>
      <c r="G1475" s="20" t="s">
        <v>453</v>
      </c>
      <c r="H1475" s="36">
        <v>17900</v>
      </c>
      <c r="I1475" s="36">
        <v>17900</v>
      </c>
      <c r="J1475" s="25">
        <v>229500</v>
      </c>
    </row>
    <row r="1476" spans="1:10" ht="16" x14ac:dyDescent="0.45">
      <c r="A1476" s="153" t="str">
        <f>B1476&amp;C1476&amp;E1476&amp;G1476</f>
        <v>매트리스엘리트5베이직케어(4M)</v>
      </c>
      <c r="B1476" s="17" t="s">
        <v>228</v>
      </c>
      <c r="C1476" s="18" t="s">
        <v>497</v>
      </c>
      <c r="D1476" s="19" t="s">
        <v>276</v>
      </c>
      <c r="E1476" s="19">
        <v>5</v>
      </c>
      <c r="F1476" s="19" t="s">
        <v>0</v>
      </c>
      <c r="G1476" s="20" t="s">
        <v>608</v>
      </c>
      <c r="H1476" s="36">
        <v>24900</v>
      </c>
      <c r="I1476" s="36">
        <v>24900</v>
      </c>
      <c r="J1476" s="25">
        <v>197400</v>
      </c>
    </row>
    <row r="1477" spans="1:10" ht="16" x14ac:dyDescent="0.45">
      <c r="A1477" s="153" t="str">
        <f>B1477&amp;C1477&amp;E1477&amp;G1477</f>
        <v>매트리스엘리트7베이직케어(4M)</v>
      </c>
      <c r="B1477" s="17" t="s">
        <v>228</v>
      </c>
      <c r="C1477" s="18" t="s">
        <v>497</v>
      </c>
      <c r="D1477" s="19" t="s">
        <v>276</v>
      </c>
      <c r="E1477" s="19">
        <v>7</v>
      </c>
      <c r="F1477" s="19" t="s">
        <v>0</v>
      </c>
      <c r="G1477" s="20" t="s">
        <v>608</v>
      </c>
      <c r="H1477" s="36">
        <v>19900</v>
      </c>
      <c r="I1477" s="36">
        <v>19900</v>
      </c>
      <c r="J1477" s="25">
        <v>217100</v>
      </c>
    </row>
    <row r="1478" spans="1:10" ht="16" x14ac:dyDescent="0.45">
      <c r="A1478" s="153" t="str">
        <f>B1478&amp;C1478&amp;E1478&amp;G1478</f>
        <v>매트리스엘리트9베이직케어(4M)</v>
      </c>
      <c r="B1478" s="17" t="s">
        <v>228</v>
      </c>
      <c r="C1478" s="18" t="s">
        <v>497</v>
      </c>
      <c r="D1478" s="19" t="s">
        <v>276</v>
      </c>
      <c r="E1478" s="19">
        <v>9</v>
      </c>
      <c r="F1478" s="19" t="s">
        <v>0</v>
      </c>
      <c r="G1478" s="20" t="s">
        <v>608</v>
      </c>
      <c r="H1478" s="36">
        <v>16900</v>
      </c>
      <c r="I1478" s="36">
        <v>16900</v>
      </c>
      <c r="J1478" s="25">
        <v>217100</v>
      </c>
    </row>
    <row r="1479" spans="1:10" ht="16" x14ac:dyDescent="0.45">
      <c r="A1479" s="153" t="str">
        <f>B1479&amp;C1479&amp;E1479&amp;G1479</f>
        <v>매트리스엘리트5서비스프리</v>
      </c>
      <c r="B1479" s="17" t="s">
        <v>228</v>
      </c>
      <c r="C1479" s="18" t="s">
        <v>497</v>
      </c>
      <c r="D1479" s="19" t="s">
        <v>276</v>
      </c>
      <c r="E1479" s="19">
        <v>5</v>
      </c>
      <c r="F1479" s="19" t="s">
        <v>0</v>
      </c>
      <c r="G1479" s="20" t="s">
        <v>183</v>
      </c>
      <c r="H1479" s="36">
        <v>22900</v>
      </c>
      <c r="I1479" s="36">
        <v>22900</v>
      </c>
      <c r="J1479" s="25">
        <v>197400</v>
      </c>
    </row>
    <row r="1480" spans="1:10" ht="16" x14ac:dyDescent="0.45">
      <c r="A1480" s="153" t="str">
        <f>B1480&amp;C1480&amp;E1480&amp;G1480</f>
        <v>매트리스엘리트7서비스프리</v>
      </c>
      <c r="B1480" s="17" t="s">
        <v>228</v>
      </c>
      <c r="C1480" s="18" t="s">
        <v>497</v>
      </c>
      <c r="D1480" s="19" t="s">
        <v>276</v>
      </c>
      <c r="E1480" s="19">
        <v>7</v>
      </c>
      <c r="F1480" s="19" t="s">
        <v>0</v>
      </c>
      <c r="G1480" s="20" t="s">
        <v>183</v>
      </c>
      <c r="H1480" s="36">
        <v>17900</v>
      </c>
      <c r="I1480" s="36">
        <v>17900</v>
      </c>
      <c r="J1480" s="25">
        <v>217100</v>
      </c>
    </row>
    <row r="1481" spans="1:10" ht="16" x14ac:dyDescent="0.45">
      <c r="A1481" s="153" t="str">
        <f>B1481&amp;C1481&amp;E1481&amp;G1481</f>
        <v>매트리스엘리트9서비스프리</v>
      </c>
      <c r="B1481" s="17" t="s">
        <v>228</v>
      </c>
      <c r="C1481" s="18" t="s">
        <v>497</v>
      </c>
      <c r="D1481" s="19" t="s">
        <v>276</v>
      </c>
      <c r="E1481" s="19">
        <v>9</v>
      </c>
      <c r="F1481" s="19" t="s">
        <v>0</v>
      </c>
      <c r="G1481" s="20" t="s">
        <v>183</v>
      </c>
      <c r="H1481" s="36">
        <v>14900</v>
      </c>
      <c r="I1481" s="36">
        <v>14900</v>
      </c>
      <c r="J1481" s="25">
        <v>217100</v>
      </c>
    </row>
    <row r="1482" spans="1:10" ht="16" x14ac:dyDescent="0.45">
      <c r="A1482" s="153" t="str">
        <f>B1482&amp;C1482&amp;E1482&amp;G1482</f>
        <v>매트리스원바디271회서비스</v>
      </c>
      <c r="B1482" s="17" t="s">
        <v>228</v>
      </c>
      <c r="C1482" s="18" t="s">
        <v>498</v>
      </c>
      <c r="D1482" s="19" t="s">
        <v>656</v>
      </c>
      <c r="E1482" s="19">
        <v>7</v>
      </c>
      <c r="F1482" s="19" t="s">
        <v>0</v>
      </c>
      <c r="G1482" s="20" t="s">
        <v>457</v>
      </c>
      <c r="H1482" s="36">
        <v>26900</v>
      </c>
      <c r="I1482" s="36">
        <v>26900</v>
      </c>
      <c r="J1482" s="25">
        <v>254200</v>
      </c>
    </row>
    <row r="1483" spans="1:10" ht="16" x14ac:dyDescent="0.45">
      <c r="A1483" s="153" t="str">
        <f>B1483&amp;C1483&amp;E1483&amp;G1483</f>
        <v>매트리스원바디291회서비스</v>
      </c>
      <c r="B1483" s="17" t="s">
        <v>228</v>
      </c>
      <c r="C1483" s="18" t="s">
        <v>498</v>
      </c>
      <c r="D1483" s="19" t="s">
        <v>656</v>
      </c>
      <c r="E1483" s="19">
        <v>9</v>
      </c>
      <c r="F1483" s="19" t="s">
        <v>0</v>
      </c>
      <c r="G1483" s="20" t="s">
        <v>457</v>
      </c>
      <c r="H1483" s="36">
        <v>23900</v>
      </c>
      <c r="I1483" s="36">
        <v>23900</v>
      </c>
      <c r="J1483" s="25">
        <v>254200</v>
      </c>
    </row>
    <row r="1484" spans="1:10" ht="16" x14ac:dyDescent="0.45">
      <c r="A1484" s="153" t="str">
        <f>B1484&amp;C1484&amp;E1484&amp;G1484</f>
        <v>매트리스원바디264M(4개월점검주기)</v>
      </c>
      <c r="B1484" s="17" t="s">
        <v>228</v>
      </c>
      <c r="C1484" s="18" t="s">
        <v>498</v>
      </c>
      <c r="D1484" s="19" t="s">
        <v>656</v>
      </c>
      <c r="E1484" s="19">
        <v>6</v>
      </c>
      <c r="F1484" s="19" t="s">
        <v>0</v>
      </c>
      <c r="G1484" s="20" t="s">
        <v>453</v>
      </c>
      <c r="H1484" s="36">
        <v>35900</v>
      </c>
      <c r="I1484" s="36">
        <v>35900</v>
      </c>
      <c r="J1484" s="25">
        <v>251000</v>
      </c>
    </row>
    <row r="1485" spans="1:10" ht="16" x14ac:dyDescent="0.45">
      <c r="A1485" s="153" t="str">
        <f>B1485&amp;C1485&amp;E1485&amp;G1485</f>
        <v>매트리스원바디274M(4개월점검주기)</v>
      </c>
      <c r="B1485" s="17" t="s">
        <v>228</v>
      </c>
      <c r="C1485" s="18" t="s">
        <v>498</v>
      </c>
      <c r="D1485" s="19" t="s">
        <v>656</v>
      </c>
      <c r="E1485" s="19">
        <v>7</v>
      </c>
      <c r="F1485" s="19" t="s">
        <v>0</v>
      </c>
      <c r="G1485" s="20" t="s">
        <v>453</v>
      </c>
      <c r="H1485" s="36">
        <v>32900</v>
      </c>
      <c r="I1485" s="36">
        <v>32900</v>
      </c>
      <c r="J1485" s="25">
        <v>276100</v>
      </c>
    </row>
    <row r="1486" spans="1:10" ht="16" x14ac:dyDescent="0.45">
      <c r="A1486" s="153" t="str">
        <f>B1486&amp;C1486&amp;E1486&amp;G1486</f>
        <v>매트리스원바디294M(4개월점검주기)</v>
      </c>
      <c r="B1486" s="17" t="s">
        <v>228</v>
      </c>
      <c r="C1486" s="18" t="s">
        <v>498</v>
      </c>
      <c r="D1486" s="19" t="s">
        <v>656</v>
      </c>
      <c r="E1486" s="19">
        <v>9</v>
      </c>
      <c r="F1486" s="19" t="s">
        <v>0</v>
      </c>
      <c r="G1486" s="20" t="s">
        <v>453</v>
      </c>
      <c r="H1486" s="36">
        <v>28900</v>
      </c>
      <c r="I1486" s="36">
        <v>28900</v>
      </c>
      <c r="J1486" s="25">
        <v>276100</v>
      </c>
    </row>
    <row r="1487" spans="1:10" ht="16" x14ac:dyDescent="0.45">
      <c r="A1487" s="153" t="str">
        <f>B1487&amp;C1487&amp;E1487&amp;G1487</f>
        <v>매트리스원바디236M(6개월점검주기)</v>
      </c>
      <c r="B1487" s="17" t="s">
        <v>228</v>
      </c>
      <c r="C1487" s="18" t="s">
        <v>498</v>
      </c>
      <c r="D1487" s="19" t="s">
        <v>656</v>
      </c>
      <c r="E1487" s="19">
        <v>3</v>
      </c>
      <c r="F1487" s="19" t="s">
        <v>0</v>
      </c>
      <c r="G1487" s="20" t="s">
        <v>454</v>
      </c>
      <c r="H1487" s="36">
        <v>47900</v>
      </c>
      <c r="I1487" s="36">
        <v>47900</v>
      </c>
      <c r="J1487" s="25">
        <v>251000</v>
      </c>
    </row>
    <row r="1488" spans="1:10" ht="16" x14ac:dyDescent="0.45">
      <c r="A1488" s="153" t="str">
        <f>B1488&amp;C1488&amp;E1488&amp;G1488</f>
        <v>매트리스원바디27베이직케어(4M)</v>
      </c>
      <c r="B1488" s="17" t="s">
        <v>228</v>
      </c>
      <c r="C1488" s="18" t="s">
        <v>498</v>
      </c>
      <c r="D1488" s="19" t="s">
        <v>656</v>
      </c>
      <c r="E1488" s="19">
        <v>7</v>
      </c>
      <c r="F1488" s="19" t="s">
        <v>0</v>
      </c>
      <c r="G1488" s="20" t="s">
        <v>608</v>
      </c>
      <c r="H1488" s="36">
        <v>31900</v>
      </c>
      <c r="I1488" s="36">
        <v>31900</v>
      </c>
      <c r="J1488" s="25">
        <v>276100</v>
      </c>
    </row>
    <row r="1489" spans="1:10" ht="16" x14ac:dyDescent="0.45">
      <c r="A1489" s="153" t="str">
        <f>B1489&amp;C1489&amp;E1489&amp;G1489</f>
        <v>매트리스원바디29베이직케어(4M)</v>
      </c>
      <c r="B1489" s="17" t="s">
        <v>228</v>
      </c>
      <c r="C1489" s="18" t="s">
        <v>498</v>
      </c>
      <c r="D1489" s="19" t="s">
        <v>656</v>
      </c>
      <c r="E1489" s="19">
        <v>9</v>
      </c>
      <c r="F1489" s="19" t="s">
        <v>0</v>
      </c>
      <c r="G1489" s="20" t="s">
        <v>608</v>
      </c>
      <c r="H1489" s="36">
        <v>27900</v>
      </c>
      <c r="I1489" s="36">
        <v>27900</v>
      </c>
      <c r="J1489" s="25">
        <v>276100</v>
      </c>
    </row>
    <row r="1490" spans="1:10" ht="16" x14ac:dyDescent="0.45">
      <c r="A1490" s="153" t="str">
        <f>B1490&amp;C1490&amp;E1490&amp;G1490</f>
        <v>매트리스원바디23베이직케어(6M)</v>
      </c>
      <c r="B1490" s="17" t="s">
        <v>228</v>
      </c>
      <c r="C1490" s="18" t="s">
        <v>498</v>
      </c>
      <c r="D1490" s="19" t="s">
        <v>656</v>
      </c>
      <c r="E1490" s="19">
        <v>3</v>
      </c>
      <c r="F1490" s="19" t="s">
        <v>0</v>
      </c>
      <c r="G1490" s="20" t="s">
        <v>609</v>
      </c>
      <c r="H1490" s="36">
        <v>47900</v>
      </c>
      <c r="I1490" s="36">
        <v>47900</v>
      </c>
      <c r="J1490" s="25">
        <v>276100</v>
      </c>
    </row>
    <row r="1491" spans="1:10" ht="16" x14ac:dyDescent="0.45">
      <c r="A1491" s="153" t="str">
        <f>B1491&amp;C1491&amp;E1491&amp;G1491</f>
        <v>매트리스원바디27서비스프리</v>
      </c>
      <c r="B1491" s="17" t="s">
        <v>228</v>
      </c>
      <c r="C1491" s="18" t="s">
        <v>498</v>
      </c>
      <c r="D1491" s="19" t="s">
        <v>656</v>
      </c>
      <c r="E1491" s="19">
        <v>7</v>
      </c>
      <c r="F1491" s="19" t="s">
        <v>0</v>
      </c>
      <c r="G1491" s="20" t="s">
        <v>183</v>
      </c>
      <c r="H1491" s="36">
        <v>25900</v>
      </c>
      <c r="I1491" s="36">
        <v>25900</v>
      </c>
      <c r="J1491" s="25">
        <v>254200</v>
      </c>
    </row>
    <row r="1492" spans="1:10" ht="16" x14ac:dyDescent="0.45">
      <c r="A1492" s="153" t="str">
        <f>B1492&amp;C1492&amp;E1492&amp;G1492</f>
        <v>매트리스원바디29서비스프리</v>
      </c>
      <c r="B1492" s="17" t="s">
        <v>228</v>
      </c>
      <c r="C1492" s="18" t="s">
        <v>498</v>
      </c>
      <c r="D1492" s="19" t="s">
        <v>656</v>
      </c>
      <c r="E1492" s="19">
        <v>9</v>
      </c>
      <c r="F1492" s="19" t="s">
        <v>0</v>
      </c>
      <c r="G1492" s="20" t="s">
        <v>183</v>
      </c>
      <c r="H1492" s="36">
        <v>22900</v>
      </c>
      <c r="I1492" s="36">
        <v>22900</v>
      </c>
      <c r="J1492" s="25">
        <v>254200</v>
      </c>
    </row>
    <row r="1493" spans="1:10" ht="16" x14ac:dyDescent="0.45">
      <c r="A1493" s="153" t="str">
        <f>B1493&amp;C1493&amp;E1493&amp;G1493</f>
        <v>매트리스원바디271회서비스</v>
      </c>
      <c r="B1493" s="17" t="s">
        <v>228</v>
      </c>
      <c r="C1493" s="18" t="s">
        <v>498</v>
      </c>
      <c r="D1493" s="19" t="s">
        <v>657</v>
      </c>
      <c r="E1493" s="19">
        <v>7</v>
      </c>
      <c r="F1493" s="19" t="s">
        <v>0</v>
      </c>
      <c r="G1493" s="20" t="s">
        <v>457</v>
      </c>
      <c r="H1493" s="36">
        <v>22900</v>
      </c>
      <c r="I1493" s="36">
        <v>22900</v>
      </c>
      <c r="J1493" s="25">
        <v>229500</v>
      </c>
    </row>
    <row r="1494" spans="1:10" ht="16" x14ac:dyDescent="0.45">
      <c r="A1494" s="153" t="str">
        <f>B1494&amp;C1494&amp;E1494&amp;G1494</f>
        <v>매트리스원바디291회서비스</v>
      </c>
      <c r="B1494" s="17" t="s">
        <v>228</v>
      </c>
      <c r="C1494" s="18" t="s">
        <v>498</v>
      </c>
      <c r="D1494" s="19" t="s">
        <v>657</v>
      </c>
      <c r="E1494" s="19">
        <v>9</v>
      </c>
      <c r="F1494" s="19" t="s">
        <v>0</v>
      </c>
      <c r="G1494" s="20" t="s">
        <v>457</v>
      </c>
      <c r="H1494" s="36">
        <v>19900</v>
      </c>
      <c r="I1494" s="36">
        <v>19900</v>
      </c>
      <c r="J1494" s="25">
        <v>229500</v>
      </c>
    </row>
    <row r="1495" spans="1:10" ht="16" x14ac:dyDescent="0.45">
      <c r="A1495" s="153" t="str">
        <f>B1495&amp;C1495&amp;E1495&amp;G1495</f>
        <v>매트리스원바디264M(4개월점검주기)</v>
      </c>
      <c r="B1495" s="17" t="s">
        <v>228</v>
      </c>
      <c r="C1495" s="18" t="s">
        <v>498</v>
      </c>
      <c r="D1495" s="19" t="s">
        <v>657</v>
      </c>
      <c r="E1495" s="19">
        <v>6</v>
      </c>
      <c r="F1495" s="19" t="s">
        <v>0</v>
      </c>
      <c r="G1495" s="20" t="s">
        <v>453</v>
      </c>
      <c r="H1495" s="36">
        <v>30900</v>
      </c>
      <c r="I1495" s="36">
        <v>30900</v>
      </c>
      <c r="J1495" s="25">
        <v>231100</v>
      </c>
    </row>
    <row r="1496" spans="1:10" ht="16" x14ac:dyDescent="0.45">
      <c r="A1496" s="153" t="str">
        <f>B1496&amp;C1496&amp;E1496&amp;G1496</f>
        <v>매트리스원바디274M(4개월점검주기)</v>
      </c>
      <c r="B1496" s="17" t="s">
        <v>228</v>
      </c>
      <c r="C1496" s="18" t="s">
        <v>498</v>
      </c>
      <c r="D1496" s="19" t="s">
        <v>657</v>
      </c>
      <c r="E1496" s="19">
        <v>7</v>
      </c>
      <c r="F1496" s="19" t="s">
        <v>0</v>
      </c>
      <c r="G1496" s="20" t="s">
        <v>453</v>
      </c>
      <c r="H1496" s="36">
        <v>27900</v>
      </c>
      <c r="I1496" s="36">
        <v>27900</v>
      </c>
      <c r="J1496" s="25">
        <v>254200</v>
      </c>
    </row>
    <row r="1497" spans="1:10" ht="16" x14ac:dyDescent="0.45">
      <c r="A1497" s="153" t="str">
        <f>B1497&amp;C1497&amp;E1497&amp;G1497</f>
        <v>매트리스원바디294M(4개월점검주기)</v>
      </c>
      <c r="B1497" s="17" t="s">
        <v>228</v>
      </c>
      <c r="C1497" s="18" t="s">
        <v>498</v>
      </c>
      <c r="D1497" s="19" t="s">
        <v>657</v>
      </c>
      <c r="E1497" s="19">
        <v>9</v>
      </c>
      <c r="F1497" s="19" t="s">
        <v>0</v>
      </c>
      <c r="G1497" s="20" t="s">
        <v>453</v>
      </c>
      <c r="H1497" s="36">
        <v>23900</v>
      </c>
      <c r="I1497" s="36">
        <v>23900</v>
      </c>
      <c r="J1497" s="25">
        <v>254200</v>
      </c>
    </row>
    <row r="1498" spans="1:10" ht="16" x14ac:dyDescent="0.45">
      <c r="A1498" s="153" t="str">
        <f>B1498&amp;C1498&amp;E1498&amp;G1498</f>
        <v>매트리스원바디236M(6개월점검주기)</v>
      </c>
      <c r="B1498" s="17" t="s">
        <v>228</v>
      </c>
      <c r="C1498" s="18" t="s">
        <v>498</v>
      </c>
      <c r="D1498" s="19" t="s">
        <v>657</v>
      </c>
      <c r="E1498" s="19">
        <v>3</v>
      </c>
      <c r="F1498" s="19" t="s">
        <v>0</v>
      </c>
      <c r="G1498" s="20" t="s">
        <v>454</v>
      </c>
      <c r="H1498" s="36">
        <v>40900</v>
      </c>
      <c r="I1498" s="36">
        <v>40900</v>
      </c>
      <c r="J1498" s="25">
        <v>231100</v>
      </c>
    </row>
    <row r="1499" spans="1:10" ht="16" x14ac:dyDescent="0.45">
      <c r="A1499" s="153" t="str">
        <f>B1499&amp;C1499&amp;E1499&amp;G1499</f>
        <v>매트리스원바디27베이직케어(4M)</v>
      </c>
      <c r="B1499" s="17" t="s">
        <v>228</v>
      </c>
      <c r="C1499" s="18" t="s">
        <v>498</v>
      </c>
      <c r="D1499" s="19" t="s">
        <v>657</v>
      </c>
      <c r="E1499" s="19">
        <v>7</v>
      </c>
      <c r="F1499" s="19" t="s">
        <v>0</v>
      </c>
      <c r="G1499" s="20" t="s">
        <v>608</v>
      </c>
      <c r="H1499" s="36">
        <v>26900</v>
      </c>
      <c r="I1499" s="36">
        <v>26900</v>
      </c>
      <c r="J1499" s="25">
        <v>254200</v>
      </c>
    </row>
    <row r="1500" spans="1:10" ht="16" x14ac:dyDescent="0.45">
      <c r="A1500" s="153" t="str">
        <f>B1500&amp;C1500&amp;E1500&amp;G1500</f>
        <v>매트리스원바디29베이직케어(4M)</v>
      </c>
      <c r="B1500" s="17" t="s">
        <v>228</v>
      </c>
      <c r="C1500" s="18" t="s">
        <v>498</v>
      </c>
      <c r="D1500" s="19" t="s">
        <v>657</v>
      </c>
      <c r="E1500" s="19">
        <v>9</v>
      </c>
      <c r="F1500" s="19" t="s">
        <v>0</v>
      </c>
      <c r="G1500" s="20" t="s">
        <v>608</v>
      </c>
      <c r="H1500" s="36">
        <v>22900</v>
      </c>
      <c r="I1500" s="36">
        <v>22900</v>
      </c>
      <c r="J1500" s="25">
        <v>254200</v>
      </c>
    </row>
    <row r="1501" spans="1:10" ht="16" x14ac:dyDescent="0.45">
      <c r="A1501" s="153" t="str">
        <f>B1501&amp;C1501&amp;E1501&amp;G1501</f>
        <v>매트리스원바디23베이직케어(6M)</v>
      </c>
      <c r="B1501" s="17" t="s">
        <v>228</v>
      </c>
      <c r="C1501" s="18" t="s">
        <v>498</v>
      </c>
      <c r="D1501" s="19" t="s">
        <v>657</v>
      </c>
      <c r="E1501" s="19">
        <v>3</v>
      </c>
      <c r="F1501" s="19" t="s">
        <v>0</v>
      </c>
      <c r="G1501" s="20" t="s">
        <v>609</v>
      </c>
      <c r="H1501" s="36">
        <v>40900</v>
      </c>
      <c r="I1501" s="36">
        <v>40900</v>
      </c>
      <c r="J1501" s="25">
        <v>254200</v>
      </c>
    </row>
    <row r="1502" spans="1:10" ht="16" x14ac:dyDescent="0.45">
      <c r="A1502" s="153" t="str">
        <f>B1502&amp;C1502&amp;E1502&amp;G1502</f>
        <v>매트리스원바디27서비스프리</v>
      </c>
      <c r="B1502" s="17" t="s">
        <v>228</v>
      </c>
      <c r="C1502" s="18" t="s">
        <v>498</v>
      </c>
      <c r="D1502" s="19" t="s">
        <v>657</v>
      </c>
      <c r="E1502" s="19">
        <v>7</v>
      </c>
      <c r="F1502" s="19" t="s">
        <v>0</v>
      </c>
      <c r="G1502" s="20" t="s">
        <v>183</v>
      </c>
      <c r="H1502" s="36">
        <v>21900</v>
      </c>
      <c r="I1502" s="36">
        <v>21900</v>
      </c>
      <c r="J1502" s="25">
        <v>229500</v>
      </c>
    </row>
    <row r="1503" spans="1:10" ht="16" x14ac:dyDescent="0.45">
      <c r="A1503" s="153" t="str">
        <f>B1503&amp;C1503&amp;E1503&amp;G1503</f>
        <v>매트리스원바디29서비스프리</v>
      </c>
      <c r="B1503" s="17" t="s">
        <v>228</v>
      </c>
      <c r="C1503" s="18" t="s">
        <v>498</v>
      </c>
      <c r="D1503" s="19" t="s">
        <v>657</v>
      </c>
      <c r="E1503" s="19">
        <v>9</v>
      </c>
      <c r="F1503" s="19" t="s">
        <v>0</v>
      </c>
      <c r="G1503" s="20" t="s">
        <v>183</v>
      </c>
      <c r="H1503" s="36">
        <v>18900</v>
      </c>
      <c r="I1503" s="36">
        <v>18900</v>
      </c>
      <c r="J1503" s="25">
        <v>229500</v>
      </c>
    </row>
    <row r="1504" spans="1:10" ht="16" x14ac:dyDescent="0.45">
      <c r="A1504" s="153" t="str">
        <f>B1504&amp;C1504&amp;E1504&amp;G1504</f>
        <v>매트리스프라임 매트리스51회서비스</v>
      </c>
      <c r="B1504" s="17" t="s">
        <v>228</v>
      </c>
      <c r="C1504" s="18" t="s">
        <v>499</v>
      </c>
      <c r="D1504" s="19" t="s">
        <v>649</v>
      </c>
      <c r="E1504" s="19">
        <v>5</v>
      </c>
      <c r="F1504" s="19" t="s">
        <v>0</v>
      </c>
      <c r="G1504" s="20" t="s">
        <v>457</v>
      </c>
      <c r="H1504" s="36">
        <v>40900</v>
      </c>
      <c r="I1504" s="36">
        <v>40900</v>
      </c>
      <c r="J1504" s="25">
        <v>251000</v>
      </c>
    </row>
    <row r="1505" spans="1:10" ht="16" x14ac:dyDescent="0.45">
      <c r="A1505" s="153" t="str">
        <f>B1505&amp;C1505&amp;E1505&amp;G1505</f>
        <v>매트리스프라임 매트리스71회서비스</v>
      </c>
      <c r="B1505" s="17" t="s">
        <v>228</v>
      </c>
      <c r="C1505" s="18" t="s">
        <v>499</v>
      </c>
      <c r="D1505" s="19" t="s">
        <v>649</v>
      </c>
      <c r="E1505" s="19">
        <v>7</v>
      </c>
      <c r="F1505" s="19" t="s">
        <v>0</v>
      </c>
      <c r="G1505" s="20" t="s">
        <v>457</v>
      </c>
      <c r="H1505" s="36">
        <v>31900</v>
      </c>
      <c r="I1505" s="36">
        <v>31900</v>
      </c>
      <c r="J1505" s="25">
        <v>276100</v>
      </c>
    </row>
    <row r="1506" spans="1:10" ht="16" x14ac:dyDescent="0.45">
      <c r="A1506" s="153" t="str">
        <f>B1506&amp;C1506&amp;E1506&amp;G1506</f>
        <v>매트리스프라임 매트리스91회서비스</v>
      </c>
      <c r="B1506" s="17" t="s">
        <v>228</v>
      </c>
      <c r="C1506" s="18" t="s">
        <v>499</v>
      </c>
      <c r="D1506" s="19" t="s">
        <v>649</v>
      </c>
      <c r="E1506" s="19">
        <v>9</v>
      </c>
      <c r="F1506" s="19" t="s">
        <v>0</v>
      </c>
      <c r="G1506" s="20" t="s">
        <v>457</v>
      </c>
      <c r="H1506" s="36">
        <v>27900</v>
      </c>
      <c r="I1506" s="36">
        <v>27900</v>
      </c>
      <c r="J1506" s="25">
        <v>276100</v>
      </c>
    </row>
    <row r="1507" spans="1:10" ht="16" x14ac:dyDescent="0.45">
      <c r="A1507" s="153" t="str">
        <f>B1507&amp;C1507&amp;E1507&amp;G1507</f>
        <v>매트리스프라임 매트리스54M(4개월점검주기)</v>
      </c>
      <c r="B1507" s="17" t="s">
        <v>228</v>
      </c>
      <c r="C1507" s="18" t="s">
        <v>499</v>
      </c>
      <c r="D1507" s="19" t="s">
        <v>649</v>
      </c>
      <c r="E1507" s="19">
        <v>5</v>
      </c>
      <c r="F1507" s="19" t="s">
        <v>0</v>
      </c>
      <c r="G1507" s="20" t="s">
        <v>453</v>
      </c>
      <c r="H1507" s="36">
        <v>42900</v>
      </c>
      <c r="I1507" s="36">
        <v>42900</v>
      </c>
      <c r="J1507" s="25">
        <v>262200</v>
      </c>
    </row>
    <row r="1508" spans="1:10" ht="16" x14ac:dyDescent="0.45">
      <c r="A1508" s="153" t="str">
        <f>B1508&amp;C1508&amp;E1508&amp;G1508</f>
        <v>매트리스프라임 매트리스64M(4개월점검주기)</v>
      </c>
      <c r="B1508" s="17" t="s">
        <v>228</v>
      </c>
      <c r="C1508" s="18" t="s">
        <v>499</v>
      </c>
      <c r="D1508" s="19" t="s">
        <v>649</v>
      </c>
      <c r="E1508" s="19">
        <v>6</v>
      </c>
      <c r="F1508" s="19" t="s">
        <v>0</v>
      </c>
      <c r="G1508" s="20" t="s">
        <v>453</v>
      </c>
      <c r="H1508" s="36">
        <v>38900</v>
      </c>
      <c r="I1508" s="36">
        <v>38900</v>
      </c>
      <c r="J1508" s="25">
        <v>262200</v>
      </c>
    </row>
    <row r="1509" spans="1:10" ht="16" x14ac:dyDescent="0.45">
      <c r="A1509" s="153" t="str">
        <f>B1509&amp;C1509&amp;E1509&amp;G1509</f>
        <v>매트리스프라임 매트리스74M(4개월점검주기)</v>
      </c>
      <c r="B1509" s="17" t="s">
        <v>228</v>
      </c>
      <c r="C1509" s="18" t="s">
        <v>499</v>
      </c>
      <c r="D1509" s="19" t="s">
        <v>649</v>
      </c>
      <c r="E1509" s="19">
        <v>7</v>
      </c>
      <c r="F1509" s="19" t="s">
        <v>0</v>
      </c>
      <c r="G1509" s="20" t="s">
        <v>453</v>
      </c>
      <c r="H1509" s="36">
        <v>33900</v>
      </c>
      <c r="I1509" s="36">
        <v>33900</v>
      </c>
      <c r="J1509" s="25">
        <v>288400</v>
      </c>
    </row>
    <row r="1510" spans="1:10" ht="16" x14ac:dyDescent="0.45">
      <c r="A1510" s="153" t="str">
        <f>B1510&amp;C1510&amp;E1510&amp;G1510</f>
        <v>매트리스프라임 매트리스94M(4개월점검주기)</v>
      </c>
      <c r="B1510" s="17" t="s">
        <v>228</v>
      </c>
      <c r="C1510" s="18" t="s">
        <v>499</v>
      </c>
      <c r="D1510" s="19" t="s">
        <v>649</v>
      </c>
      <c r="E1510" s="19">
        <v>9</v>
      </c>
      <c r="F1510" s="19" t="s">
        <v>0</v>
      </c>
      <c r="G1510" s="20" t="s">
        <v>453</v>
      </c>
      <c r="H1510" s="36">
        <v>29900</v>
      </c>
      <c r="I1510" s="36">
        <v>29900</v>
      </c>
      <c r="J1510" s="25">
        <v>288400</v>
      </c>
    </row>
    <row r="1511" spans="1:10" ht="16" x14ac:dyDescent="0.45">
      <c r="A1511" s="153" t="str">
        <f>B1511&amp;C1511&amp;E1511&amp;G1511</f>
        <v>매트리스프라임 매트리스5베이직케어(4M)</v>
      </c>
      <c r="B1511" s="17" t="s">
        <v>228</v>
      </c>
      <c r="C1511" s="18" t="s">
        <v>499</v>
      </c>
      <c r="D1511" s="19" t="s">
        <v>649</v>
      </c>
      <c r="E1511" s="19">
        <v>5</v>
      </c>
      <c r="F1511" s="19" t="s">
        <v>0</v>
      </c>
      <c r="G1511" s="20" t="s">
        <v>608</v>
      </c>
      <c r="H1511" s="36">
        <v>38900</v>
      </c>
      <c r="I1511" s="36">
        <v>38900</v>
      </c>
      <c r="J1511" s="25">
        <v>239700</v>
      </c>
    </row>
    <row r="1512" spans="1:10" ht="16" x14ac:dyDescent="0.45">
      <c r="A1512" s="153" t="str">
        <f>B1512&amp;C1512&amp;E1512&amp;G1512</f>
        <v>매트리스프라임 매트리스7베이직케어(4M)</v>
      </c>
      <c r="B1512" s="17" t="s">
        <v>228</v>
      </c>
      <c r="C1512" s="18" t="s">
        <v>499</v>
      </c>
      <c r="D1512" s="19" t="s">
        <v>649</v>
      </c>
      <c r="E1512" s="19">
        <v>7</v>
      </c>
      <c r="F1512" s="19" t="s">
        <v>0</v>
      </c>
      <c r="G1512" s="20" t="s">
        <v>608</v>
      </c>
      <c r="H1512" s="36">
        <v>29900</v>
      </c>
      <c r="I1512" s="36">
        <v>29900</v>
      </c>
      <c r="J1512" s="25">
        <v>263700</v>
      </c>
    </row>
    <row r="1513" spans="1:10" ht="16" x14ac:dyDescent="0.45">
      <c r="A1513" s="153" t="str">
        <f>B1513&amp;C1513&amp;E1513&amp;G1513</f>
        <v>매트리스프라임 매트리스9베이직케어(4M)</v>
      </c>
      <c r="B1513" s="17" t="s">
        <v>228</v>
      </c>
      <c r="C1513" s="18" t="s">
        <v>499</v>
      </c>
      <c r="D1513" s="19" t="s">
        <v>649</v>
      </c>
      <c r="E1513" s="19">
        <v>9</v>
      </c>
      <c r="F1513" s="19" t="s">
        <v>0</v>
      </c>
      <c r="G1513" s="20" t="s">
        <v>608</v>
      </c>
      <c r="H1513" s="36">
        <v>25900</v>
      </c>
      <c r="I1513" s="36">
        <v>25900</v>
      </c>
      <c r="J1513" s="25">
        <v>263700</v>
      </c>
    </row>
    <row r="1514" spans="1:10" ht="16" x14ac:dyDescent="0.45">
      <c r="A1514" s="153" t="str">
        <f>B1514&amp;C1514&amp;E1514&amp;G1514</f>
        <v>매트리스프라임 매트리스5서비스프리</v>
      </c>
      <c r="B1514" s="17" t="s">
        <v>228</v>
      </c>
      <c r="C1514" s="18" t="s">
        <v>499</v>
      </c>
      <c r="D1514" s="19" t="s">
        <v>649</v>
      </c>
      <c r="E1514" s="19">
        <v>5</v>
      </c>
      <c r="F1514" s="19" t="s">
        <v>0</v>
      </c>
      <c r="G1514" s="20" t="s">
        <v>183</v>
      </c>
      <c r="H1514" s="36">
        <v>36900</v>
      </c>
      <c r="I1514" s="36">
        <v>36900</v>
      </c>
      <c r="J1514" s="25">
        <v>231100</v>
      </c>
    </row>
    <row r="1515" spans="1:10" ht="16" x14ac:dyDescent="0.45">
      <c r="A1515" s="153" t="str">
        <f>B1515&amp;C1515&amp;E1515&amp;G1515</f>
        <v>매트리스프라임 매트리스7서비스프리</v>
      </c>
      <c r="B1515" s="17" t="s">
        <v>228</v>
      </c>
      <c r="C1515" s="18" t="s">
        <v>499</v>
      </c>
      <c r="D1515" s="19" t="s">
        <v>649</v>
      </c>
      <c r="E1515" s="19">
        <v>7</v>
      </c>
      <c r="F1515" s="19" t="s">
        <v>0</v>
      </c>
      <c r="G1515" s="20" t="s">
        <v>183</v>
      </c>
      <c r="H1515" s="36">
        <v>27900</v>
      </c>
      <c r="I1515" s="36">
        <v>27900</v>
      </c>
      <c r="J1515" s="25">
        <v>254200</v>
      </c>
    </row>
    <row r="1516" spans="1:10" ht="16" x14ac:dyDescent="0.45">
      <c r="A1516" s="153" t="str">
        <f>B1516&amp;C1516&amp;E1516&amp;G1516</f>
        <v>매트리스프라임 매트리스9서비스프리</v>
      </c>
      <c r="B1516" s="17" t="s">
        <v>228</v>
      </c>
      <c r="C1516" s="18" t="s">
        <v>499</v>
      </c>
      <c r="D1516" s="19" t="s">
        <v>649</v>
      </c>
      <c r="E1516" s="19">
        <v>9</v>
      </c>
      <c r="F1516" s="19" t="s">
        <v>0</v>
      </c>
      <c r="G1516" s="20" t="s">
        <v>183</v>
      </c>
      <c r="H1516" s="36">
        <v>23900</v>
      </c>
      <c r="I1516" s="36">
        <v>23900</v>
      </c>
      <c r="J1516" s="25">
        <v>254200</v>
      </c>
    </row>
    <row r="1517" spans="1:10" ht="16" x14ac:dyDescent="0.45">
      <c r="A1517" s="153" t="str">
        <f>B1517&amp;C1517&amp;E1517&amp;G1517</f>
        <v>매트리스프라임 매트리스51회서비스</v>
      </c>
      <c r="B1517" s="17" t="s">
        <v>228</v>
      </c>
      <c r="C1517" s="18" t="s">
        <v>499</v>
      </c>
      <c r="D1517" s="19" t="s">
        <v>652</v>
      </c>
      <c r="E1517" s="19">
        <v>5</v>
      </c>
      <c r="F1517" s="19" t="s">
        <v>0</v>
      </c>
      <c r="G1517" s="20" t="s">
        <v>457</v>
      </c>
      <c r="H1517" s="36">
        <v>47900</v>
      </c>
      <c r="I1517" s="36">
        <v>47900</v>
      </c>
      <c r="J1517" s="25">
        <v>273400</v>
      </c>
    </row>
    <row r="1518" spans="1:10" ht="16" x14ac:dyDescent="0.45">
      <c r="A1518" s="153" t="str">
        <f>B1518&amp;C1518&amp;E1518&amp;G1518</f>
        <v>매트리스프라임 매트리스71회서비스</v>
      </c>
      <c r="B1518" s="17" t="s">
        <v>228</v>
      </c>
      <c r="C1518" s="18" t="s">
        <v>499</v>
      </c>
      <c r="D1518" s="19" t="s">
        <v>652</v>
      </c>
      <c r="E1518" s="19">
        <v>7</v>
      </c>
      <c r="F1518" s="19" t="s">
        <v>0</v>
      </c>
      <c r="G1518" s="20" t="s">
        <v>457</v>
      </c>
      <c r="H1518" s="36">
        <v>35900</v>
      </c>
      <c r="I1518" s="36">
        <v>35900</v>
      </c>
      <c r="J1518" s="25">
        <v>300700</v>
      </c>
    </row>
    <row r="1519" spans="1:10" ht="16" x14ac:dyDescent="0.45">
      <c r="A1519" s="153" t="str">
        <f>B1519&amp;C1519&amp;E1519&amp;G1519</f>
        <v>매트리스프라임 매트리스91회서비스</v>
      </c>
      <c r="B1519" s="17" t="s">
        <v>228</v>
      </c>
      <c r="C1519" s="18" t="s">
        <v>499</v>
      </c>
      <c r="D1519" s="19" t="s">
        <v>652</v>
      </c>
      <c r="E1519" s="19">
        <v>9</v>
      </c>
      <c r="F1519" s="19" t="s">
        <v>0</v>
      </c>
      <c r="G1519" s="20" t="s">
        <v>457</v>
      </c>
      <c r="H1519" s="36">
        <v>31900</v>
      </c>
      <c r="I1519" s="36">
        <v>31900</v>
      </c>
      <c r="J1519" s="25">
        <v>300700</v>
      </c>
    </row>
    <row r="1520" spans="1:10" ht="16" x14ac:dyDescent="0.45">
      <c r="A1520" s="153" t="str">
        <f>B1520&amp;C1520&amp;E1520&amp;G1520</f>
        <v>매트리스프라임 매트리스54M(4개월점검주기)</v>
      </c>
      <c r="B1520" s="17" t="s">
        <v>228</v>
      </c>
      <c r="C1520" s="18" t="s">
        <v>499</v>
      </c>
      <c r="D1520" s="19" t="s">
        <v>652</v>
      </c>
      <c r="E1520" s="19">
        <v>5</v>
      </c>
      <c r="F1520" s="19" t="s">
        <v>0</v>
      </c>
      <c r="G1520" s="20" t="s">
        <v>453</v>
      </c>
      <c r="H1520" s="36">
        <v>49900</v>
      </c>
      <c r="I1520" s="36">
        <v>49900</v>
      </c>
      <c r="J1520" s="25">
        <v>273400</v>
      </c>
    </row>
    <row r="1521" spans="1:10" ht="16" x14ac:dyDescent="0.45">
      <c r="A1521" s="153" t="str">
        <f>B1521&amp;C1521&amp;E1521&amp;G1521</f>
        <v>매트리스프라임 매트리스64M(4개월점검주기)</v>
      </c>
      <c r="B1521" s="17" t="s">
        <v>228</v>
      </c>
      <c r="C1521" s="18" t="s">
        <v>499</v>
      </c>
      <c r="D1521" s="19" t="s">
        <v>652</v>
      </c>
      <c r="E1521" s="19">
        <v>6</v>
      </c>
      <c r="F1521" s="19" t="s">
        <v>0</v>
      </c>
      <c r="G1521" s="20" t="s">
        <v>453</v>
      </c>
      <c r="H1521" s="36">
        <v>43900</v>
      </c>
      <c r="I1521" s="36">
        <v>43900</v>
      </c>
      <c r="J1521" s="25">
        <v>273400</v>
      </c>
    </row>
    <row r="1522" spans="1:10" ht="16" x14ac:dyDescent="0.45">
      <c r="A1522" s="153" t="str">
        <f>B1522&amp;C1522&amp;E1522&amp;G1522</f>
        <v>매트리스프라임 매트리스74M(4개월점검주기)</v>
      </c>
      <c r="B1522" s="17" t="s">
        <v>228</v>
      </c>
      <c r="C1522" s="18" t="s">
        <v>499</v>
      </c>
      <c r="D1522" s="19" t="s">
        <v>652</v>
      </c>
      <c r="E1522" s="19">
        <v>7</v>
      </c>
      <c r="F1522" s="19" t="s">
        <v>0</v>
      </c>
      <c r="G1522" s="20" t="s">
        <v>453</v>
      </c>
      <c r="H1522" s="36">
        <v>37900</v>
      </c>
      <c r="I1522" s="36">
        <v>37900</v>
      </c>
      <c r="J1522" s="25">
        <v>300700</v>
      </c>
    </row>
    <row r="1523" spans="1:10" ht="16" x14ac:dyDescent="0.45">
      <c r="A1523" s="153" t="str">
        <f>B1523&amp;C1523&amp;E1523&amp;G1523</f>
        <v>매트리스프라임 매트리스94M(4개월점검주기)</v>
      </c>
      <c r="B1523" s="17" t="s">
        <v>228</v>
      </c>
      <c r="C1523" s="18" t="s">
        <v>499</v>
      </c>
      <c r="D1523" s="19" t="s">
        <v>652</v>
      </c>
      <c r="E1523" s="19">
        <v>9</v>
      </c>
      <c r="F1523" s="19" t="s">
        <v>0</v>
      </c>
      <c r="G1523" s="20" t="s">
        <v>453</v>
      </c>
      <c r="H1523" s="36">
        <v>33900</v>
      </c>
      <c r="I1523" s="36">
        <v>33900</v>
      </c>
      <c r="J1523" s="25">
        <v>300700</v>
      </c>
    </row>
    <row r="1524" spans="1:10" ht="16" x14ac:dyDescent="0.45">
      <c r="A1524" s="153" t="str">
        <f>B1524&amp;C1524&amp;E1524&amp;G1524</f>
        <v>매트리스프라임 매트리스5베이직케어(4M)</v>
      </c>
      <c r="B1524" s="17" t="s">
        <v>228</v>
      </c>
      <c r="C1524" s="18" t="s">
        <v>499</v>
      </c>
      <c r="D1524" s="19" t="s">
        <v>652</v>
      </c>
      <c r="E1524" s="19">
        <v>5</v>
      </c>
      <c r="F1524" s="19" t="s">
        <v>0</v>
      </c>
      <c r="G1524" s="20" t="s">
        <v>608</v>
      </c>
      <c r="H1524" s="36">
        <v>45900</v>
      </c>
      <c r="I1524" s="36">
        <v>45900</v>
      </c>
      <c r="J1524" s="25">
        <v>262200</v>
      </c>
    </row>
    <row r="1525" spans="1:10" ht="16" x14ac:dyDescent="0.45">
      <c r="A1525" s="153" t="str">
        <f>B1525&amp;C1525&amp;E1525&amp;G1525</f>
        <v>매트리스프라임 매트리스7베이직케어(4M)</v>
      </c>
      <c r="B1525" s="17" t="s">
        <v>228</v>
      </c>
      <c r="C1525" s="18" t="s">
        <v>499</v>
      </c>
      <c r="D1525" s="19" t="s">
        <v>652</v>
      </c>
      <c r="E1525" s="19">
        <v>7</v>
      </c>
      <c r="F1525" s="19" t="s">
        <v>0</v>
      </c>
      <c r="G1525" s="20" t="s">
        <v>608</v>
      </c>
      <c r="H1525" s="36">
        <v>33900</v>
      </c>
      <c r="I1525" s="36">
        <v>33900</v>
      </c>
      <c r="J1525" s="25">
        <v>288400</v>
      </c>
    </row>
    <row r="1526" spans="1:10" ht="16" x14ac:dyDescent="0.45">
      <c r="A1526" s="153" t="str">
        <f>B1526&amp;C1526&amp;E1526&amp;G1526</f>
        <v>매트리스프라임 매트리스9베이직케어(4M)</v>
      </c>
      <c r="B1526" s="17" t="s">
        <v>228</v>
      </c>
      <c r="C1526" s="18" t="s">
        <v>499</v>
      </c>
      <c r="D1526" s="19" t="s">
        <v>652</v>
      </c>
      <c r="E1526" s="19">
        <v>9</v>
      </c>
      <c r="F1526" s="19" t="s">
        <v>0</v>
      </c>
      <c r="G1526" s="20" t="s">
        <v>608</v>
      </c>
      <c r="H1526" s="36">
        <v>29900</v>
      </c>
      <c r="I1526" s="36">
        <v>29900</v>
      </c>
      <c r="J1526" s="25">
        <v>288400</v>
      </c>
    </row>
    <row r="1527" spans="1:10" ht="16" x14ac:dyDescent="0.45">
      <c r="A1527" s="153" t="str">
        <f>B1527&amp;C1527&amp;E1527&amp;G1527</f>
        <v>매트리스프라임 매트리스5서비스프리</v>
      </c>
      <c r="B1527" s="17" t="s">
        <v>228</v>
      </c>
      <c r="C1527" s="18" t="s">
        <v>499</v>
      </c>
      <c r="D1527" s="19" t="s">
        <v>652</v>
      </c>
      <c r="E1527" s="19">
        <v>5</v>
      </c>
      <c r="F1527" s="19" t="s">
        <v>0</v>
      </c>
      <c r="G1527" s="20" t="s">
        <v>183</v>
      </c>
      <c r="H1527" s="36">
        <v>43900</v>
      </c>
      <c r="I1527" s="36">
        <v>43900</v>
      </c>
      <c r="J1527" s="25">
        <v>251000</v>
      </c>
    </row>
    <row r="1528" spans="1:10" ht="16" x14ac:dyDescent="0.45">
      <c r="A1528" s="153" t="str">
        <f>B1528&amp;C1528&amp;E1528&amp;G1528</f>
        <v>매트리스프라임 매트리스7서비스프리</v>
      </c>
      <c r="B1528" s="17" t="s">
        <v>228</v>
      </c>
      <c r="C1528" s="18" t="s">
        <v>499</v>
      </c>
      <c r="D1528" s="19" t="s">
        <v>652</v>
      </c>
      <c r="E1528" s="19">
        <v>7</v>
      </c>
      <c r="F1528" s="19" t="s">
        <v>0</v>
      </c>
      <c r="G1528" s="20" t="s">
        <v>183</v>
      </c>
      <c r="H1528" s="36">
        <v>31900</v>
      </c>
      <c r="I1528" s="36">
        <v>31900</v>
      </c>
      <c r="J1528" s="25">
        <v>276100</v>
      </c>
    </row>
    <row r="1529" spans="1:10" ht="16" x14ac:dyDescent="0.45">
      <c r="A1529" s="153" t="str">
        <f>B1529&amp;C1529&amp;E1529&amp;G1529</f>
        <v>매트리스프라임 매트리스9서비스프리</v>
      </c>
      <c r="B1529" s="17" t="s">
        <v>228</v>
      </c>
      <c r="C1529" s="18" t="s">
        <v>499</v>
      </c>
      <c r="D1529" s="19" t="s">
        <v>652</v>
      </c>
      <c r="E1529" s="19">
        <v>9</v>
      </c>
      <c r="F1529" s="19" t="s">
        <v>0</v>
      </c>
      <c r="G1529" s="20" t="s">
        <v>183</v>
      </c>
      <c r="H1529" s="36">
        <v>27900</v>
      </c>
      <c r="I1529" s="36">
        <v>27900</v>
      </c>
      <c r="J1529" s="25">
        <v>276100</v>
      </c>
    </row>
    <row r="1530" spans="1:10" ht="16" x14ac:dyDescent="0.45">
      <c r="A1530" s="153" t="str">
        <f>B1530&amp;C1530&amp;E1530&amp;G1530</f>
        <v>매트리스프라임 매트리스51회서비스</v>
      </c>
      <c r="B1530" s="17" t="s">
        <v>228</v>
      </c>
      <c r="C1530" s="18" t="s">
        <v>499</v>
      </c>
      <c r="D1530" s="19" t="s">
        <v>650</v>
      </c>
      <c r="E1530" s="19">
        <v>5</v>
      </c>
      <c r="F1530" s="19" t="s">
        <v>0</v>
      </c>
      <c r="G1530" s="20" t="s">
        <v>457</v>
      </c>
      <c r="H1530" s="36">
        <v>35900</v>
      </c>
      <c r="I1530" s="36">
        <v>35900</v>
      </c>
      <c r="J1530" s="25">
        <v>231100</v>
      </c>
    </row>
    <row r="1531" spans="1:10" ht="16" x14ac:dyDescent="0.45">
      <c r="A1531" s="153" t="str">
        <f>B1531&amp;C1531&amp;E1531&amp;G1531</f>
        <v>매트리스프라임 매트리스71회서비스</v>
      </c>
      <c r="B1531" s="17" t="s">
        <v>228</v>
      </c>
      <c r="C1531" s="18" t="s">
        <v>499</v>
      </c>
      <c r="D1531" s="19" t="s">
        <v>650</v>
      </c>
      <c r="E1531" s="19">
        <v>7</v>
      </c>
      <c r="F1531" s="19" t="s">
        <v>0</v>
      </c>
      <c r="G1531" s="20" t="s">
        <v>457</v>
      </c>
      <c r="H1531" s="36">
        <v>27900</v>
      </c>
      <c r="I1531" s="36">
        <v>27900</v>
      </c>
      <c r="J1531" s="25">
        <v>254200</v>
      </c>
    </row>
    <row r="1532" spans="1:10" ht="16" x14ac:dyDescent="0.45">
      <c r="A1532" s="153" t="str">
        <f>B1532&amp;C1532&amp;E1532&amp;G1532</f>
        <v>매트리스프라임 매트리스91회서비스</v>
      </c>
      <c r="B1532" s="17" t="s">
        <v>228</v>
      </c>
      <c r="C1532" s="18" t="s">
        <v>499</v>
      </c>
      <c r="D1532" s="19" t="s">
        <v>650</v>
      </c>
      <c r="E1532" s="19">
        <v>9</v>
      </c>
      <c r="F1532" s="19" t="s">
        <v>0</v>
      </c>
      <c r="G1532" s="20" t="s">
        <v>457</v>
      </c>
      <c r="H1532" s="36">
        <v>23900</v>
      </c>
      <c r="I1532" s="36">
        <v>23900</v>
      </c>
      <c r="J1532" s="25">
        <v>254200</v>
      </c>
    </row>
    <row r="1533" spans="1:10" ht="16" x14ac:dyDescent="0.45">
      <c r="A1533" s="153" t="str">
        <f>B1533&amp;C1533&amp;E1533&amp;G1533</f>
        <v>매트리스프라임 매트리스54M(4개월점검주기)</v>
      </c>
      <c r="B1533" s="17" t="s">
        <v>228</v>
      </c>
      <c r="C1533" s="18" t="s">
        <v>499</v>
      </c>
      <c r="D1533" s="19" t="s">
        <v>650</v>
      </c>
      <c r="E1533" s="19">
        <v>5</v>
      </c>
      <c r="F1533" s="19" t="s">
        <v>0</v>
      </c>
      <c r="G1533" s="20" t="s">
        <v>453</v>
      </c>
      <c r="H1533" s="36">
        <v>37900</v>
      </c>
      <c r="I1533" s="36">
        <v>37900</v>
      </c>
      <c r="J1533" s="25">
        <v>239700</v>
      </c>
    </row>
    <row r="1534" spans="1:10" ht="16" x14ac:dyDescent="0.45">
      <c r="A1534" s="153" t="str">
        <f>B1534&amp;C1534&amp;E1534&amp;G1534</f>
        <v>매트리스프라임 매트리스64M(4개월점검주기)</v>
      </c>
      <c r="B1534" s="17" t="s">
        <v>228</v>
      </c>
      <c r="C1534" s="18" t="s">
        <v>499</v>
      </c>
      <c r="D1534" s="19" t="s">
        <v>650</v>
      </c>
      <c r="E1534" s="19">
        <v>6</v>
      </c>
      <c r="F1534" s="19" t="s">
        <v>0</v>
      </c>
      <c r="G1534" s="20" t="s">
        <v>453</v>
      </c>
      <c r="H1534" s="36">
        <v>32900</v>
      </c>
      <c r="I1534" s="36">
        <v>32900</v>
      </c>
      <c r="J1534" s="25">
        <v>239700</v>
      </c>
    </row>
    <row r="1535" spans="1:10" ht="16" x14ac:dyDescent="0.45">
      <c r="A1535" s="153" t="str">
        <f>B1535&amp;C1535&amp;E1535&amp;G1535</f>
        <v>매트리스프라임 매트리스74M(4개월점검주기)</v>
      </c>
      <c r="B1535" s="17" t="s">
        <v>228</v>
      </c>
      <c r="C1535" s="18" t="s">
        <v>499</v>
      </c>
      <c r="D1535" s="19" t="s">
        <v>650</v>
      </c>
      <c r="E1535" s="19">
        <v>7</v>
      </c>
      <c r="F1535" s="19" t="s">
        <v>0</v>
      </c>
      <c r="G1535" s="20" t="s">
        <v>453</v>
      </c>
      <c r="H1535" s="36">
        <v>29900</v>
      </c>
      <c r="I1535" s="36">
        <v>29900</v>
      </c>
      <c r="J1535" s="25">
        <v>263700</v>
      </c>
    </row>
    <row r="1536" spans="1:10" ht="16" x14ac:dyDescent="0.45">
      <c r="A1536" s="153" t="str">
        <f>B1536&amp;C1536&amp;E1536&amp;G1536</f>
        <v>매트리스프라임 매트리스94M(4개월점검주기)</v>
      </c>
      <c r="B1536" s="17" t="s">
        <v>228</v>
      </c>
      <c r="C1536" s="18" t="s">
        <v>499</v>
      </c>
      <c r="D1536" s="19" t="s">
        <v>650</v>
      </c>
      <c r="E1536" s="19">
        <v>9</v>
      </c>
      <c r="F1536" s="19" t="s">
        <v>0</v>
      </c>
      <c r="G1536" s="20" t="s">
        <v>453</v>
      </c>
      <c r="H1536" s="36">
        <v>25900</v>
      </c>
      <c r="I1536" s="36">
        <v>25900</v>
      </c>
      <c r="J1536" s="25">
        <v>263700</v>
      </c>
    </row>
    <row r="1537" spans="1:10" ht="16" x14ac:dyDescent="0.45">
      <c r="A1537" s="153" t="str">
        <f>B1537&amp;C1537&amp;E1537&amp;G1537</f>
        <v>매트리스프라임 매트리스5베이직케어(4M)</v>
      </c>
      <c r="B1537" s="17" t="s">
        <v>228</v>
      </c>
      <c r="C1537" s="18" t="s">
        <v>499</v>
      </c>
      <c r="D1537" s="19" t="s">
        <v>650</v>
      </c>
      <c r="E1537" s="19">
        <v>5</v>
      </c>
      <c r="F1537" s="19" t="s">
        <v>0</v>
      </c>
      <c r="G1537" s="20" t="s">
        <v>608</v>
      </c>
      <c r="H1537" s="36">
        <v>33900</v>
      </c>
      <c r="I1537" s="36">
        <v>33900</v>
      </c>
      <c r="J1537" s="25">
        <v>231100</v>
      </c>
    </row>
    <row r="1538" spans="1:10" ht="16" x14ac:dyDescent="0.45">
      <c r="A1538" s="153" t="str">
        <f>B1538&amp;C1538&amp;E1538&amp;G1538</f>
        <v>매트리스프라임 매트리스7베이직케어(4M)</v>
      </c>
      <c r="B1538" s="17" t="s">
        <v>228</v>
      </c>
      <c r="C1538" s="18" t="s">
        <v>499</v>
      </c>
      <c r="D1538" s="19" t="s">
        <v>650</v>
      </c>
      <c r="E1538" s="19">
        <v>7</v>
      </c>
      <c r="F1538" s="19" t="s">
        <v>0</v>
      </c>
      <c r="G1538" s="20" t="s">
        <v>608</v>
      </c>
      <c r="H1538" s="36">
        <v>25900</v>
      </c>
      <c r="I1538" s="36">
        <v>25900</v>
      </c>
      <c r="J1538" s="25">
        <v>254200</v>
      </c>
    </row>
    <row r="1539" spans="1:10" ht="16" x14ac:dyDescent="0.45">
      <c r="A1539" s="153" t="str">
        <f>B1539&amp;C1539&amp;E1539&amp;G1539</f>
        <v>매트리스프라임 매트리스9베이직케어(4M)</v>
      </c>
      <c r="B1539" s="17" t="s">
        <v>228</v>
      </c>
      <c r="C1539" s="18" t="s">
        <v>499</v>
      </c>
      <c r="D1539" s="19" t="s">
        <v>650</v>
      </c>
      <c r="E1539" s="19">
        <v>9</v>
      </c>
      <c r="F1539" s="19" t="s">
        <v>0</v>
      </c>
      <c r="G1539" s="20" t="s">
        <v>608</v>
      </c>
      <c r="H1539" s="36">
        <v>21900</v>
      </c>
      <c r="I1539" s="36">
        <v>21900</v>
      </c>
      <c r="J1539" s="25">
        <v>254200</v>
      </c>
    </row>
    <row r="1540" spans="1:10" ht="16" x14ac:dyDescent="0.45">
      <c r="A1540" s="153" t="str">
        <f>B1540&amp;C1540&amp;E1540&amp;G1540</f>
        <v>매트리스프라임 매트리스5서비스프리</v>
      </c>
      <c r="B1540" s="17" t="s">
        <v>228</v>
      </c>
      <c r="C1540" s="18" t="s">
        <v>499</v>
      </c>
      <c r="D1540" s="19" t="s">
        <v>650</v>
      </c>
      <c r="E1540" s="19">
        <v>5</v>
      </c>
      <c r="F1540" s="19" t="s">
        <v>0</v>
      </c>
      <c r="G1540" s="20" t="s">
        <v>183</v>
      </c>
      <c r="H1540" s="36">
        <v>31900</v>
      </c>
      <c r="I1540" s="36">
        <v>31900</v>
      </c>
      <c r="J1540" s="25">
        <v>219800</v>
      </c>
    </row>
    <row r="1541" spans="1:10" ht="16" x14ac:dyDescent="0.45">
      <c r="A1541" s="153" t="str">
        <f>B1541&amp;C1541&amp;E1541&amp;G1541</f>
        <v>매트리스프라임 매트리스7서비스프리</v>
      </c>
      <c r="B1541" s="17" t="s">
        <v>228</v>
      </c>
      <c r="C1541" s="18" t="s">
        <v>499</v>
      </c>
      <c r="D1541" s="19" t="s">
        <v>650</v>
      </c>
      <c r="E1541" s="19">
        <v>7</v>
      </c>
      <c r="F1541" s="19" t="s">
        <v>0</v>
      </c>
      <c r="G1541" s="20" t="s">
        <v>183</v>
      </c>
      <c r="H1541" s="36">
        <v>23900</v>
      </c>
      <c r="I1541" s="36">
        <v>23900</v>
      </c>
      <c r="J1541" s="25">
        <v>241800</v>
      </c>
    </row>
    <row r="1542" spans="1:10" ht="16" x14ac:dyDescent="0.45">
      <c r="A1542" s="153" t="str">
        <f>B1542&amp;C1542&amp;E1542&amp;G1542</f>
        <v>매트리스프라임 매트리스9서비스프리</v>
      </c>
      <c r="B1542" s="17" t="s">
        <v>228</v>
      </c>
      <c r="C1542" s="18" t="s">
        <v>499</v>
      </c>
      <c r="D1542" s="19" t="s">
        <v>650</v>
      </c>
      <c r="E1542" s="19">
        <v>9</v>
      </c>
      <c r="F1542" s="19" t="s">
        <v>0</v>
      </c>
      <c r="G1542" s="20" t="s">
        <v>183</v>
      </c>
      <c r="H1542" s="36">
        <v>19900</v>
      </c>
      <c r="I1542" s="36">
        <v>19900</v>
      </c>
      <c r="J1542" s="25">
        <v>241800</v>
      </c>
    </row>
    <row r="1543" spans="1:10" ht="16" x14ac:dyDescent="0.45">
      <c r="A1543" s="153" t="str">
        <f>B1543&amp;C1543&amp;E1543&amp;G1543</f>
        <v>매트리스프라임 매트리스51회서비스</v>
      </c>
      <c r="B1543" s="17" t="s">
        <v>228</v>
      </c>
      <c r="C1543" s="18" t="s">
        <v>499</v>
      </c>
      <c r="D1543" s="19" t="s">
        <v>651</v>
      </c>
      <c r="E1543" s="19">
        <v>5</v>
      </c>
      <c r="F1543" s="19" t="s">
        <v>0</v>
      </c>
      <c r="G1543" s="20" t="s">
        <v>457</v>
      </c>
      <c r="H1543" s="36">
        <v>30900</v>
      </c>
      <c r="I1543" s="36">
        <v>30900</v>
      </c>
      <c r="J1543" s="25">
        <v>219800</v>
      </c>
    </row>
    <row r="1544" spans="1:10" ht="16" x14ac:dyDescent="0.45">
      <c r="A1544" s="153" t="str">
        <f>B1544&amp;C1544&amp;E1544&amp;G1544</f>
        <v>매트리스프라임 매트리스71회서비스</v>
      </c>
      <c r="B1544" s="17" t="s">
        <v>228</v>
      </c>
      <c r="C1544" s="18" t="s">
        <v>499</v>
      </c>
      <c r="D1544" s="19" t="s">
        <v>651</v>
      </c>
      <c r="E1544" s="19">
        <v>7</v>
      </c>
      <c r="F1544" s="19" t="s">
        <v>0</v>
      </c>
      <c r="G1544" s="20" t="s">
        <v>457</v>
      </c>
      <c r="H1544" s="36">
        <v>23900</v>
      </c>
      <c r="I1544" s="36">
        <v>23900</v>
      </c>
      <c r="J1544" s="25">
        <v>241800</v>
      </c>
    </row>
    <row r="1545" spans="1:10" ht="16" x14ac:dyDescent="0.45">
      <c r="A1545" s="153" t="str">
        <f>B1545&amp;C1545&amp;E1545&amp;G1545</f>
        <v>매트리스프라임 매트리스91회서비스</v>
      </c>
      <c r="B1545" s="17" t="s">
        <v>228</v>
      </c>
      <c r="C1545" s="18" t="s">
        <v>499</v>
      </c>
      <c r="D1545" s="19" t="s">
        <v>651</v>
      </c>
      <c r="E1545" s="19">
        <v>9</v>
      </c>
      <c r="F1545" s="19" t="s">
        <v>0</v>
      </c>
      <c r="G1545" s="20" t="s">
        <v>457</v>
      </c>
      <c r="H1545" s="36">
        <v>19900</v>
      </c>
      <c r="I1545" s="36">
        <v>19900</v>
      </c>
      <c r="J1545" s="25">
        <v>241800</v>
      </c>
    </row>
    <row r="1546" spans="1:10" ht="16" x14ac:dyDescent="0.45">
      <c r="A1546" s="153" t="str">
        <f>B1546&amp;C1546&amp;E1546&amp;G1546</f>
        <v>매트리스프라임 매트리스54M(4개월점검주기)</v>
      </c>
      <c r="B1546" s="17" t="s">
        <v>228</v>
      </c>
      <c r="C1546" s="18" t="s">
        <v>499</v>
      </c>
      <c r="D1546" s="19" t="s">
        <v>651</v>
      </c>
      <c r="E1546" s="19">
        <v>5</v>
      </c>
      <c r="F1546" s="19" t="s">
        <v>0</v>
      </c>
      <c r="G1546" s="20" t="s">
        <v>453</v>
      </c>
      <c r="H1546" s="36">
        <v>32900</v>
      </c>
      <c r="I1546" s="36">
        <v>32900</v>
      </c>
      <c r="J1546" s="25">
        <v>231100</v>
      </c>
    </row>
    <row r="1547" spans="1:10" ht="16" x14ac:dyDescent="0.45">
      <c r="A1547" s="153" t="str">
        <f>B1547&amp;C1547&amp;E1547&amp;G1547</f>
        <v>매트리스프라임 매트리스64M(4개월점검주기)</v>
      </c>
      <c r="B1547" s="17" t="s">
        <v>228</v>
      </c>
      <c r="C1547" s="18" t="s">
        <v>499</v>
      </c>
      <c r="D1547" s="19" t="s">
        <v>651</v>
      </c>
      <c r="E1547" s="19">
        <v>6</v>
      </c>
      <c r="F1547" s="19" t="s">
        <v>0</v>
      </c>
      <c r="G1547" s="20" t="s">
        <v>453</v>
      </c>
      <c r="H1547" s="36">
        <v>28900</v>
      </c>
      <c r="I1547" s="36">
        <v>28900</v>
      </c>
      <c r="J1547" s="25">
        <v>231100</v>
      </c>
    </row>
    <row r="1548" spans="1:10" ht="16" x14ac:dyDescent="0.45">
      <c r="A1548" s="153" t="str">
        <f>B1548&amp;C1548&amp;E1548&amp;G1548</f>
        <v>매트리스프라임 매트리스74M(4개월점검주기)</v>
      </c>
      <c r="B1548" s="17" t="s">
        <v>228</v>
      </c>
      <c r="C1548" s="18" t="s">
        <v>499</v>
      </c>
      <c r="D1548" s="19" t="s">
        <v>651</v>
      </c>
      <c r="E1548" s="19">
        <v>7</v>
      </c>
      <c r="F1548" s="19" t="s">
        <v>0</v>
      </c>
      <c r="G1548" s="20" t="s">
        <v>453</v>
      </c>
      <c r="H1548" s="36">
        <v>25900</v>
      </c>
      <c r="I1548" s="36">
        <v>25900</v>
      </c>
      <c r="J1548" s="25">
        <v>254200</v>
      </c>
    </row>
    <row r="1549" spans="1:10" ht="16" x14ac:dyDescent="0.45">
      <c r="A1549" s="153" t="str">
        <f>B1549&amp;C1549&amp;E1549&amp;G1549</f>
        <v>매트리스프라임 매트리스94M(4개월점검주기)</v>
      </c>
      <c r="B1549" s="17" t="s">
        <v>228</v>
      </c>
      <c r="C1549" s="18" t="s">
        <v>499</v>
      </c>
      <c r="D1549" s="19" t="s">
        <v>651</v>
      </c>
      <c r="E1549" s="19">
        <v>9</v>
      </c>
      <c r="F1549" s="19" t="s">
        <v>0</v>
      </c>
      <c r="G1549" s="20" t="s">
        <v>453</v>
      </c>
      <c r="H1549" s="36">
        <v>21900</v>
      </c>
      <c r="I1549" s="36">
        <v>21900</v>
      </c>
      <c r="J1549" s="25">
        <v>254200</v>
      </c>
    </row>
    <row r="1550" spans="1:10" ht="16" x14ac:dyDescent="0.45">
      <c r="A1550" s="153" t="str">
        <f>B1550&amp;C1550&amp;E1550&amp;G1550</f>
        <v>매트리스프라임 매트리스5베이직케어(4M)</v>
      </c>
      <c r="B1550" s="17" t="s">
        <v>228</v>
      </c>
      <c r="C1550" s="18" t="s">
        <v>499</v>
      </c>
      <c r="D1550" s="19" t="s">
        <v>651</v>
      </c>
      <c r="E1550" s="19">
        <v>5</v>
      </c>
      <c r="F1550" s="19" t="s">
        <v>0</v>
      </c>
      <c r="G1550" s="20" t="s">
        <v>608</v>
      </c>
      <c r="H1550" s="36">
        <v>28900</v>
      </c>
      <c r="I1550" s="36">
        <v>28900</v>
      </c>
      <c r="J1550" s="25">
        <v>208600</v>
      </c>
    </row>
    <row r="1551" spans="1:10" ht="16" x14ac:dyDescent="0.45">
      <c r="A1551" s="153" t="str">
        <f>B1551&amp;C1551&amp;E1551&amp;G1551</f>
        <v>매트리스프라임 매트리스7베이직케어(4M)</v>
      </c>
      <c r="B1551" s="17" t="s">
        <v>228</v>
      </c>
      <c r="C1551" s="18" t="s">
        <v>499</v>
      </c>
      <c r="D1551" s="19" t="s">
        <v>651</v>
      </c>
      <c r="E1551" s="19">
        <v>7</v>
      </c>
      <c r="F1551" s="19" t="s">
        <v>0</v>
      </c>
      <c r="G1551" s="20" t="s">
        <v>608</v>
      </c>
      <c r="H1551" s="36">
        <v>21900</v>
      </c>
      <c r="I1551" s="36">
        <v>21900</v>
      </c>
      <c r="J1551" s="25">
        <v>229500</v>
      </c>
    </row>
    <row r="1552" spans="1:10" ht="16" x14ac:dyDescent="0.45">
      <c r="A1552" s="153" t="str">
        <f>B1552&amp;C1552&amp;E1552&amp;G1552</f>
        <v>매트리스프라임 매트리스9베이직케어(4M)</v>
      </c>
      <c r="B1552" s="17" t="s">
        <v>228</v>
      </c>
      <c r="C1552" s="18" t="s">
        <v>499</v>
      </c>
      <c r="D1552" s="19" t="s">
        <v>651</v>
      </c>
      <c r="E1552" s="19">
        <v>9</v>
      </c>
      <c r="F1552" s="19" t="s">
        <v>0</v>
      </c>
      <c r="G1552" s="20" t="s">
        <v>608</v>
      </c>
      <c r="H1552" s="36">
        <v>17900</v>
      </c>
      <c r="I1552" s="36">
        <v>17900</v>
      </c>
      <c r="J1552" s="25">
        <v>229500</v>
      </c>
    </row>
    <row r="1553" spans="1:10" ht="16" x14ac:dyDescent="0.45">
      <c r="A1553" s="153" t="str">
        <f>B1553&amp;C1553&amp;E1553&amp;G1553</f>
        <v>매트리스프라임 매트리스5서비스프리</v>
      </c>
      <c r="B1553" s="17" t="s">
        <v>228</v>
      </c>
      <c r="C1553" s="18" t="s">
        <v>499</v>
      </c>
      <c r="D1553" s="19" t="s">
        <v>651</v>
      </c>
      <c r="E1553" s="19">
        <v>5</v>
      </c>
      <c r="F1553" s="19" t="s">
        <v>0</v>
      </c>
      <c r="G1553" s="20" t="s">
        <v>183</v>
      </c>
      <c r="H1553" s="36">
        <v>26900</v>
      </c>
      <c r="I1553" s="36">
        <v>26900</v>
      </c>
      <c r="J1553" s="25">
        <v>197400</v>
      </c>
    </row>
    <row r="1554" spans="1:10" ht="16" x14ac:dyDescent="0.45">
      <c r="A1554" s="153" t="str">
        <f>B1554&amp;C1554&amp;E1554&amp;G1554</f>
        <v>매트리스프라임 매트리스7서비스프리</v>
      </c>
      <c r="B1554" s="17" t="s">
        <v>228</v>
      </c>
      <c r="C1554" s="18" t="s">
        <v>499</v>
      </c>
      <c r="D1554" s="19" t="s">
        <v>651</v>
      </c>
      <c r="E1554" s="19">
        <v>7</v>
      </c>
      <c r="F1554" s="19" t="s">
        <v>0</v>
      </c>
      <c r="G1554" s="20" t="s">
        <v>183</v>
      </c>
      <c r="H1554" s="36">
        <v>19900</v>
      </c>
      <c r="I1554" s="36">
        <v>19900</v>
      </c>
      <c r="J1554" s="25">
        <v>217100</v>
      </c>
    </row>
    <row r="1555" spans="1:10" ht="16" x14ac:dyDescent="0.45">
      <c r="A1555" s="153" t="str">
        <f>B1555&amp;C1555&amp;E1555&amp;G1555</f>
        <v>매트리스프라임 매트리스9서비스프리</v>
      </c>
      <c r="B1555" s="17" t="s">
        <v>228</v>
      </c>
      <c r="C1555" s="18" t="s">
        <v>499</v>
      </c>
      <c r="D1555" s="19" t="s">
        <v>651</v>
      </c>
      <c r="E1555" s="19">
        <v>9</v>
      </c>
      <c r="F1555" s="19" t="s">
        <v>0</v>
      </c>
      <c r="G1555" s="20" t="s">
        <v>183</v>
      </c>
      <c r="H1555" s="36">
        <v>15900</v>
      </c>
      <c r="I1555" s="36">
        <v>15900</v>
      </c>
      <c r="J1555" s="25">
        <v>217100</v>
      </c>
    </row>
    <row r="1556" spans="1:10" ht="16" x14ac:dyDescent="0.45">
      <c r="A1556" s="153" t="str">
        <f>B1556&amp;C1556&amp;E1556&amp;G1556</f>
        <v>매트리스프라임 플러스251회서비스</v>
      </c>
      <c r="B1556" s="17" t="s">
        <v>228</v>
      </c>
      <c r="C1556" s="18" t="s">
        <v>500</v>
      </c>
      <c r="D1556" s="19" t="s">
        <v>266</v>
      </c>
      <c r="E1556" s="19">
        <v>5</v>
      </c>
      <c r="F1556" s="19" t="s">
        <v>0</v>
      </c>
      <c r="G1556" s="20" t="s">
        <v>457</v>
      </c>
      <c r="H1556" s="36">
        <v>46900</v>
      </c>
      <c r="I1556" s="36">
        <v>41900</v>
      </c>
      <c r="J1556" s="25">
        <v>262200</v>
      </c>
    </row>
    <row r="1557" spans="1:10" ht="16" x14ac:dyDescent="0.45">
      <c r="A1557" s="153" t="str">
        <f>B1557&amp;C1557&amp;E1557&amp;G1557</f>
        <v>매트리스프라임 플러스271회서비스</v>
      </c>
      <c r="B1557" s="17" t="s">
        <v>228</v>
      </c>
      <c r="C1557" s="18" t="s">
        <v>500</v>
      </c>
      <c r="D1557" s="19" t="s">
        <v>266</v>
      </c>
      <c r="E1557" s="19">
        <v>7</v>
      </c>
      <c r="F1557" s="19" t="s">
        <v>0</v>
      </c>
      <c r="G1557" s="20" t="s">
        <v>457</v>
      </c>
      <c r="H1557" s="36">
        <v>38900</v>
      </c>
      <c r="I1557" s="36">
        <v>33900</v>
      </c>
      <c r="J1557" s="25">
        <v>288400</v>
      </c>
    </row>
    <row r="1558" spans="1:10" ht="16" x14ac:dyDescent="0.45">
      <c r="A1558" s="153" t="str">
        <f>B1558&amp;C1558&amp;E1558&amp;G1558</f>
        <v>매트리스프라임 플러스291회서비스</v>
      </c>
      <c r="B1558" s="17" t="s">
        <v>228</v>
      </c>
      <c r="C1558" s="18" t="s">
        <v>500</v>
      </c>
      <c r="D1558" s="19" t="s">
        <v>266</v>
      </c>
      <c r="E1558" s="19">
        <v>9</v>
      </c>
      <c r="F1558" s="19" t="s">
        <v>0</v>
      </c>
      <c r="G1558" s="20" t="s">
        <v>457</v>
      </c>
      <c r="H1558" s="36">
        <v>34900</v>
      </c>
      <c r="I1558" s="36">
        <v>29900</v>
      </c>
      <c r="J1558" s="25">
        <v>288400</v>
      </c>
    </row>
    <row r="1559" spans="1:10" ht="16" x14ac:dyDescent="0.45">
      <c r="A1559" s="153" t="str">
        <f>B1559&amp;C1559&amp;E1559&amp;G1559</f>
        <v>매트리스프라임 플러스254M(4개월점검주기)</v>
      </c>
      <c r="B1559" s="17" t="s">
        <v>228</v>
      </c>
      <c r="C1559" s="18" t="s">
        <v>500</v>
      </c>
      <c r="D1559" s="19" t="s">
        <v>266</v>
      </c>
      <c r="E1559" s="19">
        <v>5</v>
      </c>
      <c r="F1559" s="19" t="s">
        <v>0</v>
      </c>
      <c r="G1559" s="20" t="s">
        <v>453</v>
      </c>
      <c r="H1559" s="36">
        <v>48900</v>
      </c>
      <c r="I1559" s="36">
        <v>43900</v>
      </c>
      <c r="J1559" s="25">
        <v>273400</v>
      </c>
    </row>
    <row r="1560" spans="1:10" ht="16" x14ac:dyDescent="0.45">
      <c r="A1560" s="153" t="str">
        <f>B1560&amp;C1560&amp;E1560&amp;G1560</f>
        <v>매트리스프라임 플러스264M(4개월점검주기)</v>
      </c>
      <c r="B1560" s="17" t="s">
        <v>228</v>
      </c>
      <c r="C1560" s="18" t="s">
        <v>500</v>
      </c>
      <c r="D1560" s="19" t="s">
        <v>266</v>
      </c>
      <c r="E1560" s="19">
        <v>6</v>
      </c>
      <c r="F1560" s="19" t="s">
        <v>0</v>
      </c>
      <c r="G1560" s="20" t="s">
        <v>453</v>
      </c>
      <c r="H1560" s="36">
        <v>44900</v>
      </c>
      <c r="I1560" s="36">
        <v>39900</v>
      </c>
      <c r="J1560" s="25">
        <v>273400</v>
      </c>
    </row>
    <row r="1561" spans="1:10" ht="16" x14ac:dyDescent="0.45">
      <c r="A1561" s="153" t="str">
        <f>B1561&amp;C1561&amp;E1561&amp;G1561</f>
        <v>매트리스프라임 플러스274M(4개월점검주기)</v>
      </c>
      <c r="B1561" s="17" t="s">
        <v>228</v>
      </c>
      <c r="C1561" s="18" t="s">
        <v>500</v>
      </c>
      <c r="D1561" s="19" t="s">
        <v>266</v>
      </c>
      <c r="E1561" s="19">
        <v>7</v>
      </c>
      <c r="F1561" s="19" t="s">
        <v>0</v>
      </c>
      <c r="G1561" s="20" t="s">
        <v>453</v>
      </c>
      <c r="H1561" s="36">
        <v>40900</v>
      </c>
      <c r="I1561" s="36">
        <v>35900</v>
      </c>
      <c r="J1561" s="25">
        <v>300700</v>
      </c>
    </row>
    <row r="1562" spans="1:10" ht="16" x14ac:dyDescent="0.45">
      <c r="A1562" s="153" t="str">
        <f>B1562&amp;C1562&amp;E1562&amp;G1562</f>
        <v>매트리스프라임 플러스294M(4개월점검주기)</v>
      </c>
      <c r="B1562" s="17" t="s">
        <v>228</v>
      </c>
      <c r="C1562" s="18" t="s">
        <v>500</v>
      </c>
      <c r="D1562" s="19" t="s">
        <v>266</v>
      </c>
      <c r="E1562" s="19">
        <v>9</v>
      </c>
      <c r="F1562" s="19" t="s">
        <v>0</v>
      </c>
      <c r="G1562" s="20" t="s">
        <v>453</v>
      </c>
      <c r="H1562" s="36">
        <v>36900</v>
      </c>
      <c r="I1562" s="36">
        <v>31900</v>
      </c>
      <c r="J1562" s="25">
        <v>300700</v>
      </c>
    </row>
    <row r="1563" spans="1:10" ht="16" x14ac:dyDescent="0.45">
      <c r="A1563" s="153" t="str">
        <f>B1563&amp;C1563&amp;E1563&amp;G1563</f>
        <v>매트리스프라임 플러스25베이직케어(4M)</v>
      </c>
      <c r="B1563" s="17" t="s">
        <v>228</v>
      </c>
      <c r="C1563" s="18" t="s">
        <v>500</v>
      </c>
      <c r="D1563" s="19" t="s">
        <v>266</v>
      </c>
      <c r="E1563" s="19">
        <v>5</v>
      </c>
      <c r="F1563" s="19" t="s">
        <v>0</v>
      </c>
      <c r="G1563" s="20" t="s">
        <v>608</v>
      </c>
      <c r="H1563" s="36">
        <v>44900</v>
      </c>
      <c r="I1563" s="36">
        <v>39900</v>
      </c>
      <c r="J1563" s="25">
        <v>251000</v>
      </c>
    </row>
    <row r="1564" spans="1:10" ht="16" x14ac:dyDescent="0.45">
      <c r="A1564" s="153" t="str">
        <f>B1564&amp;C1564&amp;E1564&amp;G1564</f>
        <v>매트리스프라임 플러스27베이직케어(4M)</v>
      </c>
      <c r="B1564" s="17" t="s">
        <v>228</v>
      </c>
      <c r="C1564" s="18" t="s">
        <v>500</v>
      </c>
      <c r="D1564" s="19" t="s">
        <v>266</v>
      </c>
      <c r="E1564" s="19">
        <v>7</v>
      </c>
      <c r="F1564" s="19" t="s">
        <v>0</v>
      </c>
      <c r="G1564" s="20" t="s">
        <v>608</v>
      </c>
      <c r="H1564" s="36">
        <v>36900</v>
      </c>
      <c r="I1564" s="36">
        <v>31900</v>
      </c>
      <c r="J1564" s="25">
        <v>276100</v>
      </c>
    </row>
    <row r="1565" spans="1:10" ht="16" x14ac:dyDescent="0.45">
      <c r="A1565" s="153" t="str">
        <f>B1565&amp;C1565&amp;E1565&amp;G1565</f>
        <v>매트리스프라임 플러스29베이직케어(4M)</v>
      </c>
      <c r="B1565" s="17" t="s">
        <v>228</v>
      </c>
      <c r="C1565" s="18" t="s">
        <v>500</v>
      </c>
      <c r="D1565" s="19" t="s">
        <v>266</v>
      </c>
      <c r="E1565" s="19">
        <v>9</v>
      </c>
      <c r="F1565" s="19" t="s">
        <v>0</v>
      </c>
      <c r="G1565" s="20" t="s">
        <v>608</v>
      </c>
      <c r="H1565" s="36">
        <v>32900</v>
      </c>
      <c r="I1565" s="36">
        <v>27900</v>
      </c>
      <c r="J1565" s="25">
        <v>276100</v>
      </c>
    </row>
    <row r="1566" spans="1:10" ht="16" x14ac:dyDescent="0.45">
      <c r="A1566" s="153" t="str">
        <f>B1566&amp;C1566&amp;E1566&amp;G1566</f>
        <v>매트리스프라임 플러스25서비스프리</v>
      </c>
      <c r="B1566" s="17" t="s">
        <v>228</v>
      </c>
      <c r="C1566" s="18" t="s">
        <v>500</v>
      </c>
      <c r="D1566" s="19" t="s">
        <v>266</v>
      </c>
      <c r="E1566" s="19">
        <v>5</v>
      </c>
      <c r="F1566" s="19" t="s">
        <v>0</v>
      </c>
      <c r="G1566" s="20" t="s">
        <v>183</v>
      </c>
      <c r="H1566" s="36">
        <v>42900</v>
      </c>
      <c r="I1566" s="36">
        <v>37900</v>
      </c>
      <c r="J1566" s="25">
        <v>239700</v>
      </c>
    </row>
    <row r="1567" spans="1:10" ht="16" x14ac:dyDescent="0.45">
      <c r="A1567" s="153" t="str">
        <f>B1567&amp;C1567&amp;E1567&amp;G1567</f>
        <v>매트리스프라임 플러스27서비스프리</v>
      </c>
      <c r="B1567" s="17" t="s">
        <v>228</v>
      </c>
      <c r="C1567" s="18" t="s">
        <v>500</v>
      </c>
      <c r="D1567" s="19" t="s">
        <v>266</v>
      </c>
      <c r="E1567" s="19">
        <v>7</v>
      </c>
      <c r="F1567" s="19" t="s">
        <v>0</v>
      </c>
      <c r="G1567" s="20" t="s">
        <v>183</v>
      </c>
      <c r="H1567" s="36">
        <v>34900</v>
      </c>
      <c r="I1567" s="36">
        <v>29900</v>
      </c>
      <c r="J1567" s="25">
        <v>263700</v>
      </c>
    </row>
    <row r="1568" spans="1:10" ht="16" x14ac:dyDescent="0.45">
      <c r="A1568" s="153" t="str">
        <f>B1568&amp;C1568&amp;E1568&amp;G1568</f>
        <v>매트리스프라임 플러스29서비스프리</v>
      </c>
      <c r="B1568" s="17" t="s">
        <v>228</v>
      </c>
      <c r="C1568" s="18" t="s">
        <v>500</v>
      </c>
      <c r="D1568" s="19" t="s">
        <v>266</v>
      </c>
      <c r="E1568" s="19">
        <v>9</v>
      </c>
      <c r="F1568" s="19" t="s">
        <v>0</v>
      </c>
      <c r="G1568" s="20" t="s">
        <v>183</v>
      </c>
      <c r="H1568" s="36">
        <v>30900</v>
      </c>
      <c r="I1568" s="36">
        <v>25900</v>
      </c>
      <c r="J1568" s="25">
        <v>263700</v>
      </c>
    </row>
    <row r="1569" spans="1:10" ht="16" x14ac:dyDescent="0.45">
      <c r="A1569" s="153" t="str">
        <f>B1569&amp;C1569&amp;E1569&amp;G1569</f>
        <v>매트리스프라임 플러스251회서비스</v>
      </c>
      <c r="B1569" s="17" t="s">
        <v>228</v>
      </c>
      <c r="C1569" s="18" t="s">
        <v>500</v>
      </c>
      <c r="D1569" s="19" t="s">
        <v>267</v>
      </c>
      <c r="E1569" s="19">
        <v>5</v>
      </c>
      <c r="F1569" s="19" t="s">
        <v>0</v>
      </c>
      <c r="G1569" s="20" t="s">
        <v>457</v>
      </c>
      <c r="H1569" s="36">
        <v>41900</v>
      </c>
      <c r="I1569" s="36">
        <v>36900</v>
      </c>
      <c r="J1569" s="25">
        <v>239700</v>
      </c>
    </row>
    <row r="1570" spans="1:10" ht="16" x14ac:dyDescent="0.45">
      <c r="A1570" s="153" t="str">
        <f>B1570&amp;C1570&amp;E1570&amp;G1570</f>
        <v>매트리스프라임 플러스271회서비스</v>
      </c>
      <c r="B1570" s="17" t="s">
        <v>228</v>
      </c>
      <c r="C1570" s="18" t="s">
        <v>500</v>
      </c>
      <c r="D1570" s="19" t="s">
        <v>267</v>
      </c>
      <c r="E1570" s="19">
        <v>7</v>
      </c>
      <c r="F1570" s="19" t="s">
        <v>0</v>
      </c>
      <c r="G1570" s="20" t="s">
        <v>457</v>
      </c>
      <c r="H1570" s="36">
        <v>33900</v>
      </c>
      <c r="I1570" s="36">
        <v>28900</v>
      </c>
      <c r="J1570" s="25">
        <v>263700</v>
      </c>
    </row>
    <row r="1571" spans="1:10" ht="16" x14ac:dyDescent="0.45">
      <c r="A1571" s="153" t="str">
        <f>B1571&amp;C1571&amp;E1571&amp;G1571</f>
        <v>매트리스프라임 플러스291회서비스</v>
      </c>
      <c r="B1571" s="17" t="s">
        <v>228</v>
      </c>
      <c r="C1571" s="18" t="s">
        <v>500</v>
      </c>
      <c r="D1571" s="19" t="s">
        <v>267</v>
      </c>
      <c r="E1571" s="19">
        <v>9</v>
      </c>
      <c r="F1571" s="19" t="s">
        <v>0</v>
      </c>
      <c r="G1571" s="20" t="s">
        <v>457</v>
      </c>
      <c r="H1571" s="36">
        <v>29900</v>
      </c>
      <c r="I1571" s="36">
        <v>24900</v>
      </c>
      <c r="J1571" s="25">
        <v>263700</v>
      </c>
    </row>
    <row r="1572" spans="1:10" ht="16" x14ac:dyDescent="0.45">
      <c r="A1572" s="153" t="str">
        <f>B1572&amp;C1572&amp;E1572&amp;G1572</f>
        <v>매트리스프라임 플러스254M(4개월점검주기)</v>
      </c>
      <c r="B1572" s="17" t="s">
        <v>228</v>
      </c>
      <c r="C1572" s="18" t="s">
        <v>500</v>
      </c>
      <c r="D1572" s="19" t="s">
        <v>267</v>
      </c>
      <c r="E1572" s="19">
        <v>5</v>
      </c>
      <c r="F1572" s="19" t="s">
        <v>0</v>
      </c>
      <c r="G1572" s="20" t="s">
        <v>453</v>
      </c>
      <c r="H1572" s="36">
        <v>43900</v>
      </c>
      <c r="I1572" s="36">
        <v>38900</v>
      </c>
      <c r="J1572" s="25">
        <v>251000</v>
      </c>
    </row>
    <row r="1573" spans="1:10" ht="16" x14ac:dyDescent="0.45">
      <c r="A1573" s="153" t="str">
        <f>B1573&amp;C1573&amp;E1573&amp;G1573</f>
        <v>매트리스프라임 플러스264M(4개월점검주기)</v>
      </c>
      <c r="B1573" s="17" t="s">
        <v>228</v>
      </c>
      <c r="C1573" s="18" t="s">
        <v>500</v>
      </c>
      <c r="D1573" s="19" t="s">
        <v>267</v>
      </c>
      <c r="E1573" s="19">
        <v>6</v>
      </c>
      <c r="F1573" s="19" t="s">
        <v>0</v>
      </c>
      <c r="G1573" s="20" t="s">
        <v>453</v>
      </c>
      <c r="H1573" s="36">
        <v>38900</v>
      </c>
      <c r="I1573" s="36">
        <v>33900</v>
      </c>
      <c r="J1573" s="25">
        <v>251000</v>
      </c>
    </row>
    <row r="1574" spans="1:10" ht="16" x14ac:dyDescent="0.45">
      <c r="A1574" s="153" t="str">
        <f>B1574&amp;C1574&amp;E1574&amp;G1574</f>
        <v>매트리스프라임 플러스274M(4개월점검주기)</v>
      </c>
      <c r="B1574" s="17" t="s">
        <v>228</v>
      </c>
      <c r="C1574" s="18" t="s">
        <v>500</v>
      </c>
      <c r="D1574" s="19" t="s">
        <v>267</v>
      </c>
      <c r="E1574" s="19">
        <v>7</v>
      </c>
      <c r="F1574" s="19" t="s">
        <v>0</v>
      </c>
      <c r="G1574" s="20" t="s">
        <v>453</v>
      </c>
      <c r="H1574" s="36">
        <v>35900</v>
      </c>
      <c r="I1574" s="36">
        <v>30900</v>
      </c>
      <c r="J1574" s="25">
        <v>276100</v>
      </c>
    </row>
    <row r="1575" spans="1:10" ht="16" x14ac:dyDescent="0.45">
      <c r="A1575" s="153" t="str">
        <f>B1575&amp;C1575&amp;E1575&amp;G1575</f>
        <v>매트리스프라임 플러스294M(4개월점검주기)</v>
      </c>
      <c r="B1575" s="17" t="s">
        <v>228</v>
      </c>
      <c r="C1575" s="18" t="s">
        <v>500</v>
      </c>
      <c r="D1575" s="19" t="s">
        <v>267</v>
      </c>
      <c r="E1575" s="19">
        <v>9</v>
      </c>
      <c r="F1575" s="19" t="s">
        <v>0</v>
      </c>
      <c r="G1575" s="20" t="s">
        <v>453</v>
      </c>
      <c r="H1575" s="36">
        <v>31900</v>
      </c>
      <c r="I1575" s="36">
        <v>26900</v>
      </c>
      <c r="J1575" s="25">
        <v>276100</v>
      </c>
    </row>
    <row r="1576" spans="1:10" ht="16" x14ac:dyDescent="0.45">
      <c r="A1576" s="153" t="str">
        <f>B1576&amp;C1576&amp;E1576&amp;G1576</f>
        <v>매트리스프라임 플러스25베이직케어(4M)</v>
      </c>
      <c r="B1576" s="17" t="s">
        <v>228</v>
      </c>
      <c r="C1576" s="18" t="s">
        <v>500</v>
      </c>
      <c r="D1576" s="19" t="s">
        <v>267</v>
      </c>
      <c r="E1576" s="19">
        <v>5</v>
      </c>
      <c r="F1576" s="19" t="s">
        <v>0</v>
      </c>
      <c r="G1576" s="20" t="s">
        <v>608</v>
      </c>
      <c r="H1576" s="36">
        <v>39900</v>
      </c>
      <c r="I1576" s="36">
        <v>34900</v>
      </c>
      <c r="J1576" s="25">
        <v>231100</v>
      </c>
    </row>
    <row r="1577" spans="1:10" ht="16" x14ac:dyDescent="0.45">
      <c r="A1577" s="153" t="str">
        <f>B1577&amp;C1577&amp;E1577&amp;G1577</f>
        <v>매트리스프라임 플러스27베이직케어(4M)</v>
      </c>
      <c r="B1577" s="17" t="s">
        <v>228</v>
      </c>
      <c r="C1577" s="18" t="s">
        <v>500</v>
      </c>
      <c r="D1577" s="19" t="s">
        <v>267</v>
      </c>
      <c r="E1577" s="19">
        <v>7</v>
      </c>
      <c r="F1577" s="19" t="s">
        <v>0</v>
      </c>
      <c r="G1577" s="20" t="s">
        <v>608</v>
      </c>
      <c r="H1577" s="36">
        <v>31900</v>
      </c>
      <c r="I1577" s="36">
        <v>26900</v>
      </c>
      <c r="J1577" s="25">
        <v>254200</v>
      </c>
    </row>
    <row r="1578" spans="1:10" ht="16" x14ac:dyDescent="0.45">
      <c r="A1578" s="153" t="str">
        <f>B1578&amp;C1578&amp;E1578&amp;G1578</f>
        <v>매트리스프라임 플러스29베이직케어(4M)</v>
      </c>
      <c r="B1578" s="17" t="s">
        <v>228</v>
      </c>
      <c r="C1578" s="18" t="s">
        <v>500</v>
      </c>
      <c r="D1578" s="19" t="s">
        <v>267</v>
      </c>
      <c r="E1578" s="19">
        <v>9</v>
      </c>
      <c r="F1578" s="19" t="s">
        <v>0</v>
      </c>
      <c r="G1578" s="20" t="s">
        <v>608</v>
      </c>
      <c r="H1578" s="36">
        <v>27900</v>
      </c>
      <c r="I1578" s="36">
        <v>22900</v>
      </c>
      <c r="J1578" s="25">
        <v>254200</v>
      </c>
    </row>
    <row r="1579" spans="1:10" ht="16" x14ac:dyDescent="0.45">
      <c r="A1579" s="153" t="str">
        <f>B1579&amp;C1579&amp;E1579&amp;G1579</f>
        <v>매트리스프라임 플러스25서비스프리</v>
      </c>
      <c r="B1579" s="17" t="s">
        <v>228</v>
      </c>
      <c r="C1579" s="18" t="s">
        <v>500</v>
      </c>
      <c r="D1579" s="19" t="s">
        <v>267</v>
      </c>
      <c r="E1579" s="19">
        <v>5</v>
      </c>
      <c r="F1579" s="19" t="s">
        <v>0</v>
      </c>
      <c r="G1579" s="20" t="s">
        <v>183</v>
      </c>
      <c r="H1579" s="36">
        <v>37900</v>
      </c>
      <c r="I1579" s="36">
        <v>32900</v>
      </c>
      <c r="J1579" s="25">
        <v>219800</v>
      </c>
    </row>
    <row r="1580" spans="1:10" ht="16" x14ac:dyDescent="0.45">
      <c r="A1580" s="153" t="str">
        <f>B1580&amp;C1580&amp;E1580&amp;G1580</f>
        <v>매트리스프라임 플러스27서비스프리</v>
      </c>
      <c r="B1580" s="17" t="s">
        <v>228</v>
      </c>
      <c r="C1580" s="18" t="s">
        <v>500</v>
      </c>
      <c r="D1580" s="19" t="s">
        <v>267</v>
      </c>
      <c r="E1580" s="19">
        <v>7</v>
      </c>
      <c r="F1580" s="19" t="s">
        <v>0</v>
      </c>
      <c r="G1580" s="20" t="s">
        <v>183</v>
      </c>
      <c r="H1580" s="36">
        <v>29900</v>
      </c>
      <c r="I1580" s="36">
        <v>24900</v>
      </c>
      <c r="J1580" s="25">
        <v>241800</v>
      </c>
    </row>
    <row r="1581" spans="1:10" ht="16" x14ac:dyDescent="0.45">
      <c r="A1581" s="153" t="str">
        <f>B1581&amp;C1581&amp;E1581&amp;G1581</f>
        <v>매트리스프라임 플러스29서비스프리</v>
      </c>
      <c r="B1581" s="17" t="s">
        <v>228</v>
      </c>
      <c r="C1581" s="18" t="s">
        <v>500</v>
      </c>
      <c r="D1581" s="19" t="s">
        <v>267</v>
      </c>
      <c r="E1581" s="19">
        <v>9</v>
      </c>
      <c r="F1581" s="19" t="s">
        <v>0</v>
      </c>
      <c r="G1581" s="20" t="s">
        <v>183</v>
      </c>
      <c r="H1581" s="36">
        <v>25900</v>
      </c>
      <c r="I1581" s="36">
        <v>20900</v>
      </c>
      <c r="J1581" s="25">
        <v>241800</v>
      </c>
    </row>
    <row r="1582" spans="1:10" ht="16" x14ac:dyDescent="0.45">
      <c r="A1582" s="153" t="str">
        <f>B1582&amp;C1582&amp;E1582&amp;G1582</f>
        <v>매트리스프라임 플러스251회서비스</v>
      </c>
      <c r="B1582" s="17" t="s">
        <v>228</v>
      </c>
      <c r="C1582" s="18" t="s">
        <v>500</v>
      </c>
      <c r="D1582" s="19" t="s">
        <v>268</v>
      </c>
      <c r="E1582" s="19">
        <v>5</v>
      </c>
      <c r="F1582" s="19" t="s">
        <v>0</v>
      </c>
      <c r="G1582" s="20" t="s">
        <v>457</v>
      </c>
      <c r="H1582" s="36">
        <v>36900</v>
      </c>
      <c r="I1582" s="36">
        <v>31900</v>
      </c>
      <c r="J1582" s="25">
        <v>219800</v>
      </c>
    </row>
    <row r="1583" spans="1:10" ht="16" x14ac:dyDescent="0.45">
      <c r="A1583" s="153" t="str">
        <f>B1583&amp;C1583&amp;E1583&amp;G1583</f>
        <v>매트리스프라임 플러스271회서비스</v>
      </c>
      <c r="B1583" s="17" t="s">
        <v>228</v>
      </c>
      <c r="C1583" s="18" t="s">
        <v>500</v>
      </c>
      <c r="D1583" s="19" t="s">
        <v>268</v>
      </c>
      <c r="E1583" s="19">
        <v>7</v>
      </c>
      <c r="F1583" s="19" t="s">
        <v>0</v>
      </c>
      <c r="G1583" s="20" t="s">
        <v>457</v>
      </c>
      <c r="H1583" s="36">
        <v>29900</v>
      </c>
      <c r="I1583" s="36">
        <v>24900</v>
      </c>
      <c r="J1583" s="25">
        <v>241800</v>
      </c>
    </row>
    <row r="1584" spans="1:10" ht="16" x14ac:dyDescent="0.45">
      <c r="A1584" s="153" t="str">
        <f>B1584&amp;C1584&amp;E1584&amp;G1584</f>
        <v>매트리스프라임 플러스291회서비스</v>
      </c>
      <c r="B1584" s="17" t="s">
        <v>228</v>
      </c>
      <c r="C1584" s="18" t="s">
        <v>500</v>
      </c>
      <c r="D1584" s="19" t="s">
        <v>268</v>
      </c>
      <c r="E1584" s="19">
        <v>9</v>
      </c>
      <c r="F1584" s="19" t="s">
        <v>0</v>
      </c>
      <c r="G1584" s="20" t="s">
        <v>457</v>
      </c>
      <c r="H1584" s="36">
        <v>25900</v>
      </c>
      <c r="I1584" s="36">
        <v>20900</v>
      </c>
      <c r="J1584" s="25">
        <v>241800</v>
      </c>
    </row>
    <row r="1585" spans="1:10" ht="16" x14ac:dyDescent="0.45">
      <c r="A1585" s="153" t="str">
        <f>B1585&amp;C1585&amp;E1585&amp;G1585</f>
        <v>매트리스프라임 플러스254M(4개월점검주기)</v>
      </c>
      <c r="B1585" s="17" t="s">
        <v>228</v>
      </c>
      <c r="C1585" s="18" t="s">
        <v>500</v>
      </c>
      <c r="D1585" s="19" t="s">
        <v>268</v>
      </c>
      <c r="E1585" s="19">
        <v>5</v>
      </c>
      <c r="F1585" s="19" t="s">
        <v>0</v>
      </c>
      <c r="G1585" s="20" t="s">
        <v>453</v>
      </c>
      <c r="H1585" s="36">
        <v>38900</v>
      </c>
      <c r="I1585" s="36">
        <v>33900</v>
      </c>
      <c r="J1585" s="25">
        <v>231100</v>
      </c>
    </row>
    <row r="1586" spans="1:10" ht="16" x14ac:dyDescent="0.45">
      <c r="A1586" s="153" t="str">
        <f>B1586&amp;C1586&amp;E1586&amp;G1586</f>
        <v>매트리스프라임 플러스264M(4개월점검주기)</v>
      </c>
      <c r="B1586" s="17" t="s">
        <v>228</v>
      </c>
      <c r="C1586" s="18" t="s">
        <v>500</v>
      </c>
      <c r="D1586" s="19" t="s">
        <v>268</v>
      </c>
      <c r="E1586" s="19">
        <v>6</v>
      </c>
      <c r="F1586" s="19" t="s">
        <v>0</v>
      </c>
      <c r="G1586" s="20" t="s">
        <v>453</v>
      </c>
      <c r="H1586" s="36">
        <v>34900</v>
      </c>
      <c r="I1586" s="36">
        <v>29900</v>
      </c>
      <c r="J1586" s="25">
        <v>231100</v>
      </c>
    </row>
    <row r="1587" spans="1:10" ht="16" x14ac:dyDescent="0.45">
      <c r="A1587" s="153" t="str">
        <f>B1587&amp;C1587&amp;E1587&amp;G1587</f>
        <v>매트리스프라임 플러스274M(4개월점검주기)</v>
      </c>
      <c r="B1587" s="17" t="s">
        <v>228</v>
      </c>
      <c r="C1587" s="18" t="s">
        <v>500</v>
      </c>
      <c r="D1587" s="19" t="s">
        <v>268</v>
      </c>
      <c r="E1587" s="19">
        <v>7</v>
      </c>
      <c r="F1587" s="19" t="s">
        <v>0</v>
      </c>
      <c r="G1587" s="20" t="s">
        <v>453</v>
      </c>
      <c r="H1587" s="36">
        <v>31900</v>
      </c>
      <c r="I1587" s="36">
        <v>26900</v>
      </c>
      <c r="J1587" s="25">
        <v>254200</v>
      </c>
    </row>
    <row r="1588" spans="1:10" ht="16" x14ac:dyDescent="0.45">
      <c r="A1588" s="153" t="str">
        <f>B1588&amp;C1588&amp;E1588&amp;G1588</f>
        <v>매트리스프라임 플러스294M(4개월점검주기)</v>
      </c>
      <c r="B1588" s="17" t="s">
        <v>228</v>
      </c>
      <c r="C1588" s="18" t="s">
        <v>500</v>
      </c>
      <c r="D1588" s="19" t="s">
        <v>268</v>
      </c>
      <c r="E1588" s="19">
        <v>9</v>
      </c>
      <c r="F1588" s="19" t="s">
        <v>0</v>
      </c>
      <c r="G1588" s="20" t="s">
        <v>453</v>
      </c>
      <c r="H1588" s="36">
        <v>27900</v>
      </c>
      <c r="I1588" s="36">
        <v>22900</v>
      </c>
      <c r="J1588" s="25">
        <v>254200</v>
      </c>
    </row>
    <row r="1589" spans="1:10" ht="16" x14ac:dyDescent="0.45">
      <c r="A1589" s="153" t="str">
        <f>B1589&amp;C1589&amp;E1589&amp;G1589</f>
        <v>매트리스프라임 플러스25베이직케어(4M)</v>
      </c>
      <c r="B1589" s="17" t="s">
        <v>228</v>
      </c>
      <c r="C1589" s="18" t="s">
        <v>500</v>
      </c>
      <c r="D1589" s="19" t="s">
        <v>268</v>
      </c>
      <c r="E1589" s="19">
        <v>5</v>
      </c>
      <c r="F1589" s="19" t="s">
        <v>0</v>
      </c>
      <c r="G1589" s="20" t="s">
        <v>608</v>
      </c>
      <c r="H1589" s="36">
        <v>34900</v>
      </c>
      <c r="I1589" s="36">
        <v>29900</v>
      </c>
      <c r="J1589" s="25">
        <v>208600</v>
      </c>
    </row>
    <row r="1590" spans="1:10" ht="16" x14ac:dyDescent="0.45">
      <c r="A1590" s="153" t="str">
        <f>B1590&amp;C1590&amp;E1590&amp;G1590</f>
        <v>매트리스프라임 플러스27베이직케어(4M)</v>
      </c>
      <c r="B1590" s="17" t="s">
        <v>228</v>
      </c>
      <c r="C1590" s="18" t="s">
        <v>500</v>
      </c>
      <c r="D1590" s="19" t="s">
        <v>268</v>
      </c>
      <c r="E1590" s="19">
        <v>7</v>
      </c>
      <c r="F1590" s="19" t="s">
        <v>0</v>
      </c>
      <c r="G1590" s="20" t="s">
        <v>608</v>
      </c>
      <c r="H1590" s="36">
        <v>27900</v>
      </c>
      <c r="I1590" s="36">
        <v>22900</v>
      </c>
      <c r="J1590" s="25">
        <v>229500</v>
      </c>
    </row>
    <row r="1591" spans="1:10" ht="16" x14ac:dyDescent="0.45">
      <c r="A1591" s="153" t="str">
        <f>B1591&amp;C1591&amp;E1591&amp;G1591</f>
        <v>매트리스프라임 플러스29베이직케어(4M)</v>
      </c>
      <c r="B1591" s="17" t="s">
        <v>228</v>
      </c>
      <c r="C1591" s="18" t="s">
        <v>500</v>
      </c>
      <c r="D1591" s="19" t="s">
        <v>268</v>
      </c>
      <c r="E1591" s="19">
        <v>9</v>
      </c>
      <c r="F1591" s="19" t="s">
        <v>0</v>
      </c>
      <c r="G1591" s="20" t="s">
        <v>608</v>
      </c>
      <c r="H1591" s="36">
        <v>23900</v>
      </c>
      <c r="I1591" s="36">
        <v>18900</v>
      </c>
      <c r="J1591" s="25">
        <v>229500</v>
      </c>
    </row>
    <row r="1592" spans="1:10" ht="16" x14ac:dyDescent="0.45">
      <c r="A1592" s="153" t="str">
        <f>B1592&amp;C1592&amp;E1592&amp;G1592</f>
        <v>매트리스프라임 플러스25서비스프리</v>
      </c>
      <c r="B1592" s="17" t="s">
        <v>228</v>
      </c>
      <c r="C1592" s="18" t="s">
        <v>500</v>
      </c>
      <c r="D1592" s="19" t="s">
        <v>268</v>
      </c>
      <c r="E1592" s="19">
        <v>5</v>
      </c>
      <c r="F1592" s="19" t="s">
        <v>0</v>
      </c>
      <c r="G1592" s="20" t="s">
        <v>183</v>
      </c>
      <c r="H1592" s="36">
        <v>32900</v>
      </c>
      <c r="I1592" s="36">
        <v>27900</v>
      </c>
      <c r="J1592" s="25">
        <v>208600</v>
      </c>
    </row>
    <row r="1593" spans="1:10" ht="16" x14ac:dyDescent="0.45">
      <c r="A1593" s="153" t="str">
        <f>B1593&amp;C1593&amp;E1593&amp;G1593</f>
        <v>매트리스프라임 플러스27서비스프리</v>
      </c>
      <c r="B1593" s="17" t="s">
        <v>228</v>
      </c>
      <c r="C1593" s="18" t="s">
        <v>500</v>
      </c>
      <c r="D1593" s="19" t="s">
        <v>268</v>
      </c>
      <c r="E1593" s="19">
        <v>7</v>
      </c>
      <c r="F1593" s="19" t="s">
        <v>0</v>
      </c>
      <c r="G1593" s="20" t="s">
        <v>183</v>
      </c>
      <c r="H1593" s="36">
        <v>25900</v>
      </c>
      <c r="I1593" s="36">
        <v>20900</v>
      </c>
      <c r="J1593" s="25">
        <v>229500</v>
      </c>
    </row>
    <row r="1594" spans="1:10" ht="16" x14ac:dyDescent="0.45">
      <c r="A1594" s="153" t="str">
        <f>B1594&amp;C1594&amp;E1594&amp;G1594</f>
        <v>매트리스프라임 플러스29서비스프리</v>
      </c>
      <c r="B1594" s="17" t="s">
        <v>228</v>
      </c>
      <c r="C1594" s="18" t="s">
        <v>500</v>
      </c>
      <c r="D1594" s="19" t="s">
        <v>268</v>
      </c>
      <c r="E1594" s="19">
        <v>9</v>
      </c>
      <c r="F1594" s="19" t="s">
        <v>0</v>
      </c>
      <c r="G1594" s="20" t="s">
        <v>183</v>
      </c>
      <c r="H1594" s="36">
        <v>21900</v>
      </c>
      <c r="I1594" s="36">
        <v>16900</v>
      </c>
      <c r="J1594" s="25">
        <v>229500</v>
      </c>
    </row>
    <row r="1595" spans="1:10" ht="16" x14ac:dyDescent="0.45">
      <c r="A1595" s="153" t="str">
        <f>B1595&amp;C1595&amp;E1595&amp;G1595</f>
        <v>매트리스프라임S51회서비스</v>
      </c>
      <c r="B1595" s="17" t="s">
        <v>228</v>
      </c>
      <c r="C1595" s="18" t="s">
        <v>501</v>
      </c>
      <c r="D1595" s="19" t="s">
        <v>269</v>
      </c>
      <c r="E1595" s="19">
        <v>5</v>
      </c>
      <c r="F1595" s="19" t="s">
        <v>0</v>
      </c>
      <c r="G1595" s="20" t="s">
        <v>457</v>
      </c>
      <c r="H1595" s="36">
        <v>24900</v>
      </c>
      <c r="I1595" s="36">
        <v>24900</v>
      </c>
      <c r="J1595" s="25">
        <v>197400</v>
      </c>
    </row>
    <row r="1596" spans="1:10" ht="16" x14ac:dyDescent="0.45">
      <c r="A1596" s="153" t="str">
        <f>B1596&amp;C1596&amp;E1596&amp;G1596</f>
        <v>매트리스프라임S71회서비스</v>
      </c>
      <c r="B1596" s="17" t="s">
        <v>228</v>
      </c>
      <c r="C1596" s="18" t="s">
        <v>501</v>
      </c>
      <c r="D1596" s="19" t="s">
        <v>269</v>
      </c>
      <c r="E1596" s="19">
        <v>7</v>
      </c>
      <c r="F1596" s="19" t="s">
        <v>0</v>
      </c>
      <c r="G1596" s="20" t="s">
        <v>457</v>
      </c>
      <c r="H1596" s="36">
        <v>19900</v>
      </c>
      <c r="I1596" s="36">
        <v>19900</v>
      </c>
      <c r="J1596" s="25">
        <v>217100</v>
      </c>
    </row>
    <row r="1597" spans="1:10" ht="16" x14ac:dyDescent="0.45">
      <c r="A1597" s="153" t="str">
        <f>B1597&amp;C1597&amp;E1597&amp;G1597</f>
        <v>매트리스프라임S91회서비스</v>
      </c>
      <c r="B1597" s="17" t="s">
        <v>228</v>
      </c>
      <c r="C1597" s="18" t="s">
        <v>501</v>
      </c>
      <c r="D1597" s="19" t="s">
        <v>269</v>
      </c>
      <c r="E1597" s="19">
        <v>9</v>
      </c>
      <c r="F1597" s="19" t="s">
        <v>0</v>
      </c>
      <c r="G1597" s="20" t="s">
        <v>457</v>
      </c>
      <c r="H1597" s="36">
        <v>16900</v>
      </c>
      <c r="I1597" s="36">
        <v>16900</v>
      </c>
      <c r="J1597" s="25">
        <v>217100</v>
      </c>
    </row>
    <row r="1598" spans="1:10" ht="16" x14ac:dyDescent="0.45">
      <c r="A1598" s="153" t="str">
        <f>B1598&amp;C1598&amp;E1598&amp;G1598</f>
        <v>매트리스프라임S54M(4개월점검주기)</v>
      </c>
      <c r="B1598" s="17" t="s">
        <v>228</v>
      </c>
      <c r="C1598" s="18" t="s">
        <v>501</v>
      </c>
      <c r="D1598" s="19" t="s">
        <v>269</v>
      </c>
      <c r="E1598" s="19">
        <v>5</v>
      </c>
      <c r="F1598" s="19" t="s">
        <v>0</v>
      </c>
      <c r="G1598" s="20" t="s">
        <v>453</v>
      </c>
      <c r="H1598" s="36">
        <v>26900</v>
      </c>
      <c r="I1598" s="36">
        <v>26900</v>
      </c>
      <c r="J1598" s="25">
        <v>208600</v>
      </c>
    </row>
    <row r="1599" spans="1:10" ht="16" x14ac:dyDescent="0.45">
      <c r="A1599" s="153" t="str">
        <f>B1599&amp;C1599&amp;E1599&amp;G1599</f>
        <v>매트리스프라임S64M(4개월점검주기)</v>
      </c>
      <c r="B1599" s="17" t="s">
        <v>228</v>
      </c>
      <c r="C1599" s="18" t="s">
        <v>501</v>
      </c>
      <c r="D1599" s="19" t="s">
        <v>269</v>
      </c>
      <c r="E1599" s="19">
        <v>6</v>
      </c>
      <c r="F1599" s="19" t="s">
        <v>0</v>
      </c>
      <c r="G1599" s="20" t="s">
        <v>453</v>
      </c>
      <c r="H1599" s="36">
        <v>23900</v>
      </c>
      <c r="I1599" s="36">
        <v>23900</v>
      </c>
      <c r="J1599" s="25">
        <v>208600</v>
      </c>
    </row>
    <row r="1600" spans="1:10" ht="16" x14ac:dyDescent="0.45">
      <c r="A1600" s="153" t="str">
        <f>B1600&amp;C1600&amp;E1600&amp;G1600</f>
        <v>매트리스프라임S74M(4개월점검주기)</v>
      </c>
      <c r="B1600" s="17" t="s">
        <v>228</v>
      </c>
      <c r="C1600" s="18" t="s">
        <v>501</v>
      </c>
      <c r="D1600" s="19" t="s">
        <v>269</v>
      </c>
      <c r="E1600" s="19">
        <v>7</v>
      </c>
      <c r="F1600" s="19" t="s">
        <v>0</v>
      </c>
      <c r="G1600" s="20" t="s">
        <v>453</v>
      </c>
      <c r="H1600" s="36">
        <v>21900</v>
      </c>
      <c r="I1600" s="36">
        <v>21900</v>
      </c>
      <c r="J1600" s="25">
        <v>229500</v>
      </c>
    </row>
    <row r="1601" spans="1:10" ht="16" x14ac:dyDescent="0.45">
      <c r="A1601" s="153" t="str">
        <f>B1601&amp;C1601&amp;E1601&amp;G1601</f>
        <v>매트리스프라임S94M(4개월점검주기)</v>
      </c>
      <c r="B1601" s="17" t="s">
        <v>228</v>
      </c>
      <c r="C1601" s="18" t="s">
        <v>501</v>
      </c>
      <c r="D1601" s="19" t="s">
        <v>269</v>
      </c>
      <c r="E1601" s="19">
        <v>9</v>
      </c>
      <c r="F1601" s="19" t="s">
        <v>0</v>
      </c>
      <c r="G1601" s="20" t="s">
        <v>453</v>
      </c>
      <c r="H1601" s="36">
        <v>18900</v>
      </c>
      <c r="I1601" s="36">
        <v>18900</v>
      </c>
      <c r="J1601" s="25">
        <v>229500</v>
      </c>
    </row>
    <row r="1602" spans="1:10" ht="16" x14ac:dyDescent="0.45">
      <c r="A1602" s="153" t="str">
        <f>B1602&amp;C1602&amp;E1602&amp;G1602</f>
        <v>매트리스프라임S5베이직케어(4M)</v>
      </c>
      <c r="B1602" s="17" t="s">
        <v>228</v>
      </c>
      <c r="C1602" s="18" t="s">
        <v>501</v>
      </c>
      <c r="D1602" s="19" t="s">
        <v>269</v>
      </c>
      <c r="E1602" s="19">
        <v>5</v>
      </c>
      <c r="F1602" s="19" t="s">
        <v>0</v>
      </c>
      <c r="G1602" s="20" t="s">
        <v>608</v>
      </c>
      <c r="H1602" s="36">
        <v>24900</v>
      </c>
      <c r="I1602" s="36">
        <v>24900</v>
      </c>
      <c r="J1602" s="25">
        <v>197400</v>
      </c>
    </row>
    <row r="1603" spans="1:10" ht="16" x14ac:dyDescent="0.45">
      <c r="A1603" s="153" t="str">
        <f>B1603&amp;C1603&amp;E1603&amp;G1603</f>
        <v>매트리스프라임S7베이직케어(4M)</v>
      </c>
      <c r="B1603" s="17" t="s">
        <v>228</v>
      </c>
      <c r="C1603" s="18" t="s">
        <v>501</v>
      </c>
      <c r="D1603" s="19" t="s">
        <v>269</v>
      </c>
      <c r="E1603" s="19">
        <v>7</v>
      </c>
      <c r="F1603" s="19" t="s">
        <v>0</v>
      </c>
      <c r="G1603" s="20" t="s">
        <v>608</v>
      </c>
      <c r="H1603" s="36">
        <v>19900</v>
      </c>
      <c r="I1603" s="36">
        <v>19900</v>
      </c>
      <c r="J1603" s="25">
        <v>217100</v>
      </c>
    </row>
    <row r="1604" spans="1:10" ht="16" x14ac:dyDescent="0.45">
      <c r="A1604" s="153" t="str">
        <f>B1604&amp;C1604&amp;E1604&amp;G1604</f>
        <v>매트리스프라임S9베이직케어(4M)</v>
      </c>
      <c r="B1604" s="17" t="s">
        <v>228</v>
      </c>
      <c r="C1604" s="18" t="s">
        <v>501</v>
      </c>
      <c r="D1604" s="19" t="s">
        <v>269</v>
      </c>
      <c r="E1604" s="19">
        <v>9</v>
      </c>
      <c r="F1604" s="19" t="s">
        <v>0</v>
      </c>
      <c r="G1604" s="20" t="s">
        <v>608</v>
      </c>
      <c r="H1604" s="36">
        <v>16900</v>
      </c>
      <c r="I1604" s="36">
        <v>16900</v>
      </c>
      <c r="J1604" s="25">
        <v>217100</v>
      </c>
    </row>
    <row r="1605" spans="1:10" ht="16" x14ac:dyDescent="0.45">
      <c r="A1605" s="153" t="str">
        <f>B1605&amp;C1605&amp;E1605&amp;G1605</f>
        <v>매트리스프라임S5서비스프리</v>
      </c>
      <c r="B1605" s="17" t="s">
        <v>228</v>
      </c>
      <c r="C1605" s="18" t="s">
        <v>501</v>
      </c>
      <c r="D1605" s="19" t="s">
        <v>269</v>
      </c>
      <c r="E1605" s="19">
        <v>5</v>
      </c>
      <c r="F1605" s="19" t="s">
        <v>0</v>
      </c>
      <c r="G1605" s="20" t="s">
        <v>183</v>
      </c>
      <c r="H1605" s="36">
        <v>22900</v>
      </c>
      <c r="I1605" s="36">
        <v>22900</v>
      </c>
      <c r="J1605" s="25">
        <v>197400</v>
      </c>
    </row>
    <row r="1606" spans="1:10" ht="16" x14ac:dyDescent="0.45">
      <c r="A1606" s="153" t="str">
        <f>B1606&amp;C1606&amp;E1606&amp;G1606</f>
        <v>매트리스프라임S7서비스프리</v>
      </c>
      <c r="B1606" s="17" t="s">
        <v>228</v>
      </c>
      <c r="C1606" s="18" t="s">
        <v>501</v>
      </c>
      <c r="D1606" s="19" t="s">
        <v>269</v>
      </c>
      <c r="E1606" s="19">
        <v>7</v>
      </c>
      <c r="F1606" s="19" t="s">
        <v>0</v>
      </c>
      <c r="G1606" s="20" t="s">
        <v>183</v>
      </c>
      <c r="H1606" s="36">
        <v>17900</v>
      </c>
      <c r="I1606" s="36">
        <v>17900</v>
      </c>
      <c r="J1606" s="25">
        <v>217100</v>
      </c>
    </row>
    <row r="1607" spans="1:10" ht="16" x14ac:dyDescent="0.45">
      <c r="A1607" s="153" t="str">
        <f>B1607&amp;C1607&amp;E1607&amp;G1607</f>
        <v>매트리스프라임S9서비스프리</v>
      </c>
      <c r="B1607" s="17" t="s">
        <v>228</v>
      </c>
      <c r="C1607" s="18" t="s">
        <v>501</v>
      </c>
      <c r="D1607" s="19" t="s">
        <v>269</v>
      </c>
      <c r="E1607" s="19">
        <v>9</v>
      </c>
      <c r="F1607" s="19" t="s">
        <v>0</v>
      </c>
      <c r="G1607" s="20" t="s">
        <v>183</v>
      </c>
      <c r="H1607" s="36">
        <v>14900</v>
      </c>
      <c r="I1607" s="36">
        <v>14900</v>
      </c>
      <c r="J1607" s="25">
        <v>217100</v>
      </c>
    </row>
    <row r="1608" spans="1:10" ht="16" x14ac:dyDescent="0.45">
      <c r="A1608" s="153" t="str">
        <f>B1608&amp;C1608&amp;E1608&amp;G1608</f>
        <v>매트리스프라임플러스 커버형54M(4개월점검주기)</v>
      </c>
      <c r="B1608" s="17" t="s">
        <v>228</v>
      </c>
      <c r="C1608" s="18" t="s">
        <v>502</v>
      </c>
      <c r="D1608" s="19" t="s">
        <v>470</v>
      </c>
      <c r="E1608" s="19">
        <v>5</v>
      </c>
      <c r="F1608" s="19" t="s">
        <v>0</v>
      </c>
      <c r="G1608" s="20" t="s">
        <v>453</v>
      </c>
      <c r="H1608" s="36">
        <v>40900</v>
      </c>
      <c r="I1608" s="36">
        <v>40900</v>
      </c>
      <c r="J1608" s="25">
        <v>251000</v>
      </c>
    </row>
    <row r="1609" spans="1:10" ht="16" x14ac:dyDescent="0.45">
      <c r="A1609" s="153" t="str">
        <f>B1609&amp;C1609&amp;E1609&amp;G1609</f>
        <v>매트리스프라임플러스 커버형74M(4개월점검주기)</v>
      </c>
      <c r="B1609" s="17" t="s">
        <v>228</v>
      </c>
      <c r="C1609" s="18" t="s">
        <v>502</v>
      </c>
      <c r="D1609" s="19" t="s">
        <v>470</v>
      </c>
      <c r="E1609" s="19">
        <v>7</v>
      </c>
      <c r="F1609" s="19" t="s">
        <v>0</v>
      </c>
      <c r="G1609" s="20" t="s">
        <v>453</v>
      </c>
      <c r="H1609" s="36">
        <v>32900</v>
      </c>
      <c r="I1609" s="36">
        <v>32900</v>
      </c>
      <c r="J1609" s="25">
        <v>276100</v>
      </c>
    </row>
    <row r="1610" spans="1:10" ht="16" x14ac:dyDescent="0.45">
      <c r="A1610" s="153" t="str">
        <f>B1610&amp;C1610&amp;E1610&amp;G1610</f>
        <v>매트리스프라임플러스 커버형94M(4개월점검주기)</v>
      </c>
      <c r="B1610" s="17" t="s">
        <v>228</v>
      </c>
      <c r="C1610" s="18" t="s">
        <v>502</v>
      </c>
      <c r="D1610" s="19" t="s">
        <v>470</v>
      </c>
      <c r="E1610" s="19">
        <v>9</v>
      </c>
      <c r="F1610" s="19" t="s">
        <v>0</v>
      </c>
      <c r="G1610" s="20" t="s">
        <v>453</v>
      </c>
      <c r="H1610" s="36">
        <v>28900</v>
      </c>
      <c r="I1610" s="36">
        <v>28900</v>
      </c>
      <c r="J1610" s="25">
        <v>276100</v>
      </c>
    </row>
    <row r="1611" spans="1:10" ht="16" x14ac:dyDescent="0.45">
      <c r="A1611" s="153" t="str">
        <f>B1611&amp;C1611&amp;E1611&amp;G1611</f>
        <v>매트리스프라임플러스 커버형54M(4개월점검주기)</v>
      </c>
      <c r="B1611" s="17" t="s">
        <v>228</v>
      </c>
      <c r="C1611" s="18" t="s">
        <v>502</v>
      </c>
      <c r="D1611" s="19" t="s">
        <v>471</v>
      </c>
      <c r="E1611" s="19">
        <v>5</v>
      </c>
      <c r="F1611" s="19" t="s">
        <v>0</v>
      </c>
      <c r="G1611" s="20" t="s">
        <v>453</v>
      </c>
      <c r="H1611" s="36">
        <v>35900</v>
      </c>
      <c r="I1611" s="36">
        <v>35900</v>
      </c>
      <c r="J1611" s="25">
        <v>239700</v>
      </c>
    </row>
    <row r="1612" spans="1:10" ht="16" x14ac:dyDescent="0.45">
      <c r="A1612" s="153" t="str">
        <f>B1612&amp;C1612&amp;E1612&amp;G1612</f>
        <v>매트리스프라임플러스 커버형64M(4개월점검주기)</v>
      </c>
      <c r="B1612" s="17" t="s">
        <v>228</v>
      </c>
      <c r="C1612" s="18" t="s">
        <v>502</v>
      </c>
      <c r="D1612" s="19" t="s">
        <v>471</v>
      </c>
      <c r="E1612" s="19">
        <v>6</v>
      </c>
      <c r="F1612" s="19" t="s">
        <v>0</v>
      </c>
      <c r="G1612" s="20" t="s">
        <v>453</v>
      </c>
      <c r="H1612" s="36">
        <v>31900</v>
      </c>
      <c r="I1612" s="36">
        <v>31900</v>
      </c>
      <c r="J1612" s="25">
        <v>239700</v>
      </c>
    </row>
    <row r="1613" spans="1:10" ht="16" x14ac:dyDescent="0.45">
      <c r="A1613" s="153" t="str">
        <f>B1613&amp;C1613&amp;E1613&amp;G1613</f>
        <v>매트리스프라임플러스 커버형74M(4개월점검주기)</v>
      </c>
      <c r="B1613" s="17" t="s">
        <v>228</v>
      </c>
      <c r="C1613" s="18" t="s">
        <v>502</v>
      </c>
      <c r="D1613" s="19" t="s">
        <v>471</v>
      </c>
      <c r="E1613" s="19">
        <v>7</v>
      </c>
      <c r="F1613" s="19" t="s">
        <v>0</v>
      </c>
      <c r="G1613" s="20" t="s">
        <v>453</v>
      </c>
      <c r="H1613" s="36">
        <v>28900</v>
      </c>
      <c r="I1613" s="36">
        <v>28900</v>
      </c>
      <c r="J1613" s="25">
        <v>263700</v>
      </c>
    </row>
    <row r="1614" spans="1:10" ht="16" x14ac:dyDescent="0.45">
      <c r="A1614" s="153" t="str">
        <f>B1614&amp;C1614&amp;E1614&amp;G1614</f>
        <v>매트리스프라임플러스 커버형94M(4개월점검주기)</v>
      </c>
      <c r="B1614" s="17" t="s">
        <v>228</v>
      </c>
      <c r="C1614" s="18" t="s">
        <v>502</v>
      </c>
      <c r="D1614" s="19" t="s">
        <v>471</v>
      </c>
      <c r="E1614" s="19">
        <v>9</v>
      </c>
      <c r="F1614" s="19" t="s">
        <v>0</v>
      </c>
      <c r="G1614" s="20" t="s">
        <v>453</v>
      </c>
      <c r="H1614" s="36">
        <v>24900</v>
      </c>
      <c r="I1614" s="36">
        <v>24900</v>
      </c>
      <c r="J1614" s="25">
        <v>263700</v>
      </c>
    </row>
    <row r="1615" spans="1:10" ht="16" x14ac:dyDescent="0.45">
      <c r="A1615" s="153" t="str">
        <f>B1615&amp;C1615&amp;E1615&amp;G1615</f>
        <v>매트리스하이브리드254M(4개월점검주기)</v>
      </c>
      <c r="B1615" s="17" t="s">
        <v>228</v>
      </c>
      <c r="C1615" s="18" t="s">
        <v>503</v>
      </c>
      <c r="D1615" s="19" t="s">
        <v>233</v>
      </c>
      <c r="E1615" s="19">
        <v>5</v>
      </c>
      <c r="F1615" s="19" t="s">
        <v>0</v>
      </c>
      <c r="G1615" s="20" t="s">
        <v>453</v>
      </c>
      <c r="H1615" s="36">
        <v>57900</v>
      </c>
      <c r="I1615" s="36">
        <v>57900</v>
      </c>
      <c r="J1615" s="25">
        <v>295900</v>
      </c>
    </row>
    <row r="1616" spans="1:10" ht="16" x14ac:dyDescent="0.45">
      <c r="A1616" s="153" t="str">
        <f>B1616&amp;C1616&amp;E1616&amp;G1616</f>
        <v>매트리스하이브리드264M(4개월점검주기)</v>
      </c>
      <c r="B1616" s="17" t="s">
        <v>228</v>
      </c>
      <c r="C1616" s="18" t="s">
        <v>503</v>
      </c>
      <c r="D1616" s="19" t="s">
        <v>233</v>
      </c>
      <c r="E1616" s="19">
        <v>6</v>
      </c>
      <c r="F1616" s="19" t="s">
        <v>0</v>
      </c>
      <c r="G1616" s="20" t="s">
        <v>453</v>
      </c>
      <c r="H1616" s="36">
        <v>53900</v>
      </c>
      <c r="I1616" s="36">
        <v>53900</v>
      </c>
      <c r="J1616" s="25">
        <v>295900</v>
      </c>
    </row>
    <row r="1617" spans="1:10" ht="16" x14ac:dyDescent="0.45">
      <c r="A1617" s="153" t="str">
        <f>B1617&amp;C1617&amp;E1617&amp;G1617</f>
        <v>매트리스하이브리드274M(4개월점검주기)</v>
      </c>
      <c r="B1617" s="17" t="s">
        <v>228</v>
      </c>
      <c r="C1617" s="18" t="s">
        <v>503</v>
      </c>
      <c r="D1617" s="19" t="s">
        <v>233</v>
      </c>
      <c r="E1617" s="19">
        <v>7</v>
      </c>
      <c r="F1617" s="19" t="s">
        <v>0</v>
      </c>
      <c r="G1617" s="20" t="s">
        <v>453</v>
      </c>
      <c r="H1617" s="36">
        <v>49900</v>
      </c>
      <c r="I1617" s="36">
        <v>49900</v>
      </c>
      <c r="J1617" s="25">
        <v>325500</v>
      </c>
    </row>
    <row r="1618" spans="1:10" ht="16" x14ac:dyDescent="0.45">
      <c r="A1618" s="153" t="str">
        <f>B1618&amp;C1618&amp;E1618&amp;G1618</f>
        <v>매트리스하이브리드294M(4개월점검주기)</v>
      </c>
      <c r="B1618" s="17" t="s">
        <v>228</v>
      </c>
      <c r="C1618" s="18" t="s">
        <v>503</v>
      </c>
      <c r="D1618" s="19" t="s">
        <v>233</v>
      </c>
      <c r="E1618" s="19">
        <v>9</v>
      </c>
      <c r="F1618" s="19" t="s">
        <v>0</v>
      </c>
      <c r="G1618" s="20" t="s">
        <v>453</v>
      </c>
      <c r="H1618" s="36">
        <v>44900</v>
      </c>
      <c r="I1618" s="36">
        <v>44900</v>
      </c>
      <c r="J1618" s="25">
        <v>325500</v>
      </c>
    </row>
    <row r="1619" spans="1:10" ht="16" x14ac:dyDescent="0.45">
      <c r="A1619" s="153" t="str">
        <f>B1619&amp;C1619&amp;E1619&amp;G1619</f>
        <v>매트리스하이브리드254M(4개월점검주기)</v>
      </c>
      <c r="B1619" s="17" t="s">
        <v>228</v>
      </c>
      <c r="C1619" s="18" t="s">
        <v>503</v>
      </c>
      <c r="D1619" s="19" t="s">
        <v>232</v>
      </c>
      <c r="E1619" s="19">
        <v>5</v>
      </c>
      <c r="F1619" s="19" t="s">
        <v>0</v>
      </c>
      <c r="G1619" s="20" t="s">
        <v>453</v>
      </c>
      <c r="H1619" s="36">
        <v>53900</v>
      </c>
      <c r="I1619" s="36">
        <v>53900</v>
      </c>
      <c r="J1619" s="25">
        <v>295900</v>
      </c>
    </row>
    <row r="1620" spans="1:10" ht="16" x14ac:dyDescent="0.45">
      <c r="A1620" s="153" t="str">
        <f>B1620&amp;C1620&amp;E1620&amp;G1620</f>
        <v>매트리스하이브리드264M(4개월점검주기)</v>
      </c>
      <c r="B1620" s="17" t="s">
        <v>228</v>
      </c>
      <c r="C1620" s="18" t="s">
        <v>503</v>
      </c>
      <c r="D1620" s="19" t="s">
        <v>232</v>
      </c>
      <c r="E1620" s="19">
        <v>6</v>
      </c>
      <c r="F1620" s="19" t="s">
        <v>0</v>
      </c>
      <c r="G1620" s="20" t="s">
        <v>453</v>
      </c>
      <c r="H1620" s="36">
        <v>48900</v>
      </c>
      <c r="I1620" s="36">
        <v>48900</v>
      </c>
      <c r="J1620" s="25">
        <v>295900</v>
      </c>
    </row>
    <row r="1621" spans="1:10" ht="16" x14ac:dyDescent="0.45">
      <c r="A1621" s="153" t="str">
        <f>B1621&amp;C1621&amp;E1621&amp;G1621</f>
        <v>매트리스하이브리드274M(4개월점검주기)</v>
      </c>
      <c r="B1621" s="17" t="s">
        <v>228</v>
      </c>
      <c r="C1621" s="18" t="s">
        <v>503</v>
      </c>
      <c r="D1621" s="19" t="s">
        <v>232</v>
      </c>
      <c r="E1621" s="19">
        <v>7</v>
      </c>
      <c r="F1621" s="19" t="s">
        <v>0</v>
      </c>
      <c r="G1621" s="20" t="s">
        <v>453</v>
      </c>
      <c r="H1621" s="36">
        <v>45900</v>
      </c>
      <c r="I1621" s="36">
        <v>45900</v>
      </c>
      <c r="J1621" s="25">
        <v>325500</v>
      </c>
    </row>
    <row r="1622" spans="1:10" ht="16" x14ac:dyDescent="0.45">
      <c r="A1622" s="153" t="str">
        <f>B1622&amp;C1622&amp;E1622&amp;G1622</f>
        <v>매트리스하이브리드294M(4개월점검주기)</v>
      </c>
      <c r="B1622" s="17" t="s">
        <v>228</v>
      </c>
      <c r="C1622" s="18" t="s">
        <v>503</v>
      </c>
      <c r="D1622" s="19" t="s">
        <v>232</v>
      </c>
      <c r="E1622" s="19">
        <v>9</v>
      </c>
      <c r="F1622" s="19" t="s">
        <v>0</v>
      </c>
      <c r="G1622" s="20" t="s">
        <v>453</v>
      </c>
      <c r="H1622" s="36">
        <v>40900</v>
      </c>
      <c r="I1622" s="36">
        <v>40900</v>
      </c>
      <c r="J1622" s="25">
        <v>325500</v>
      </c>
    </row>
    <row r="1623" spans="1:10" ht="16" x14ac:dyDescent="0.45">
      <c r="A1623" s="153" t="str">
        <f>B1623&amp;C1623&amp;E1623&amp;G1623</f>
        <v>매트리스하이브리드351회서비스</v>
      </c>
      <c r="B1623" s="17" t="s">
        <v>228</v>
      </c>
      <c r="C1623" s="18" t="s">
        <v>504</v>
      </c>
      <c r="D1623" s="19" t="s">
        <v>243</v>
      </c>
      <c r="E1623" s="19">
        <v>5</v>
      </c>
      <c r="F1623" s="19" t="s">
        <v>0</v>
      </c>
      <c r="G1623" s="20" t="s">
        <v>457</v>
      </c>
      <c r="H1623" s="36">
        <v>51900</v>
      </c>
      <c r="I1623" s="36">
        <v>51900</v>
      </c>
      <c r="J1623" s="25">
        <v>284700</v>
      </c>
    </row>
    <row r="1624" spans="1:10" ht="16" x14ac:dyDescent="0.45">
      <c r="A1624" s="153" t="str">
        <f>B1624&amp;C1624&amp;E1624&amp;G1624</f>
        <v>매트리스하이브리드371회서비스</v>
      </c>
      <c r="B1624" s="17" t="s">
        <v>228</v>
      </c>
      <c r="C1624" s="18" t="s">
        <v>504</v>
      </c>
      <c r="D1624" s="19" t="s">
        <v>243</v>
      </c>
      <c r="E1624" s="19">
        <v>7</v>
      </c>
      <c r="F1624" s="19" t="s">
        <v>0</v>
      </c>
      <c r="G1624" s="20" t="s">
        <v>457</v>
      </c>
      <c r="H1624" s="36">
        <v>43900</v>
      </c>
      <c r="I1624" s="36">
        <v>43900</v>
      </c>
      <c r="J1624" s="25">
        <v>313200</v>
      </c>
    </row>
    <row r="1625" spans="1:10" ht="16" x14ac:dyDescent="0.45">
      <c r="A1625" s="153" t="str">
        <f>B1625&amp;C1625&amp;E1625&amp;G1625</f>
        <v>매트리스하이브리드391회서비스</v>
      </c>
      <c r="B1625" s="17" t="s">
        <v>228</v>
      </c>
      <c r="C1625" s="18" t="s">
        <v>504</v>
      </c>
      <c r="D1625" s="19" t="s">
        <v>243</v>
      </c>
      <c r="E1625" s="19">
        <v>9</v>
      </c>
      <c r="F1625" s="19" t="s">
        <v>0</v>
      </c>
      <c r="G1625" s="20" t="s">
        <v>457</v>
      </c>
      <c r="H1625" s="36">
        <v>38900</v>
      </c>
      <c r="I1625" s="36">
        <v>38900</v>
      </c>
      <c r="J1625" s="25">
        <v>313200</v>
      </c>
    </row>
    <row r="1626" spans="1:10" ht="16" x14ac:dyDescent="0.45">
      <c r="A1626" s="153" t="str">
        <f>B1626&amp;C1626&amp;E1626&amp;G1626</f>
        <v>매트리스하이브리드354M(4개월점검주기)</v>
      </c>
      <c r="B1626" s="17" t="s">
        <v>228</v>
      </c>
      <c r="C1626" s="18" t="s">
        <v>504</v>
      </c>
      <c r="D1626" s="19" t="s">
        <v>243</v>
      </c>
      <c r="E1626" s="19">
        <v>5</v>
      </c>
      <c r="F1626" s="19" t="s">
        <v>0</v>
      </c>
      <c r="G1626" s="20" t="s">
        <v>453</v>
      </c>
      <c r="H1626" s="36">
        <v>53900</v>
      </c>
      <c r="I1626" s="36">
        <v>53900</v>
      </c>
      <c r="J1626" s="25">
        <v>295900</v>
      </c>
    </row>
    <row r="1627" spans="1:10" ht="16" x14ac:dyDescent="0.45">
      <c r="A1627" s="153" t="str">
        <f>B1627&amp;C1627&amp;E1627&amp;G1627</f>
        <v>매트리스하이브리드364M(4개월점검주기)</v>
      </c>
      <c r="B1627" s="17" t="s">
        <v>228</v>
      </c>
      <c r="C1627" s="18" t="s">
        <v>504</v>
      </c>
      <c r="D1627" s="19" t="s">
        <v>243</v>
      </c>
      <c r="E1627" s="19">
        <v>6</v>
      </c>
      <c r="F1627" s="19" t="s">
        <v>0</v>
      </c>
      <c r="G1627" s="20" t="s">
        <v>453</v>
      </c>
      <c r="H1627" s="36">
        <v>49900</v>
      </c>
      <c r="I1627" s="36">
        <v>49900</v>
      </c>
      <c r="J1627" s="25">
        <v>295900</v>
      </c>
    </row>
    <row r="1628" spans="1:10" ht="16" x14ac:dyDescent="0.45">
      <c r="A1628" s="153" t="str">
        <f>B1628&amp;C1628&amp;E1628&amp;G1628</f>
        <v>매트리스하이브리드374M(4개월점검주기)</v>
      </c>
      <c r="B1628" s="17" t="s">
        <v>228</v>
      </c>
      <c r="C1628" s="18" t="s">
        <v>504</v>
      </c>
      <c r="D1628" s="19" t="s">
        <v>243</v>
      </c>
      <c r="E1628" s="19">
        <v>7</v>
      </c>
      <c r="F1628" s="19" t="s">
        <v>0</v>
      </c>
      <c r="G1628" s="20" t="s">
        <v>453</v>
      </c>
      <c r="H1628" s="36">
        <v>45900</v>
      </c>
      <c r="I1628" s="36">
        <v>45900</v>
      </c>
      <c r="J1628" s="25">
        <v>325500</v>
      </c>
    </row>
    <row r="1629" spans="1:10" ht="16" x14ac:dyDescent="0.45">
      <c r="A1629" s="153" t="str">
        <f>B1629&amp;C1629&amp;E1629&amp;G1629</f>
        <v>매트리스하이브리드394M(4개월점검주기)</v>
      </c>
      <c r="B1629" s="17" t="s">
        <v>228</v>
      </c>
      <c r="C1629" s="18" t="s">
        <v>504</v>
      </c>
      <c r="D1629" s="19" t="s">
        <v>243</v>
      </c>
      <c r="E1629" s="19">
        <v>9</v>
      </c>
      <c r="F1629" s="19" t="s">
        <v>0</v>
      </c>
      <c r="G1629" s="20" t="s">
        <v>453</v>
      </c>
      <c r="H1629" s="36">
        <v>40900</v>
      </c>
      <c r="I1629" s="36">
        <v>40900</v>
      </c>
      <c r="J1629" s="25">
        <v>325500</v>
      </c>
    </row>
    <row r="1630" spans="1:10" ht="16" x14ac:dyDescent="0.45">
      <c r="A1630" s="153" t="str">
        <f>B1630&amp;C1630&amp;E1630&amp;G1630</f>
        <v>매트리스하이브리드35베이직케어(4M)</v>
      </c>
      <c r="B1630" s="17" t="s">
        <v>228</v>
      </c>
      <c r="C1630" s="18" t="s">
        <v>504</v>
      </c>
      <c r="D1630" s="19" t="s">
        <v>243</v>
      </c>
      <c r="E1630" s="19">
        <v>5</v>
      </c>
      <c r="F1630" s="19" t="s">
        <v>0</v>
      </c>
      <c r="G1630" s="20" t="s">
        <v>608</v>
      </c>
      <c r="H1630" s="36">
        <v>48900</v>
      </c>
      <c r="I1630" s="36">
        <v>48900</v>
      </c>
      <c r="J1630" s="25">
        <v>284700</v>
      </c>
    </row>
    <row r="1631" spans="1:10" ht="16" x14ac:dyDescent="0.45">
      <c r="A1631" s="153" t="str">
        <f>B1631&amp;C1631&amp;E1631&amp;G1631</f>
        <v>매트리스하이브리드37베이직케어(4M)</v>
      </c>
      <c r="B1631" s="17" t="s">
        <v>228</v>
      </c>
      <c r="C1631" s="18" t="s">
        <v>504</v>
      </c>
      <c r="D1631" s="19" t="s">
        <v>243</v>
      </c>
      <c r="E1631" s="19">
        <v>7</v>
      </c>
      <c r="F1631" s="19" t="s">
        <v>0</v>
      </c>
      <c r="G1631" s="20" t="s">
        <v>608</v>
      </c>
      <c r="H1631" s="36">
        <v>40900</v>
      </c>
      <c r="I1631" s="36">
        <v>40900</v>
      </c>
      <c r="J1631" s="25">
        <v>313200</v>
      </c>
    </row>
    <row r="1632" spans="1:10" ht="16" x14ac:dyDescent="0.45">
      <c r="A1632" s="153" t="str">
        <f>B1632&amp;C1632&amp;E1632&amp;G1632</f>
        <v>매트리스하이브리드39베이직케어(4M)</v>
      </c>
      <c r="B1632" s="17" t="s">
        <v>228</v>
      </c>
      <c r="C1632" s="18" t="s">
        <v>504</v>
      </c>
      <c r="D1632" s="19" t="s">
        <v>243</v>
      </c>
      <c r="E1632" s="19">
        <v>9</v>
      </c>
      <c r="F1632" s="19" t="s">
        <v>0</v>
      </c>
      <c r="G1632" s="20" t="s">
        <v>608</v>
      </c>
      <c r="H1632" s="36">
        <v>35900</v>
      </c>
      <c r="I1632" s="36">
        <v>35900</v>
      </c>
      <c r="J1632" s="25">
        <v>313200</v>
      </c>
    </row>
    <row r="1633" spans="1:10" ht="16" x14ac:dyDescent="0.45">
      <c r="A1633" s="153" t="str">
        <f>B1633&amp;C1633&amp;E1633&amp;G1633</f>
        <v>매트리스하이브리드35서비스프리</v>
      </c>
      <c r="B1633" s="17" t="s">
        <v>228</v>
      </c>
      <c r="C1633" s="18" t="s">
        <v>504</v>
      </c>
      <c r="D1633" s="19" t="s">
        <v>243</v>
      </c>
      <c r="E1633" s="19">
        <v>5</v>
      </c>
      <c r="F1633" s="19" t="s">
        <v>0</v>
      </c>
      <c r="G1633" s="20" t="s">
        <v>183</v>
      </c>
      <c r="H1633" s="36">
        <v>46900</v>
      </c>
      <c r="I1633" s="36">
        <v>46900</v>
      </c>
      <c r="J1633" s="25">
        <v>273400</v>
      </c>
    </row>
    <row r="1634" spans="1:10" ht="16" x14ac:dyDescent="0.45">
      <c r="A1634" s="153" t="str">
        <f>B1634&amp;C1634&amp;E1634&amp;G1634</f>
        <v>매트리스하이브리드37서비스프리</v>
      </c>
      <c r="B1634" s="17" t="s">
        <v>228</v>
      </c>
      <c r="C1634" s="18" t="s">
        <v>504</v>
      </c>
      <c r="D1634" s="19" t="s">
        <v>243</v>
      </c>
      <c r="E1634" s="19">
        <v>7</v>
      </c>
      <c r="F1634" s="19" t="s">
        <v>0</v>
      </c>
      <c r="G1634" s="20" t="s">
        <v>183</v>
      </c>
      <c r="H1634" s="36">
        <v>38900</v>
      </c>
      <c r="I1634" s="36">
        <v>38900</v>
      </c>
      <c r="J1634" s="25">
        <v>300700</v>
      </c>
    </row>
    <row r="1635" spans="1:10" ht="16" x14ac:dyDescent="0.45">
      <c r="A1635" s="153" t="str">
        <f>B1635&amp;C1635&amp;E1635&amp;G1635</f>
        <v>매트리스하이브리드39서비스프리</v>
      </c>
      <c r="B1635" s="17" t="s">
        <v>228</v>
      </c>
      <c r="C1635" s="18" t="s">
        <v>504</v>
      </c>
      <c r="D1635" s="19" t="s">
        <v>243</v>
      </c>
      <c r="E1635" s="19">
        <v>9</v>
      </c>
      <c r="F1635" s="19" t="s">
        <v>0</v>
      </c>
      <c r="G1635" s="20" t="s">
        <v>183</v>
      </c>
      <c r="H1635" s="36">
        <v>33900</v>
      </c>
      <c r="I1635" s="36">
        <v>33900</v>
      </c>
      <c r="J1635" s="25">
        <v>300700</v>
      </c>
    </row>
    <row r="1636" spans="1:10" ht="16" x14ac:dyDescent="0.45">
      <c r="A1636" s="153" t="str">
        <f>B1636&amp;C1636&amp;E1636&amp;G1636</f>
        <v>매트리스하이브리드351회서비스</v>
      </c>
      <c r="B1636" s="17" t="s">
        <v>228</v>
      </c>
      <c r="C1636" s="18" t="s">
        <v>504</v>
      </c>
      <c r="D1636" s="19" t="s">
        <v>244</v>
      </c>
      <c r="E1636" s="19">
        <v>5</v>
      </c>
      <c r="F1636" s="19" t="s">
        <v>0</v>
      </c>
      <c r="G1636" s="20" t="s">
        <v>457</v>
      </c>
      <c r="H1636" s="36">
        <v>44900</v>
      </c>
      <c r="I1636" s="36">
        <v>44900</v>
      </c>
      <c r="J1636" s="25">
        <v>273400</v>
      </c>
    </row>
    <row r="1637" spans="1:10" ht="16" x14ac:dyDescent="0.45">
      <c r="A1637" s="153" t="str">
        <f>B1637&amp;C1637&amp;E1637&amp;G1637</f>
        <v>매트리스하이브리드371회서비스</v>
      </c>
      <c r="B1637" s="17" t="s">
        <v>228</v>
      </c>
      <c r="C1637" s="18" t="s">
        <v>504</v>
      </c>
      <c r="D1637" s="19" t="s">
        <v>244</v>
      </c>
      <c r="E1637" s="19">
        <v>7</v>
      </c>
      <c r="F1637" s="19" t="s">
        <v>0</v>
      </c>
      <c r="G1637" s="20" t="s">
        <v>457</v>
      </c>
      <c r="H1637" s="36">
        <v>36900</v>
      </c>
      <c r="I1637" s="36">
        <v>36900</v>
      </c>
      <c r="J1637" s="25">
        <v>300700</v>
      </c>
    </row>
    <row r="1638" spans="1:10" ht="16" x14ac:dyDescent="0.45">
      <c r="A1638" s="153" t="str">
        <f>B1638&amp;C1638&amp;E1638&amp;G1638</f>
        <v>매트리스하이브리드391회서비스</v>
      </c>
      <c r="B1638" s="17" t="s">
        <v>228</v>
      </c>
      <c r="C1638" s="18" t="s">
        <v>504</v>
      </c>
      <c r="D1638" s="19" t="s">
        <v>244</v>
      </c>
      <c r="E1638" s="19">
        <v>9</v>
      </c>
      <c r="F1638" s="19" t="s">
        <v>0</v>
      </c>
      <c r="G1638" s="20" t="s">
        <v>457</v>
      </c>
      <c r="H1638" s="36">
        <v>31900</v>
      </c>
      <c r="I1638" s="36">
        <v>31900</v>
      </c>
      <c r="J1638" s="25">
        <v>300700</v>
      </c>
    </row>
    <row r="1639" spans="1:10" ht="16" x14ac:dyDescent="0.45">
      <c r="A1639" s="153" t="str">
        <f>B1639&amp;C1639&amp;E1639&amp;G1639</f>
        <v>매트리스하이브리드354M(4개월점검주기)</v>
      </c>
      <c r="B1639" s="17" t="s">
        <v>228</v>
      </c>
      <c r="C1639" s="18" t="s">
        <v>504</v>
      </c>
      <c r="D1639" s="19" t="s">
        <v>244</v>
      </c>
      <c r="E1639" s="19">
        <v>5</v>
      </c>
      <c r="F1639" s="19" t="s">
        <v>0</v>
      </c>
      <c r="G1639" s="20" t="s">
        <v>453</v>
      </c>
      <c r="H1639" s="36">
        <v>46900</v>
      </c>
      <c r="I1639" s="36">
        <v>46900</v>
      </c>
      <c r="J1639" s="25">
        <v>273400</v>
      </c>
    </row>
    <row r="1640" spans="1:10" ht="16" x14ac:dyDescent="0.45">
      <c r="A1640" s="153" t="str">
        <f>B1640&amp;C1640&amp;E1640&amp;G1640</f>
        <v>매트리스하이브리드364M(4개월점검주기)</v>
      </c>
      <c r="B1640" s="17" t="s">
        <v>228</v>
      </c>
      <c r="C1640" s="18" t="s">
        <v>504</v>
      </c>
      <c r="D1640" s="19" t="s">
        <v>244</v>
      </c>
      <c r="E1640" s="19">
        <v>6</v>
      </c>
      <c r="F1640" s="19" t="s">
        <v>0</v>
      </c>
      <c r="G1640" s="20" t="s">
        <v>453</v>
      </c>
      <c r="H1640" s="36">
        <v>43900</v>
      </c>
      <c r="I1640" s="36">
        <v>43900</v>
      </c>
      <c r="J1640" s="25">
        <v>273400</v>
      </c>
    </row>
    <row r="1641" spans="1:10" ht="16" x14ac:dyDescent="0.45">
      <c r="A1641" s="153" t="str">
        <f>B1641&amp;C1641&amp;E1641&amp;G1641</f>
        <v>매트리스하이브리드374M(4개월점검주기)</v>
      </c>
      <c r="B1641" s="17" t="s">
        <v>228</v>
      </c>
      <c r="C1641" s="18" t="s">
        <v>504</v>
      </c>
      <c r="D1641" s="19" t="s">
        <v>244</v>
      </c>
      <c r="E1641" s="19">
        <v>7</v>
      </c>
      <c r="F1641" s="19" t="s">
        <v>0</v>
      </c>
      <c r="G1641" s="20" t="s">
        <v>453</v>
      </c>
      <c r="H1641" s="36">
        <v>38900</v>
      </c>
      <c r="I1641" s="36">
        <v>38900</v>
      </c>
      <c r="J1641" s="25">
        <v>300700</v>
      </c>
    </row>
    <row r="1642" spans="1:10" ht="16" x14ac:dyDescent="0.45">
      <c r="A1642" s="153" t="str">
        <f>B1642&amp;C1642&amp;E1642&amp;G1642</f>
        <v>매트리스하이브리드394M(4개월점검주기)</v>
      </c>
      <c r="B1642" s="17" t="s">
        <v>228</v>
      </c>
      <c r="C1642" s="18" t="s">
        <v>504</v>
      </c>
      <c r="D1642" s="19" t="s">
        <v>244</v>
      </c>
      <c r="E1642" s="19">
        <v>9</v>
      </c>
      <c r="F1642" s="19" t="s">
        <v>0</v>
      </c>
      <c r="G1642" s="20" t="s">
        <v>453</v>
      </c>
      <c r="H1642" s="36">
        <v>33900</v>
      </c>
      <c r="I1642" s="36">
        <v>33900</v>
      </c>
      <c r="J1642" s="25">
        <v>300700</v>
      </c>
    </row>
    <row r="1643" spans="1:10" ht="16" x14ac:dyDescent="0.45">
      <c r="A1643" s="153" t="str">
        <f>B1643&amp;C1643&amp;E1643&amp;G1643</f>
        <v>매트리스하이브리드35베이직케어(4M)</v>
      </c>
      <c r="B1643" s="17" t="s">
        <v>228</v>
      </c>
      <c r="C1643" s="18" t="s">
        <v>504</v>
      </c>
      <c r="D1643" s="19" t="s">
        <v>244</v>
      </c>
      <c r="E1643" s="19">
        <v>5</v>
      </c>
      <c r="F1643" s="19" t="s">
        <v>0</v>
      </c>
      <c r="G1643" s="20" t="s">
        <v>608</v>
      </c>
      <c r="H1643" s="36">
        <v>41900</v>
      </c>
      <c r="I1643" s="36">
        <v>41900</v>
      </c>
      <c r="J1643" s="25">
        <v>262200</v>
      </c>
    </row>
    <row r="1644" spans="1:10" ht="16" x14ac:dyDescent="0.45">
      <c r="A1644" s="153" t="str">
        <f>B1644&amp;C1644&amp;E1644&amp;G1644</f>
        <v>매트리스하이브리드37베이직케어(4M)</v>
      </c>
      <c r="B1644" s="17" t="s">
        <v>228</v>
      </c>
      <c r="C1644" s="18" t="s">
        <v>504</v>
      </c>
      <c r="D1644" s="19" t="s">
        <v>244</v>
      </c>
      <c r="E1644" s="19">
        <v>7</v>
      </c>
      <c r="F1644" s="19" t="s">
        <v>0</v>
      </c>
      <c r="G1644" s="20" t="s">
        <v>608</v>
      </c>
      <c r="H1644" s="36">
        <v>33900</v>
      </c>
      <c r="I1644" s="36">
        <v>33900</v>
      </c>
      <c r="J1644" s="25">
        <v>288400</v>
      </c>
    </row>
    <row r="1645" spans="1:10" ht="16" x14ac:dyDescent="0.45">
      <c r="A1645" s="153" t="str">
        <f>B1645&amp;C1645&amp;E1645&amp;G1645</f>
        <v>매트리스하이브리드39베이직케어(4M)</v>
      </c>
      <c r="B1645" s="17" t="s">
        <v>228</v>
      </c>
      <c r="C1645" s="18" t="s">
        <v>504</v>
      </c>
      <c r="D1645" s="19" t="s">
        <v>244</v>
      </c>
      <c r="E1645" s="19">
        <v>9</v>
      </c>
      <c r="F1645" s="19" t="s">
        <v>0</v>
      </c>
      <c r="G1645" s="20" t="s">
        <v>608</v>
      </c>
      <c r="H1645" s="36">
        <v>28900</v>
      </c>
      <c r="I1645" s="36">
        <v>28900</v>
      </c>
      <c r="J1645" s="25">
        <v>288400</v>
      </c>
    </row>
    <row r="1646" spans="1:10" ht="16" x14ac:dyDescent="0.45">
      <c r="A1646" s="153" t="str">
        <f>B1646&amp;C1646&amp;E1646&amp;G1646</f>
        <v>매트리스하이브리드35서비스프리</v>
      </c>
      <c r="B1646" s="17" t="s">
        <v>228</v>
      </c>
      <c r="C1646" s="18" t="s">
        <v>504</v>
      </c>
      <c r="D1646" s="19" t="s">
        <v>244</v>
      </c>
      <c r="E1646" s="19">
        <v>5</v>
      </c>
      <c r="F1646" s="19" t="s">
        <v>0</v>
      </c>
      <c r="G1646" s="20" t="s">
        <v>183</v>
      </c>
      <c r="H1646" s="36">
        <v>39900</v>
      </c>
      <c r="I1646" s="36">
        <v>39900</v>
      </c>
      <c r="J1646" s="25">
        <v>251000</v>
      </c>
    </row>
    <row r="1647" spans="1:10" ht="16" x14ac:dyDescent="0.45">
      <c r="A1647" s="153" t="str">
        <f>B1647&amp;C1647&amp;E1647&amp;G1647</f>
        <v>매트리스하이브리드37서비스프리</v>
      </c>
      <c r="B1647" s="17" t="s">
        <v>228</v>
      </c>
      <c r="C1647" s="18" t="s">
        <v>504</v>
      </c>
      <c r="D1647" s="19" t="s">
        <v>244</v>
      </c>
      <c r="E1647" s="19">
        <v>7</v>
      </c>
      <c r="F1647" s="19" t="s">
        <v>0</v>
      </c>
      <c r="G1647" s="20" t="s">
        <v>183</v>
      </c>
      <c r="H1647" s="36">
        <v>31900</v>
      </c>
      <c r="I1647" s="36">
        <v>31900</v>
      </c>
      <c r="J1647" s="25">
        <v>276100</v>
      </c>
    </row>
    <row r="1648" spans="1:10" ht="16" x14ac:dyDescent="0.45">
      <c r="A1648" s="153" t="str">
        <f>B1648&amp;C1648&amp;E1648&amp;G1648</f>
        <v>매트리스하이브리드39서비스프리</v>
      </c>
      <c r="B1648" s="17" t="s">
        <v>228</v>
      </c>
      <c r="C1648" s="18" t="s">
        <v>504</v>
      </c>
      <c r="D1648" s="19" t="s">
        <v>244</v>
      </c>
      <c r="E1648" s="19">
        <v>9</v>
      </c>
      <c r="F1648" s="19" t="s">
        <v>0</v>
      </c>
      <c r="G1648" s="20" t="s">
        <v>183</v>
      </c>
      <c r="H1648" s="36">
        <v>26900</v>
      </c>
      <c r="I1648" s="36">
        <v>26900</v>
      </c>
      <c r="J1648" s="25">
        <v>276100</v>
      </c>
    </row>
    <row r="1649" spans="1:10" ht="16" x14ac:dyDescent="0.45">
      <c r="A1649" s="153" t="str">
        <f>B1649&amp;C1649&amp;E1649&amp;G1649</f>
        <v>매트리스하이브리드351회서비스</v>
      </c>
      <c r="B1649" s="17" t="s">
        <v>228</v>
      </c>
      <c r="C1649" s="18" t="s">
        <v>504</v>
      </c>
      <c r="D1649" s="19" t="s">
        <v>245</v>
      </c>
      <c r="E1649" s="19">
        <v>5</v>
      </c>
      <c r="F1649" s="19" t="s">
        <v>0</v>
      </c>
      <c r="G1649" s="20" t="s">
        <v>457</v>
      </c>
      <c r="H1649" s="36">
        <v>41900</v>
      </c>
      <c r="I1649" s="36">
        <v>41900</v>
      </c>
      <c r="J1649" s="25">
        <v>262200</v>
      </c>
    </row>
    <row r="1650" spans="1:10" ht="16" x14ac:dyDescent="0.45">
      <c r="A1650" s="153" t="str">
        <f>B1650&amp;C1650&amp;E1650&amp;G1650</f>
        <v>매트리스하이브리드371회서비스</v>
      </c>
      <c r="B1650" s="17" t="s">
        <v>228</v>
      </c>
      <c r="C1650" s="18" t="s">
        <v>504</v>
      </c>
      <c r="D1650" s="19" t="s">
        <v>245</v>
      </c>
      <c r="E1650" s="19">
        <v>7</v>
      </c>
      <c r="F1650" s="19" t="s">
        <v>0</v>
      </c>
      <c r="G1650" s="20" t="s">
        <v>457</v>
      </c>
      <c r="H1650" s="36">
        <v>33900</v>
      </c>
      <c r="I1650" s="36">
        <v>33900</v>
      </c>
      <c r="J1650" s="25">
        <v>288400</v>
      </c>
    </row>
    <row r="1651" spans="1:10" ht="16" x14ac:dyDescent="0.45">
      <c r="A1651" s="153" t="str">
        <f>B1651&amp;C1651&amp;E1651&amp;G1651</f>
        <v>매트리스하이브리드391회서비스</v>
      </c>
      <c r="B1651" s="17" t="s">
        <v>228</v>
      </c>
      <c r="C1651" s="18" t="s">
        <v>504</v>
      </c>
      <c r="D1651" s="19" t="s">
        <v>245</v>
      </c>
      <c r="E1651" s="19">
        <v>9</v>
      </c>
      <c r="F1651" s="19" t="s">
        <v>0</v>
      </c>
      <c r="G1651" s="20" t="s">
        <v>457</v>
      </c>
      <c r="H1651" s="36">
        <v>28900</v>
      </c>
      <c r="I1651" s="36">
        <v>28900</v>
      </c>
      <c r="J1651" s="25">
        <v>288400</v>
      </c>
    </row>
    <row r="1652" spans="1:10" ht="16" x14ac:dyDescent="0.45">
      <c r="A1652" s="153" t="str">
        <f>B1652&amp;C1652&amp;E1652&amp;G1652</f>
        <v>매트리스하이브리드354M(4개월점검주기)</v>
      </c>
      <c r="B1652" s="17" t="s">
        <v>228</v>
      </c>
      <c r="C1652" s="18" t="s">
        <v>504</v>
      </c>
      <c r="D1652" s="19" t="s">
        <v>245</v>
      </c>
      <c r="E1652" s="19">
        <v>5</v>
      </c>
      <c r="F1652" s="19" t="s">
        <v>0</v>
      </c>
      <c r="G1652" s="20" t="s">
        <v>453</v>
      </c>
      <c r="H1652" s="36">
        <v>43900</v>
      </c>
      <c r="I1652" s="36">
        <v>43900</v>
      </c>
      <c r="J1652" s="25">
        <v>273400</v>
      </c>
    </row>
    <row r="1653" spans="1:10" ht="16" x14ac:dyDescent="0.45">
      <c r="A1653" s="153" t="str">
        <f>B1653&amp;C1653&amp;E1653&amp;G1653</f>
        <v>매트리스하이브리드364M(4개월점검주기)</v>
      </c>
      <c r="B1653" s="17" t="s">
        <v>228</v>
      </c>
      <c r="C1653" s="18" t="s">
        <v>504</v>
      </c>
      <c r="D1653" s="19" t="s">
        <v>245</v>
      </c>
      <c r="E1653" s="19">
        <v>6</v>
      </c>
      <c r="F1653" s="19" t="s">
        <v>0</v>
      </c>
      <c r="G1653" s="20" t="s">
        <v>453</v>
      </c>
      <c r="H1653" s="36">
        <v>39900</v>
      </c>
      <c r="I1653" s="36">
        <v>39900</v>
      </c>
      <c r="J1653" s="25">
        <v>273400</v>
      </c>
    </row>
    <row r="1654" spans="1:10" ht="16" x14ac:dyDescent="0.45">
      <c r="A1654" s="153" t="str">
        <f>B1654&amp;C1654&amp;E1654&amp;G1654</f>
        <v>매트리스하이브리드374M(4개월점검주기)</v>
      </c>
      <c r="B1654" s="17" t="s">
        <v>228</v>
      </c>
      <c r="C1654" s="18" t="s">
        <v>504</v>
      </c>
      <c r="D1654" s="19" t="s">
        <v>245</v>
      </c>
      <c r="E1654" s="19">
        <v>7</v>
      </c>
      <c r="F1654" s="19" t="s">
        <v>0</v>
      </c>
      <c r="G1654" s="20" t="s">
        <v>453</v>
      </c>
      <c r="H1654" s="36">
        <v>35900</v>
      </c>
      <c r="I1654" s="36">
        <v>35900</v>
      </c>
      <c r="J1654" s="25">
        <v>300700</v>
      </c>
    </row>
    <row r="1655" spans="1:10" ht="16" x14ac:dyDescent="0.45">
      <c r="A1655" s="153" t="str">
        <f>B1655&amp;C1655&amp;E1655&amp;G1655</f>
        <v>매트리스하이브리드394M(4개월점검주기)</v>
      </c>
      <c r="B1655" s="17" t="s">
        <v>228</v>
      </c>
      <c r="C1655" s="18" t="s">
        <v>504</v>
      </c>
      <c r="D1655" s="19" t="s">
        <v>245</v>
      </c>
      <c r="E1655" s="19">
        <v>9</v>
      </c>
      <c r="F1655" s="19" t="s">
        <v>0</v>
      </c>
      <c r="G1655" s="20" t="s">
        <v>453</v>
      </c>
      <c r="H1655" s="36">
        <v>30900</v>
      </c>
      <c r="I1655" s="36">
        <v>30900</v>
      </c>
      <c r="J1655" s="25">
        <v>300700</v>
      </c>
    </row>
    <row r="1656" spans="1:10" ht="16" x14ac:dyDescent="0.45">
      <c r="A1656" s="153" t="str">
        <f>B1656&amp;C1656&amp;E1656&amp;G1656</f>
        <v>매트리스하이브리드35베이직케어(4M)</v>
      </c>
      <c r="B1656" s="17" t="s">
        <v>228</v>
      </c>
      <c r="C1656" s="18" t="s">
        <v>504</v>
      </c>
      <c r="D1656" s="19" t="s">
        <v>245</v>
      </c>
      <c r="E1656" s="19">
        <v>5</v>
      </c>
      <c r="F1656" s="19" t="s">
        <v>0</v>
      </c>
      <c r="G1656" s="20" t="s">
        <v>608</v>
      </c>
      <c r="H1656" s="36">
        <v>38900</v>
      </c>
      <c r="I1656" s="36">
        <v>38900</v>
      </c>
      <c r="J1656" s="25">
        <v>251000</v>
      </c>
    </row>
    <row r="1657" spans="1:10" ht="16" x14ac:dyDescent="0.45">
      <c r="A1657" s="153" t="str">
        <f>B1657&amp;C1657&amp;E1657&amp;G1657</f>
        <v>매트리스하이브리드37베이직케어(4M)</v>
      </c>
      <c r="B1657" s="17" t="s">
        <v>228</v>
      </c>
      <c r="C1657" s="18" t="s">
        <v>504</v>
      </c>
      <c r="D1657" s="19" t="s">
        <v>245</v>
      </c>
      <c r="E1657" s="19">
        <v>7</v>
      </c>
      <c r="F1657" s="19" t="s">
        <v>0</v>
      </c>
      <c r="G1657" s="20" t="s">
        <v>608</v>
      </c>
      <c r="H1657" s="36">
        <v>30900</v>
      </c>
      <c r="I1657" s="36">
        <v>30900</v>
      </c>
      <c r="J1657" s="25">
        <v>276100</v>
      </c>
    </row>
    <row r="1658" spans="1:10" ht="16" x14ac:dyDescent="0.45">
      <c r="A1658" s="153" t="str">
        <f>B1658&amp;C1658&amp;E1658&amp;G1658</f>
        <v>매트리스하이브리드39베이직케어(4M)</v>
      </c>
      <c r="B1658" s="17" t="s">
        <v>228</v>
      </c>
      <c r="C1658" s="18" t="s">
        <v>504</v>
      </c>
      <c r="D1658" s="19" t="s">
        <v>245</v>
      </c>
      <c r="E1658" s="19">
        <v>9</v>
      </c>
      <c r="F1658" s="19" t="s">
        <v>0</v>
      </c>
      <c r="G1658" s="20" t="s">
        <v>608</v>
      </c>
      <c r="H1658" s="36">
        <v>25900</v>
      </c>
      <c r="I1658" s="36">
        <v>25900</v>
      </c>
      <c r="J1658" s="25">
        <v>276100</v>
      </c>
    </row>
    <row r="1659" spans="1:10" ht="16" x14ac:dyDescent="0.45">
      <c r="A1659" s="153" t="str">
        <f>B1659&amp;C1659&amp;E1659&amp;G1659</f>
        <v>매트리스하이브리드35서비스프리</v>
      </c>
      <c r="B1659" s="17" t="s">
        <v>228</v>
      </c>
      <c r="C1659" s="18" t="s">
        <v>504</v>
      </c>
      <c r="D1659" s="19" t="s">
        <v>245</v>
      </c>
      <c r="E1659" s="19">
        <v>5</v>
      </c>
      <c r="F1659" s="19" t="s">
        <v>0</v>
      </c>
      <c r="G1659" s="20" t="s">
        <v>183</v>
      </c>
      <c r="H1659" s="36">
        <v>36900</v>
      </c>
      <c r="I1659" s="36">
        <v>36900</v>
      </c>
      <c r="J1659" s="25">
        <v>239700</v>
      </c>
    </row>
    <row r="1660" spans="1:10" ht="16" x14ac:dyDescent="0.45">
      <c r="A1660" s="153" t="str">
        <f>B1660&amp;C1660&amp;E1660&amp;G1660</f>
        <v>매트리스하이브리드37서비스프리</v>
      </c>
      <c r="B1660" s="17" t="s">
        <v>228</v>
      </c>
      <c r="C1660" s="18" t="s">
        <v>504</v>
      </c>
      <c r="D1660" s="19" t="s">
        <v>245</v>
      </c>
      <c r="E1660" s="19">
        <v>7</v>
      </c>
      <c r="F1660" s="19" t="s">
        <v>0</v>
      </c>
      <c r="G1660" s="20" t="s">
        <v>183</v>
      </c>
      <c r="H1660" s="36">
        <v>28900</v>
      </c>
      <c r="I1660" s="36">
        <v>28900</v>
      </c>
      <c r="J1660" s="25">
        <v>263700</v>
      </c>
    </row>
    <row r="1661" spans="1:10" ht="16" x14ac:dyDescent="0.45">
      <c r="A1661" s="153" t="str">
        <f>B1661&amp;C1661&amp;E1661&amp;G1661</f>
        <v>매트리스하이브리드39서비스프리</v>
      </c>
      <c r="B1661" s="17" t="s">
        <v>228</v>
      </c>
      <c r="C1661" s="18" t="s">
        <v>504</v>
      </c>
      <c r="D1661" s="19" t="s">
        <v>245</v>
      </c>
      <c r="E1661" s="19">
        <v>9</v>
      </c>
      <c r="F1661" s="19" t="s">
        <v>0</v>
      </c>
      <c r="G1661" s="20" t="s">
        <v>183</v>
      </c>
      <c r="H1661" s="36">
        <v>23900</v>
      </c>
      <c r="I1661" s="36">
        <v>23900</v>
      </c>
      <c r="J1661" s="25">
        <v>263700</v>
      </c>
    </row>
    <row r="1662" spans="1:10" ht="16" x14ac:dyDescent="0.45">
      <c r="A1662" s="153" t="str">
        <f>B1662&amp;C1662&amp;E1662&amp;G1662</f>
        <v>매트리스하이브리드451회서비스</v>
      </c>
      <c r="B1662" s="17" t="s">
        <v>228</v>
      </c>
      <c r="C1662" s="18" t="s">
        <v>505</v>
      </c>
      <c r="D1662" s="19" t="s">
        <v>653</v>
      </c>
      <c r="E1662" s="19">
        <v>5</v>
      </c>
      <c r="F1662" s="19" t="s">
        <v>0</v>
      </c>
      <c r="G1662" s="20" t="s">
        <v>457</v>
      </c>
      <c r="H1662" s="36">
        <v>51900</v>
      </c>
      <c r="I1662" s="36">
        <v>51900</v>
      </c>
      <c r="J1662" s="25">
        <v>284700</v>
      </c>
    </row>
    <row r="1663" spans="1:10" ht="16" x14ac:dyDescent="0.45">
      <c r="A1663" s="153" t="str">
        <f>B1663&amp;C1663&amp;E1663&amp;G1663</f>
        <v>매트리스하이브리드471회서비스</v>
      </c>
      <c r="B1663" s="17" t="s">
        <v>228</v>
      </c>
      <c r="C1663" s="18" t="s">
        <v>505</v>
      </c>
      <c r="D1663" s="19" t="s">
        <v>653</v>
      </c>
      <c r="E1663" s="19">
        <v>7</v>
      </c>
      <c r="F1663" s="19" t="s">
        <v>0</v>
      </c>
      <c r="G1663" s="20" t="s">
        <v>457</v>
      </c>
      <c r="H1663" s="36">
        <v>43900</v>
      </c>
      <c r="I1663" s="36">
        <v>43900</v>
      </c>
      <c r="J1663" s="25">
        <v>313200</v>
      </c>
    </row>
    <row r="1664" spans="1:10" ht="16" x14ac:dyDescent="0.45">
      <c r="A1664" s="153" t="str">
        <f>B1664&amp;C1664&amp;E1664&amp;G1664</f>
        <v>매트리스하이브리드491회서비스</v>
      </c>
      <c r="B1664" s="17" t="s">
        <v>228</v>
      </c>
      <c r="C1664" s="18" t="s">
        <v>505</v>
      </c>
      <c r="D1664" s="19" t="s">
        <v>653</v>
      </c>
      <c r="E1664" s="19">
        <v>9</v>
      </c>
      <c r="F1664" s="19" t="s">
        <v>0</v>
      </c>
      <c r="G1664" s="20" t="s">
        <v>457</v>
      </c>
      <c r="H1664" s="36">
        <v>38900</v>
      </c>
      <c r="I1664" s="36">
        <v>38900</v>
      </c>
      <c r="J1664" s="25">
        <v>313200</v>
      </c>
    </row>
    <row r="1665" spans="1:10" ht="16" x14ac:dyDescent="0.45">
      <c r="A1665" s="153" t="str">
        <f>B1665&amp;C1665&amp;E1665&amp;G1665</f>
        <v>매트리스하이브리드454M(4개월점검주기)</v>
      </c>
      <c r="B1665" s="17" t="s">
        <v>228</v>
      </c>
      <c r="C1665" s="18" t="s">
        <v>505</v>
      </c>
      <c r="D1665" s="19" t="s">
        <v>653</v>
      </c>
      <c r="E1665" s="19">
        <v>5</v>
      </c>
      <c r="F1665" s="19" t="s">
        <v>0</v>
      </c>
      <c r="G1665" s="20" t="s">
        <v>453</v>
      </c>
      <c r="H1665" s="36">
        <v>53900</v>
      </c>
      <c r="I1665" s="36">
        <v>53900</v>
      </c>
      <c r="J1665" s="25">
        <v>295900</v>
      </c>
    </row>
    <row r="1666" spans="1:10" ht="16" x14ac:dyDescent="0.45">
      <c r="A1666" s="153" t="str">
        <f>B1666&amp;C1666&amp;E1666&amp;G1666</f>
        <v>매트리스하이브리드464M(4개월점검주기)</v>
      </c>
      <c r="B1666" s="17" t="s">
        <v>228</v>
      </c>
      <c r="C1666" s="18" t="s">
        <v>505</v>
      </c>
      <c r="D1666" s="19" t="s">
        <v>653</v>
      </c>
      <c r="E1666" s="19">
        <v>6</v>
      </c>
      <c r="F1666" s="19" t="s">
        <v>0</v>
      </c>
      <c r="G1666" s="20" t="s">
        <v>453</v>
      </c>
      <c r="H1666" s="36">
        <v>49900</v>
      </c>
      <c r="I1666" s="36">
        <v>49900</v>
      </c>
      <c r="J1666" s="25">
        <v>295900</v>
      </c>
    </row>
    <row r="1667" spans="1:10" ht="16" x14ac:dyDescent="0.45">
      <c r="A1667" s="153" t="str">
        <f>B1667&amp;C1667&amp;E1667&amp;G1667</f>
        <v>매트리스하이브리드474M(4개월점검주기)</v>
      </c>
      <c r="B1667" s="17" t="s">
        <v>228</v>
      </c>
      <c r="C1667" s="18" t="s">
        <v>505</v>
      </c>
      <c r="D1667" s="19" t="s">
        <v>653</v>
      </c>
      <c r="E1667" s="19">
        <v>7</v>
      </c>
      <c r="F1667" s="19" t="s">
        <v>0</v>
      </c>
      <c r="G1667" s="20" t="s">
        <v>453</v>
      </c>
      <c r="H1667" s="36">
        <v>45900</v>
      </c>
      <c r="I1667" s="36">
        <v>45900</v>
      </c>
      <c r="J1667" s="25">
        <v>325500</v>
      </c>
    </row>
    <row r="1668" spans="1:10" ht="16" x14ac:dyDescent="0.45">
      <c r="A1668" s="153" t="str">
        <f>B1668&amp;C1668&amp;E1668&amp;G1668</f>
        <v>매트리스하이브리드494M(4개월점검주기)</v>
      </c>
      <c r="B1668" s="17" t="s">
        <v>228</v>
      </c>
      <c r="C1668" s="18" t="s">
        <v>505</v>
      </c>
      <c r="D1668" s="19" t="s">
        <v>653</v>
      </c>
      <c r="E1668" s="19">
        <v>9</v>
      </c>
      <c r="F1668" s="19" t="s">
        <v>0</v>
      </c>
      <c r="G1668" s="20" t="s">
        <v>453</v>
      </c>
      <c r="H1668" s="36">
        <v>40900</v>
      </c>
      <c r="I1668" s="36">
        <v>40900</v>
      </c>
      <c r="J1668" s="25">
        <v>325500</v>
      </c>
    </row>
    <row r="1669" spans="1:10" ht="16" x14ac:dyDescent="0.45">
      <c r="A1669" s="153" t="str">
        <f>B1669&amp;C1669&amp;E1669&amp;G1669</f>
        <v>매트리스하이브리드45베이직케어(4M)</v>
      </c>
      <c r="B1669" s="17" t="s">
        <v>228</v>
      </c>
      <c r="C1669" s="18" t="s">
        <v>505</v>
      </c>
      <c r="D1669" s="19" t="s">
        <v>653</v>
      </c>
      <c r="E1669" s="19">
        <v>5</v>
      </c>
      <c r="F1669" s="19" t="s">
        <v>0</v>
      </c>
      <c r="G1669" s="20" t="s">
        <v>608</v>
      </c>
      <c r="H1669" s="36">
        <v>48900</v>
      </c>
      <c r="I1669" s="36">
        <v>48900</v>
      </c>
      <c r="J1669" s="25">
        <v>284700</v>
      </c>
    </row>
    <row r="1670" spans="1:10" ht="16" x14ac:dyDescent="0.45">
      <c r="A1670" s="153" t="str">
        <f>B1670&amp;C1670&amp;E1670&amp;G1670</f>
        <v>매트리스하이브리드47베이직케어(4M)</v>
      </c>
      <c r="B1670" s="17" t="s">
        <v>228</v>
      </c>
      <c r="C1670" s="18" t="s">
        <v>505</v>
      </c>
      <c r="D1670" s="19" t="s">
        <v>653</v>
      </c>
      <c r="E1670" s="19">
        <v>7</v>
      </c>
      <c r="F1670" s="19" t="s">
        <v>0</v>
      </c>
      <c r="G1670" s="20" t="s">
        <v>608</v>
      </c>
      <c r="H1670" s="36">
        <v>40900</v>
      </c>
      <c r="I1670" s="36">
        <v>40900</v>
      </c>
      <c r="J1670" s="25">
        <v>313200</v>
      </c>
    </row>
    <row r="1671" spans="1:10" ht="16" x14ac:dyDescent="0.45">
      <c r="A1671" s="153" t="str">
        <f>B1671&amp;C1671&amp;E1671&amp;G1671</f>
        <v>매트리스하이브리드49베이직케어(4M)</v>
      </c>
      <c r="B1671" s="17" t="s">
        <v>228</v>
      </c>
      <c r="C1671" s="18" t="s">
        <v>505</v>
      </c>
      <c r="D1671" s="19" t="s">
        <v>653</v>
      </c>
      <c r="E1671" s="19">
        <v>9</v>
      </c>
      <c r="F1671" s="19" t="s">
        <v>0</v>
      </c>
      <c r="G1671" s="20" t="s">
        <v>608</v>
      </c>
      <c r="H1671" s="36">
        <v>35900</v>
      </c>
      <c r="I1671" s="36">
        <v>35900</v>
      </c>
      <c r="J1671" s="25">
        <v>313200</v>
      </c>
    </row>
    <row r="1672" spans="1:10" ht="16" x14ac:dyDescent="0.45">
      <c r="A1672" s="153" t="str">
        <f>B1672&amp;C1672&amp;E1672&amp;G1672</f>
        <v>매트리스하이브리드45서비스프리</v>
      </c>
      <c r="B1672" s="17" t="s">
        <v>228</v>
      </c>
      <c r="C1672" s="18" t="s">
        <v>505</v>
      </c>
      <c r="D1672" s="19" t="s">
        <v>653</v>
      </c>
      <c r="E1672" s="19">
        <v>5</v>
      </c>
      <c r="F1672" s="19" t="s">
        <v>0</v>
      </c>
      <c r="G1672" s="20" t="s">
        <v>183</v>
      </c>
      <c r="H1672" s="36">
        <v>46900</v>
      </c>
      <c r="I1672" s="36">
        <v>46900</v>
      </c>
      <c r="J1672" s="25">
        <v>273400</v>
      </c>
    </row>
    <row r="1673" spans="1:10" ht="16" x14ac:dyDescent="0.45">
      <c r="A1673" s="153" t="str">
        <f>B1673&amp;C1673&amp;E1673&amp;G1673</f>
        <v>매트리스하이브리드47서비스프리</v>
      </c>
      <c r="B1673" s="17" t="s">
        <v>228</v>
      </c>
      <c r="C1673" s="18" t="s">
        <v>505</v>
      </c>
      <c r="D1673" s="19" t="s">
        <v>653</v>
      </c>
      <c r="E1673" s="19">
        <v>7</v>
      </c>
      <c r="F1673" s="19" t="s">
        <v>0</v>
      </c>
      <c r="G1673" s="20" t="s">
        <v>183</v>
      </c>
      <c r="H1673" s="36">
        <v>38900</v>
      </c>
      <c r="I1673" s="36">
        <v>38900</v>
      </c>
      <c r="J1673" s="25">
        <v>300700</v>
      </c>
    </row>
    <row r="1674" spans="1:10" ht="16" x14ac:dyDescent="0.45">
      <c r="A1674" s="153" t="str">
        <f>B1674&amp;C1674&amp;E1674&amp;G1674</f>
        <v>매트리스하이브리드49서비스프리</v>
      </c>
      <c r="B1674" s="17" t="s">
        <v>228</v>
      </c>
      <c r="C1674" s="18" t="s">
        <v>505</v>
      </c>
      <c r="D1674" s="19" t="s">
        <v>653</v>
      </c>
      <c r="E1674" s="19">
        <v>9</v>
      </c>
      <c r="F1674" s="19" t="s">
        <v>0</v>
      </c>
      <c r="G1674" s="20" t="s">
        <v>183</v>
      </c>
      <c r="H1674" s="36">
        <v>33900</v>
      </c>
      <c r="I1674" s="36">
        <v>33900</v>
      </c>
      <c r="J1674" s="25">
        <v>300700</v>
      </c>
    </row>
    <row r="1675" spans="1:10" ht="16" x14ac:dyDescent="0.45">
      <c r="A1675" s="153" t="str">
        <f>B1675&amp;C1675&amp;E1675&amp;G1675</f>
        <v>매트리스하이브리드451회 서비스</v>
      </c>
      <c r="B1675" s="17" t="s">
        <v>228</v>
      </c>
      <c r="C1675" s="18" t="s">
        <v>505</v>
      </c>
      <c r="D1675" s="19" t="s">
        <v>692</v>
      </c>
      <c r="E1675" s="19">
        <v>5</v>
      </c>
      <c r="F1675" s="19" t="s">
        <v>0</v>
      </c>
      <c r="G1675" s="20" t="s">
        <v>13</v>
      </c>
      <c r="H1675" s="36">
        <v>60900</v>
      </c>
      <c r="I1675" s="36">
        <v>60900</v>
      </c>
      <c r="J1675" s="25">
        <v>307200</v>
      </c>
    </row>
    <row r="1676" spans="1:10" ht="16" x14ac:dyDescent="0.45">
      <c r="A1676" s="153" t="str">
        <f>B1676&amp;C1676&amp;E1676&amp;G1676</f>
        <v>매트리스하이브리드471회 서비스</v>
      </c>
      <c r="B1676" s="17" t="s">
        <v>228</v>
      </c>
      <c r="C1676" s="18" t="s">
        <v>505</v>
      </c>
      <c r="D1676" s="19" t="s">
        <v>692</v>
      </c>
      <c r="E1676" s="19">
        <v>7</v>
      </c>
      <c r="F1676" s="19" t="s">
        <v>0</v>
      </c>
      <c r="G1676" s="20" t="s">
        <v>13</v>
      </c>
      <c r="H1676" s="36">
        <v>51900</v>
      </c>
      <c r="I1676" s="36">
        <v>51900</v>
      </c>
      <c r="J1676" s="25">
        <v>337900</v>
      </c>
    </row>
    <row r="1677" spans="1:10" ht="16" x14ac:dyDescent="0.45">
      <c r="A1677" s="153" t="str">
        <f>B1677&amp;C1677&amp;E1677&amp;G1677</f>
        <v>매트리스하이브리드491회 서비스</v>
      </c>
      <c r="B1677" s="17" t="s">
        <v>228</v>
      </c>
      <c r="C1677" s="18" t="s">
        <v>505</v>
      </c>
      <c r="D1677" s="19" t="s">
        <v>692</v>
      </c>
      <c r="E1677" s="19">
        <v>9</v>
      </c>
      <c r="F1677" s="19" t="s">
        <v>0</v>
      </c>
      <c r="G1677" s="20" t="s">
        <v>13</v>
      </c>
      <c r="H1677" s="36">
        <v>45900</v>
      </c>
      <c r="I1677" s="36">
        <v>45900</v>
      </c>
      <c r="J1677" s="25">
        <v>337900</v>
      </c>
    </row>
    <row r="1678" spans="1:10" ht="16" x14ac:dyDescent="0.45">
      <c r="A1678" s="153" t="str">
        <f>B1678&amp;C1678&amp;E1678&amp;G1678</f>
        <v>매트리스하이브리드454M(4개월점검주기)</v>
      </c>
      <c r="B1678" s="17" t="s">
        <v>228</v>
      </c>
      <c r="C1678" s="18" t="s">
        <v>505</v>
      </c>
      <c r="D1678" s="19" t="s">
        <v>692</v>
      </c>
      <c r="E1678" s="19">
        <v>5</v>
      </c>
      <c r="F1678" s="19" t="s">
        <v>0</v>
      </c>
      <c r="G1678" s="20" t="s">
        <v>453</v>
      </c>
      <c r="H1678" s="36">
        <v>62900</v>
      </c>
      <c r="I1678" s="36">
        <v>62900</v>
      </c>
      <c r="J1678" s="25">
        <v>307200</v>
      </c>
    </row>
    <row r="1679" spans="1:10" ht="16" x14ac:dyDescent="0.45">
      <c r="A1679" s="153" t="str">
        <f>B1679&amp;C1679&amp;E1679&amp;G1679</f>
        <v>매트리스하이브리드474M(4개월점검주기)</v>
      </c>
      <c r="B1679" s="17" t="s">
        <v>228</v>
      </c>
      <c r="C1679" s="18" t="s">
        <v>505</v>
      </c>
      <c r="D1679" s="19" t="s">
        <v>692</v>
      </c>
      <c r="E1679" s="19">
        <v>7</v>
      </c>
      <c r="F1679" s="19" t="s">
        <v>0</v>
      </c>
      <c r="G1679" s="20" t="s">
        <v>453</v>
      </c>
      <c r="H1679" s="36">
        <v>53900</v>
      </c>
      <c r="I1679" s="36">
        <v>53900</v>
      </c>
      <c r="J1679" s="25">
        <v>337900</v>
      </c>
    </row>
    <row r="1680" spans="1:10" ht="16" x14ac:dyDescent="0.45">
      <c r="A1680" s="153" t="str">
        <f>B1680&amp;C1680&amp;E1680&amp;G1680</f>
        <v>매트리스하이브리드494M(4개월점검주기)</v>
      </c>
      <c r="B1680" s="17" t="s">
        <v>228</v>
      </c>
      <c r="C1680" s="18" t="s">
        <v>505</v>
      </c>
      <c r="D1680" s="19" t="s">
        <v>692</v>
      </c>
      <c r="E1680" s="19">
        <v>9</v>
      </c>
      <c r="F1680" s="19" t="s">
        <v>0</v>
      </c>
      <c r="G1680" s="20" t="s">
        <v>453</v>
      </c>
      <c r="H1680" s="36">
        <v>47900</v>
      </c>
      <c r="I1680" s="36">
        <v>47900</v>
      </c>
      <c r="J1680" s="25">
        <v>337900</v>
      </c>
    </row>
    <row r="1681" spans="1:10" ht="16" x14ac:dyDescent="0.45">
      <c r="A1681" s="153" t="str">
        <f>B1681&amp;C1681&amp;E1681&amp;G1681</f>
        <v>매트리스하이브리드45베이직케어(4M)</v>
      </c>
      <c r="B1681" s="17" t="s">
        <v>228</v>
      </c>
      <c r="C1681" s="18" t="s">
        <v>505</v>
      </c>
      <c r="D1681" s="19" t="s">
        <v>692</v>
      </c>
      <c r="E1681" s="19">
        <v>5</v>
      </c>
      <c r="F1681" s="19" t="s">
        <v>0</v>
      </c>
      <c r="G1681" s="20" t="s">
        <v>608</v>
      </c>
      <c r="H1681" s="36">
        <v>57900</v>
      </c>
      <c r="I1681" s="36">
        <v>57900</v>
      </c>
      <c r="J1681" s="25">
        <v>295900</v>
      </c>
    </row>
    <row r="1682" spans="1:10" ht="16" x14ac:dyDescent="0.45">
      <c r="A1682" s="153" t="str">
        <f>B1682&amp;C1682&amp;E1682&amp;G1682</f>
        <v>매트리스하이브리드47베이직케어(4M)</v>
      </c>
      <c r="B1682" s="17" t="s">
        <v>228</v>
      </c>
      <c r="C1682" s="18" t="s">
        <v>505</v>
      </c>
      <c r="D1682" s="19" t="s">
        <v>692</v>
      </c>
      <c r="E1682" s="19">
        <v>7</v>
      </c>
      <c r="F1682" s="19" t="s">
        <v>0</v>
      </c>
      <c r="G1682" s="20" t="s">
        <v>608</v>
      </c>
      <c r="H1682" s="36">
        <v>48900</v>
      </c>
      <c r="I1682" s="36">
        <v>48900</v>
      </c>
      <c r="J1682" s="25">
        <v>325500</v>
      </c>
    </row>
    <row r="1683" spans="1:10" ht="16" x14ac:dyDescent="0.45">
      <c r="A1683" s="153" t="str">
        <f>B1683&amp;C1683&amp;E1683&amp;G1683</f>
        <v>매트리스하이브리드49베이직케어(4M)</v>
      </c>
      <c r="B1683" s="17" t="s">
        <v>228</v>
      </c>
      <c r="C1683" s="18" t="s">
        <v>505</v>
      </c>
      <c r="D1683" s="19" t="s">
        <v>692</v>
      </c>
      <c r="E1683" s="19">
        <v>9</v>
      </c>
      <c r="F1683" s="19" t="s">
        <v>0</v>
      </c>
      <c r="G1683" s="20" t="s">
        <v>608</v>
      </c>
      <c r="H1683" s="36">
        <v>42900</v>
      </c>
      <c r="I1683" s="36">
        <v>42900</v>
      </c>
      <c r="J1683" s="25">
        <v>325500</v>
      </c>
    </row>
    <row r="1684" spans="1:10" ht="16" x14ac:dyDescent="0.45">
      <c r="A1684" s="153" t="str">
        <f>B1684&amp;C1684&amp;E1684&amp;G1684</f>
        <v>매트리스하이브리드45서비스프리</v>
      </c>
      <c r="B1684" s="17" t="s">
        <v>228</v>
      </c>
      <c r="C1684" s="18" t="s">
        <v>505</v>
      </c>
      <c r="D1684" s="19" t="s">
        <v>692</v>
      </c>
      <c r="E1684" s="19">
        <v>5</v>
      </c>
      <c r="F1684" s="19" t="s">
        <v>0</v>
      </c>
      <c r="G1684" s="20" t="s">
        <v>183</v>
      </c>
      <c r="H1684" s="36">
        <v>55900</v>
      </c>
      <c r="I1684" s="36">
        <v>55900</v>
      </c>
      <c r="J1684" s="25">
        <v>295900</v>
      </c>
    </row>
    <row r="1685" spans="1:10" ht="16" x14ac:dyDescent="0.45">
      <c r="A1685" s="153" t="str">
        <f>B1685&amp;C1685&amp;E1685&amp;G1685</f>
        <v>매트리스하이브리드47서비스프리</v>
      </c>
      <c r="B1685" s="17" t="s">
        <v>228</v>
      </c>
      <c r="C1685" s="18" t="s">
        <v>505</v>
      </c>
      <c r="D1685" s="19" t="s">
        <v>692</v>
      </c>
      <c r="E1685" s="19">
        <v>7</v>
      </c>
      <c r="F1685" s="19" t="s">
        <v>0</v>
      </c>
      <c r="G1685" s="20" t="s">
        <v>183</v>
      </c>
      <c r="H1685" s="36">
        <v>46900</v>
      </c>
      <c r="I1685" s="36">
        <v>46900</v>
      </c>
      <c r="J1685" s="25">
        <v>325500</v>
      </c>
    </row>
    <row r="1686" spans="1:10" ht="16" x14ac:dyDescent="0.45">
      <c r="A1686" s="153" t="str">
        <f>B1686&amp;C1686&amp;E1686&amp;G1686</f>
        <v>매트리스하이브리드49서비스프리</v>
      </c>
      <c r="B1686" s="17" t="s">
        <v>228</v>
      </c>
      <c r="C1686" s="18" t="s">
        <v>505</v>
      </c>
      <c r="D1686" s="19" t="s">
        <v>692</v>
      </c>
      <c r="E1686" s="19">
        <v>9</v>
      </c>
      <c r="F1686" s="19" t="s">
        <v>0</v>
      </c>
      <c r="G1686" s="20" t="s">
        <v>183</v>
      </c>
      <c r="H1686" s="36">
        <v>40900</v>
      </c>
      <c r="I1686" s="36">
        <v>40900</v>
      </c>
      <c r="J1686" s="25">
        <v>325500</v>
      </c>
    </row>
    <row r="1687" spans="1:10" ht="16" x14ac:dyDescent="0.45">
      <c r="A1687" s="153" t="str">
        <f>B1687&amp;C1687&amp;E1687&amp;G1687</f>
        <v>매트리스하이브리드451회서비스</v>
      </c>
      <c r="B1687" s="17" t="s">
        <v>228</v>
      </c>
      <c r="C1687" s="18" t="s">
        <v>505</v>
      </c>
      <c r="D1687" s="19" t="s">
        <v>654</v>
      </c>
      <c r="E1687" s="19">
        <v>5</v>
      </c>
      <c r="F1687" s="19" t="s">
        <v>0</v>
      </c>
      <c r="G1687" s="20" t="s">
        <v>457</v>
      </c>
      <c r="H1687" s="36">
        <v>44900</v>
      </c>
      <c r="I1687" s="36">
        <v>44900</v>
      </c>
      <c r="J1687" s="25">
        <v>273400</v>
      </c>
    </row>
    <row r="1688" spans="1:10" ht="16" x14ac:dyDescent="0.45">
      <c r="A1688" s="153" t="str">
        <f>B1688&amp;C1688&amp;E1688&amp;G1688</f>
        <v>매트리스하이브리드471회서비스</v>
      </c>
      <c r="B1688" s="17" t="s">
        <v>228</v>
      </c>
      <c r="C1688" s="18" t="s">
        <v>505</v>
      </c>
      <c r="D1688" s="19" t="s">
        <v>654</v>
      </c>
      <c r="E1688" s="19">
        <v>7</v>
      </c>
      <c r="F1688" s="19" t="s">
        <v>0</v>
      </c>
      <c r="G1688" s="20" t="s">
        <v>457</v>
      </c>
      <c r="H1688" s="36">
        <v>36900</v>
      </c>
      <c r="I1688" s="36">
        <v>36900</v>
      </c>
      <c r="J1688" s="25">
        <v>300700</v>
      </c>
    </row>
    <row r="1689" spans="1:10" ht="16" x14ac:dyDescent="0.45">
      <c r="A1689" s="153" t="str">
        <f>B1689&amp;C1689&amp;E1689&amp;G1689</f>
        <v>매트리스하이브리드491회서비스</v>
      </c>
      <c r="B1689" s="17" t="s">
        <v>228</v>
      </c>
      <c r="C1689" s="18" t="s">
        <v>505</v>
      </c>
      <c r="D1689" s="19" t="s">
        <v>654</v>
      </c>
      <c r="E1689" s="19">
        <v>9</v>
      </c>
      <c r="F1689" s="19" t="s">
        <v>0</v>
      </c>
      <c r="G1689" s="20" t="s">
        <v>457</v>
      </c>
      <c r="H1689" s="36">
        <v>31900</v>
      </c>
      <c r="I1689" s="36">
        <v>31900</v>
      </c>
      <c r="J1689" s="25">
        <v>300700</v>
      </c>
    </row>
    <row r="1690" spans="1:10" ht="16" x14ac:dyDescent="0.45">
      <c r="A1690" s="153" t="str">
        <f>B1690&amp;C1690&amp;E1690&amp;G1690</f>
        <v>매트리스하이브리드454M(4개월점검주기)</v>
      </c>
      <c r="B1690" s="17" t="s">
        <v>228</v>
      </c>
      <c r="C1690" s="18" t="s">
        <v>505</v>
      </c>
      <c r="D1690" s="19" t="s">
        <v>654</v>
      </c>
      <c r="E1690" s="19">
        <v>5</v>
      </c>
      <c r="F1690" s="19" t="s">
        <v>0</v>
      </c>
      <c r="G1690" s="20" t="s">
        <v>453</v>
      </c>
      <c r="H1690" s="36">
        <v>46900</v>
      </c>
      <c r="I1690" s="36">
        <v>46900</v>
      </c>
      <c r="J1690" s="25">
        <v>273400</v>
      </c>
    </row>
    <row r="1691" spans="1:10" ht="16" x14ac:dyDescent="0.45">
      <c r="A1691" s="153" t="str">
        <f>B1691&amp;C1691&amp;E1691&amp;G1691</f>
        <v>매트리스하이브리드464M(4개월점검주기)</v>
      </c>
      <c r="B1691" s="17" t="s">
        <v>228</v>
      </c>
      <c r="C1691" s="18" t="s">
        <v>505</v>
      </c>
      <c r="D1691" s="19" t="s">
        <v>654</v>
      </c>
      <c r="E1691" s="19">
        <v>6</v>
      </c>
      <c r="F1691" s="19" t="s">
        <v>0</v>
      </c>
      <c r="G1691" s="20" t="s">
        <v>453</v>
      </c>
      <c r="H1691" s="36">
        <v>43900</v>
      </c>
      <c r="I1691" s="36">
        <v>43900</v>
      </c>
      <c r="J1691" s="25">
        <v>273400</v>
      </c>
    </row>
    <row r="1692" spans="1:10" ht="16" x14ac:dyDescent="0.45">
      <c r="A1692" s="153" t="str">
        <f>B1692&amp;C1692&amp;E1692&amp;G1692</f>
        <v>매트리스하이브리드474M(4개월점검주기)</v>
      </c>
      <c r="B1692" s="17" t="s">
        <v>228</v>
      </c>
      <c r="C1692" s="18" t="s">
        <v>505</v>
      </c>
      <c r="D1692" s="19" t="s">
        <v>654</v>
      </c>
      <c r="E1692" s="19">
        <v>7</v>
      </c>
      <c r="F1692" s="19" t="s">
        <v>0</v>
      </c>
      <c r="G1692" s="20" t="s">
        <v>453</v>
      </c>
      <c r="H1692" s="36">
        <v>38900</v>
      </c>
      <c r="I1692" s="36">
        <v>38900</v>
      </c>
      <c r="J1692" s="25">
        <v>300700</v>
      </c>
    </row>
    <row r="1693" spans="1:10" ht="16" x14ac:dyDescent="0.45">
      <c r="A1693" s="153" t="str">
        <f>B1693&amp;C1693&amp;E1693&amp;G1693</f>
        <v>매트리스하이브리드494M(4개월점검주기)</v>
      </c>
      <c r="B1693" s="17" t="s">
        <v>228</v>
      </c>
      <c r="C1693" s="18" t="s">
        <v>505</v>
      </c>
      <c r="D1693" s="19" t="s">
        <v>654</v>
      </c>
      <c r="E1693" s="19">
        <v>9</v>
      </c>
      <c r="F1693" s="19" t="s">
        <v>0</v>
      </c>
      <c r="G1693" s="20" t="s">
        <v>453</v>
      </c>
      <c r="H1693" s="36">
        <v>33900</v>
      </c>
      <c r="I1693" s="36">
        <v>33900</v>
      </c>
      <c r="J1693" s="25">
        <v>300700</v>
      </c>
    </row>
    <row r="1694" spans="1:10" ht="16" x14ac:dyDescent="0.45">
      <c r="A1694" s="153" t="str">
        <f>B1694&amp;C1694&amp;E1694&amp;G1694</f>
        <v>매트리스하이브리드45베이직케어(4M)</v>
      </c>
      <c r="B1694" s="17" t="s">
        <v>228</v>
      </c>
      <c r="C1694" s="18" t="s">
        <v>505</v>
      </c>
      <c r="D1694" s="19" t="s">
        <v>654</v>
      </c>
      <c r="E1694" s="19">
        <v>5</v>
      </c>
      <c r="F1694" s="19" t="s">
        <v>0</v>
      </c>
      <c r="G1694" s="20" t="s">
        <v>608</v>
      </c>
      <c r="H1694" s="36">
        <v>41900</v>
      </c>
      <c r="I1694" s="36">
        <v>41900</v>
      </c>
      <c r="J1694" s="25">
        <v>262200</v>
      </c>
    </row>
    <row r="1695" spans="1:10" ht="16" x14ac:dyDescent="0.45">
      <c r="A1695" s="153" t="str">
        <f>B1695&amp;C1695&amp;E1695&amp;G1695</f>
        <v>매트리스하이브리드47베이직케어(4M)</v>
      </c>
      <c r="B1695" s="17" t="s">
        <v>228</v>
      </c>
      <c r="C1695" s="18" t="s">
        <v>505</v>
      </c>
      <c r="D1695" s="19" t="s">
        <v>654</v>
      </c>
      <c r="E1695" s="19">
        <v>7</v>
      </c>
      <c r="F1695" s="19" t="s">
        <v>0</v>
      </c>
      <c r="G1695" s="20" t="s">
        <v>608</v>
      </c>
      <c r="H1695" s="36">
        <v>33900</v>
      </c>
      <c r="I1695" s="36">
        <v>33900</v>
      </c>
      <c r="J1695" s="25">
        <v>288400</v>
      </c>
    </row>
    <row r="1696" spans="1:10" ht="16" x14ac:dyDescent="0.45">
      <c r="A1696" s="153" t="str">
        <f>B1696&amp;C1696&amp;E1696&amp;G1696</f>
        <v>매트리스하이브리드49베이직케어(4M)</v>
      </c>
      <c r="B1696" s="17" t="s">
        <v>228</v>
      </c>
      <c r="C1696" s="18" t="s">
        <v>505</v>
      </c>
      <c r="D1696" s="19" t="s">
        <v>654</v>
      </c>
      <c r="E1696" s="19">
        <v>9</v>
      </c>
      <c r="F1696" s="19" t="s">
        <v>0</v>
      </c>
      <c r="G1696" s="20" t="s">
        <v>608</v>
      </c>
      <c r="H1696" s="36">
        <v>28900</v>
      </c>
      <c r="I1696" s="36">
        <v>28900</v>
      </c>
      <c r="J1696" s="25">
        <v>288400</v>
      </c>
    </row>
    <row r="1697" spans="1:10" ht="16" x14ac:dyDescent="0.45">
      <c r="A1697" s="153" t="str">
        <f>B1697&amp;C1697&amp;E1697&amp;G1697</f>
        <v>매트리스하이브리드45서비스프리</v>
      </c>
      <c r="B1697" s="17" t="s">
        <v>228</v>
      </c>
      <c r="C1697" s="18" t="s">
        <v>505</v>
      </c>
      <c r="D1697" s="19" t="s">
        <v>654</v>
      </c>
      <c r="E1697" s="19">
        <v>5</v>
      </c>
      <c r="F1697" s="19" t="s">
        <v>0</v>
      </c>
      <c r="G1697" s="20" t="s">
        <v>183</v>
      </c>
      <c r="H1697" s="36">
        <v>39900</v>
      </c>
      <c r="I1697" s="36">
        <v>39900</v>
      </c>
      <c r="J1697" s="25">
        <v>251000</v>
      </c>
    </row>
    <row r="1698" spans="1:10" ht="16" x14ac:dyDescent="0.45">
      <c r="A1698" s="153" t="str">
        <f>B1698&amp;C1698&amp;E1698&amp;G1698</f>
        <v>매트리스하이브리드47서비스프리</v>
      </c>
      <c r="B1698" s="17" t="s">
        <v>228</v>
      </c>
      <c r="C1698" s="18" t="s">
        <v>505</v>
      </c>
      <c r="D1698" s="19" t="s">
        <v>654</v>
      </c>
      <c r="E1698" s="19">
        <v>7</v>
      </c>
      <c r="F1698" s="19" t="s">
        <v>0</v>
      </c>
      <c r="G1698" s="20" t="s">
        <v>183</v>
      </c>
      <c r="H1698" s="36">
        <v>31900</v>
      </c>
      <c r="I1698" s="36">
        <v>31900</v>
      </c>
      <c r="J1698" s="25">
        <v>276100</v>
      </c>
    </row>
    <row r="1699" spans="1:10" ht="16" x14ac:dyDescent="0.45">
      <c r="A1699" s="153" t="str">
        <f>B1699&amp;C1699&amp;E1699&amp;G1699</f>
        <v>매트리스하이브리드49서비스프리</v>
      </c>
      <c r="B1699" s="17" t="s">
        <v>228</v>
      </c>
      <c r="C1699" s="18" t="s">
        <v>505</v>
      </c>
      <c r="D1699" s="19" t="s">
        <v>654</v>
      </c>
      <c r="E1699" s="19">
        <v>9</v>
      </c>
      <c r="F1699" s="19" t="s">
        <v>0</v>
      </c>
      <c r="G1699" s="20" t="s">
        <v>183</v>
      </c>
      <c r="H1699" s="36">
        <v>26900</v>
      </c>
      <c r="I1699" s="36">
        <v>26900</v>
      </c>
      <c r="J1699" s="25">
        <v>276100</v>
      </c>
    </row>
    <row r="1700" spans="1:10" ht="16" x14ac:dyDescent="0.45">
      <c r="A1700" s="153" t="str">
        <f>B1700&amp;C1700&amp;E1700&amp;G1700</f>
        <v>매트리스하이브리드451회서비스</v>
      </c>
      <c r="B1700" s="17" t="s">
        <v>228</v>
      </c>
      <c r="C1700" s="18" t="s">
        <v>505</v>
      </c>
      <c r="D1700" s="19" t="s">
        <v>655</v>
      </c>
      <c r="E1700" s="19">
        <v>5</v>
      </c>
      <c r="F1700" s="19" t="s">
        <v>0</v>
      </c>
      <c r="G1700" s="20" t="s">
        <v>457</v>
      </c>
      <c r="H1700" s="36">
        <v>41900</v>
      </c>
      <c r="I1700" s="36">
        <v>41900</v>
      </c>
      <c r="J1700" s="25">
        <v>262200</v>
      </c>
    </row>
    <row r="1701" spans="1:10" ht="16" x14ac:dyDescent="0.45">
      <c r="A1701" s="153" t="str">
        <f>B1701&amp;C1701&amp;E1701&amp;G1701</f>
        <v>매트리스하이브리드471회서비스</v>
      </c>
      <c r="B1701" s="17" t="s">
        <v>228</v>
      </c>
      <c r="C1701" s="18" t="s">
        <v>505</v>
      </c>
      <c r="D1701" s="19" t="s">
        <v>655</v>
      </c>
      <c r="E1701" s="19">
        <v>7</v>
      </c>
      <c r="F1701" s="19" t="s">
        <v>0</v>
      </c>
      <c r="G1701" s="20" t="s">
        <v>457</v>
      </c>
      <c r="H1701" s="36">
        <v>33900</v>
      </c>
      <c r="I1701" s="36">
        <v>33900</v>
      </c>
      <c r="J1701" s="25">
        <v>288400</v>
      </c>
    </row>
    <row r="1702" spans="1:10" ht="16" x14ac:dyDescent="0.45">
      <c r="A1702" s="153" t="str">
        <f>B1702&amp;C1702&amp;E1702&amp;G1702</f>
        <v>매트리스하이브리드491회서비스</v>
      </c>
      <c r="B1702" s="17" t="s">
        <v>228</v>
      </c>
      <c r="C1702" s="18" t="s">
        <v>505</v>
      </c>
      <c r="D1702" s="19" t="s">
        <v>655</v>
      </c>
      <c r="E1702" s="19">
        <v>9</v>
      </c>
      <c r="F1702" s="19" t="s">
        <v>0</v>
      </c>
      <c r="G1702" s="20" t="s">
        <v>457</v>
      </c>
      <c r="H1702" s="36">
        <v>28900</v>
      </c>
      <c r="I1702" s="36">
        <v>28900</v>
      </c>
      <c r="J1702" s="25">
        <v>288400</v>
      </c>
    </row>
    <row r="1703" spans="1:10" ht="16" x14ac:dyDescent="0.45">
      <c r="A1703" s="153" t="str">
        <f>B1703&amp;C1703&amp;E1703&amp;G1703</f>
        <v>매트리스하이브리드454M(4개월점검주기)</v>
      </c>
      <c r="B1703" s="17" t="s">
        <v>228</v>
      </c>
      <c r="C1703" s="18" t="s">
        <v>505</v>
      </c>
      <c r="D1703" s="19" t="s">
        <v>655</v>
      </c>
      <c r="E1703" s="19">
        <v>5</v>
      </c>
      <c r="F1703" s="19" t="s">
        <v>0</v>
      </c>
      <c r="G1703" s="20" t="s">
        <v>453</v>
      </c>
      <c r="H1703" s="36">
        <v>43900</v>
      </c>
      <c r="I1703" s="36">
        <v>43900</v>
      </c>
      <c r="J1703" s="25">
        <v>273400</v>
      </c>
    </row>
    <row r="1704" spans="1:10" ht="16" x14ac:dyDescent="0.45">
      <c r="A1704" s="153" t="str">
        <f>B1704&amp;C1704&amp;E1704&amp;G1704</f>
        <v>매트리스하이브리드464M(4개월점검주기)</v>
      </c>
      <c r="B1704" s="17" t="s">
        <v>228</v>
      </c>
      <c r="C1704" s="18" t="s">
        <v>505</v>
      </c>
      <c r="D1704" s="19" t="s">
        <v>655</v>
      </c>
      <c r="E1704" s="19">
        <v>6</v>
      </c>
      <c r="F1704" s="19" t="s">
        <v>0</v>
      </c>
      <c r="G1704" s="20" t="s">
        <v>453</v>
      </c>
      <c r="H1704" s="36">
        <v>39900</v>
      </c>
      <c r="I1704" s="36">
        <v>39900</v>
      </c>
      <c r="J1704" s="25">
        <v>273400</v>
      </c>
    </row>
    <row r="1705" spans="1:10" ht="16" x14ac:dyDescent="0.45">
      <c r="A1705" s="153" t="str">
        <f>B1705&amp;C1705&amp;E1705&amp;G1705</f>
        <v>매트리스하이브리드474M(4개월점검주기)</v>
      </c>
      <c r="B1705" s="17" t="s">
        <v>228</v>
      </c>
      <c r="C1705" s="18" t="s">
        <v>505</v>
      </c>
      <c r="D1705" s="19" t="s">
        <v>655</v>
      </c>
      <c r="E1705" s="19">
        <v>7</v>
      </c>
      <c r="F1705" s="19" t="s">
        <v>0</v>
      </c>
      <c r="G1705" s="20" t="s">
        <v>453</v>
      </c>
      <c r="H1705" s="36">
        <v>35900</v>
      </c>
      <c r="I1705" s="36">
        <v>35900</v>
      </c>
      <c r="J1705" s="25">
        <v>300700</v>
      </c>
    </row>
    <row r="1706" spans="1:10" ht="16" x14ac:dyDescent="0.45">
      <c r="A1706" s="153" t="str">
        <f>B1706&amp;C1706&amp;E1706&amp;G1706</f>
        <v>매트리스하이브리드494M(4개월점검주기)</v>
      </c>
      <c r="B1706" s="17" t="s">
        <v>228</v>
      </c>
      <c r="C1706" s="18" t="s">
        <v>505</v>
      </c>
      <c r="D1706" s="19" t="s">
        <v>655</v>
      </c>
      <c r="E1706" s="19">
        <v>9</v>
      </c>
      <c r="F1706" s="19" t="s">
        <v>0</v>
      </c>
      <c r="G1706" s="20" t="s">
        <v>453</v>
      </c>
      <c r="H1706" s="36">
        <v>30900</v>
      </c>
      <c r="I1706" s="36">
        <v>30900</v>
      </c>
      <c r="J1706" s="25">
        <v>300700</v>
      </c>
    </row>
    <row r="1707" spans="1:10" ht="16" x14ac:dyDescent="0.45">
      <c r="A1707" s="153" t="str">
        <f>B1707&amp;C1707&amp;E1707&amp;G1707</f>
        <v>매트리스하이브리드45베이직케어(4M)</v>
      </c>
      <c r="B1707" s="17" t="s">
        <v>228</v>
      </c>
      <c r="C1707" s="18" t="s">
        <v>505</v>
      </c>
      <c r="D1707" s="19" t="s">
        <v>655</v>
      </c>
      <c r="E1707" s="19">
        <v>5</v>
      </c>
      <c r="F1707" s="19" t="s">
        <v>0</v>
      </c>
      <c r="G1707" s="20" t="s">
        <v>608</v>
      </c>
      <c r="H1707" s="36">
        <v>38900</v>
      </c>
      <c r="I1707" s="36">
        <v>38900</v>
      </c>
      <c r="J1707" s="25">
        <v>251000</v>
      </c>
    </row>
    <row r="1708" spans="1:10" ht="16" x14ac:dyDescent="0.45">
      <c r="A1708" s="153" t="str">
        <f>B1708&amp;C1708&amp;E1708&amp;G1708</f>
        <v>매트리스하이브리드47베이직케어(4M)</v>
      </c>
      <c r="B1708" s="17" t="s">
        <v>228</v>
      </c>
      <c r="C1708" s="18" t="s">
        <v>505</v>
      </c>
      <c r="D1708" s="19" t="s">
        <v>655</v>
      </c>
      <c r="E1708" s="19">
        <v>7</v>
      </c>
      <c r="F1708" s="19" t="s">
        <v>0</v>
      </c>
      <c r="G1708" s="20" t="s">
        <v>608</v>
      </c>
      <c r="H1708" s="36">
        <v>30900</v>
      </c>
      <c r="I1708" s="36">
        <v>30900</v>
      </c>
      <c r="J1708" s="25">
        <v>276100</v>
      </c>
    </row>
    <row r="1709" spans="1:10" ht="16" x14ac:dyDescent="0.45">
      <c r="A1709" s="153" t="str">
        <f>B1709&amp;C1709&amp;E1709&amp;G1709</f>
        <v>매트리스하이브리드49베이직케어(4M)</v>
      </c>
      <c r="B1709" s="17" t="s">
        <v>228</v>
      </c>
      <c r="C1709" s="18" t="s">
        <v>505</v>
      </c>
      <c r="D1709" s="19" t="s">
        <v>655</v>
      </c>
      <c r="E1709" s="19">
        <v>9</v>
      </c>
      <c r="F1709" s="19" t="s">
        <v>0</v>
      </c>
      <c r="G1709" s="20" t="s">
        <v>608</v>
      </c>
      <c r="H1709" s="36">
        <v>25900</v>
      </c>
      <c r="I1709" s="36">
        <v>25900</v>
      </c>
      <c r="J1709" s="25">
        <v>276100</v>
      </c>
    </row>
    <row r="1710" spans="1:10" ht="16" x14ac:dyDescent="0.45">
      <c r="A1710" s="153" t="str">
        <f>B1710&amp;C1710&amp;E1710&amp;G1710</f>
        <v>매트리스하이브리드45서비스프리</v>
      </c>
      <c r="B1710" s="17" t="s">
        <v>228</v>
      </c>
      <c r="C1710" s="18" t="s">
        <v>505</v>
      </c>
      <c r="D1710" s="19" t="s">
        <v>655</v>
      </c>
      <c r="E1710" s="19">
        <v>5</v>
      </c>
      <c r="F1710" s="19" t="s">
        <v>0</v>
      </c>
      <c r="G1710" s="20" t="s">
        <v>183</v>
      </c>
      <c r="H1710" s="36">
        <v>36900</v>
      </c>
      <c r="I1710" s="36">
        <v>36900</v>
      </c>
      <c r="J1710" s="25">
        <v>239700</v>
      </c>
    </row>
    <row r="1711" spans="1:10" ht="16" x14ac:dyDescent="0.45">
      <c r="A1711" s="153" t="str">
        <f>B1711&amp;C1711&amp;E1711&amp;G1711</f>
        <v>매트리스하이브리드47서비스프리</v>
      </c>
      <c r="B1711" s="17" t="s">
        <v>228</v>
      </c>
      <c r="C1711" s="18" t="s">
        <v>505</v>
      </c>
      <c r="D1711" s="19" t="s">
        <v>655</v>
      </c>
      <c r="E1711" s="19">
        <v>7</v>
      </c>
      <c r="F1711" s="19" t="s">
        <v>0</v>
      </c>
      <c r="G1711" s="20" t="s">
        <v>183</v>
      </c>
      <c r="H1711" s="36">
        <v>28900</v>
      </c>
      <c r="I1711" s="36">
        <v>28900</v>
      </c>
      <c r="J1711" s="25">
        <v>263700</v>
      </c>
    </row>
    <row r="1712" spans="1:10" ht="16" x14ac:dyDescent="0.45">
      <c r="A1712" s="153" t="str">
        <f>B1712&amp;C1712&amp;E1712&amp;G1712</f>
        <v>매트리스하이브리드49서비스프리</v>
      </c>
      <c r="B1712" s="17" t="s">
        <v>228</v>
      </c>
      <c r="C1712" s="18" t="s">
        <v>505</v>
      </c>
      <c r="D1712" s="19" t="s">
        <v>655</v>
      </c>
      <c r="E1712" s="19">
        <v>9</v>
      </c>
      <c r="F1712" s="19" t="s">
        <v>0</v>
      </c>
      <c r="G1712" s="20" t="s">
        <v>183</v>
      </c>
      <c r="H1712" s="36">
        <v>23900</v>
      </c>
      <c r="I1712" s="36">
        <v>23900</v>
      </c>
      <c r="J1712" s="25">
        <v>263700</v>
      </c>
    </row>
    <row r="1713" spans="1:10" ht="16" x14ac:dyDescent="0.45">
      <c r="A1713" s="153" t="str">
        <f>B1713&amp;C1713&amp;E1713&amp;G1713</f>
        <v>의류청정기더블케어 의류청정기54M(4개월점검주기)</v>
      </c>
      <c r="B1713" s="17" t="s">
        <v>485</v>
      </c>
      <c r="C1713" s="18" t="s">
        <v>516</v>
      </c>
      <c r="D1713" s="19" t="s">
        <v>446</v>
      </c>
      <c r="E1713" s="19">
        <v>5</v>
      </c>
      <c r="F1713" s="19" t="s">
        <v>0</v>
      </c>
      <c r="G1713" s="20" t="s">
        <v>453</v>
      </c>
      <c r="H1713" s="36">
        <v>49900</v>
      </c>
      <c r="I1713" s="36">
        <v>49900</v>
      </c>
      <c r="J1713" s="25">
        <v>294400</v>
      </c>
    </row>
    <row r="1714" spans="1:10" ht="16" x14ac:dyDescent="0.45">
      <c r="A1714" s="153" t="str">
        <f>B1714&amp;C1714&amp;E1714&amp;G1714</f>
        <v>의류청정기더블케어 의류청정기64M(4개월점검주기)</v>
      </c>
      <c r="B1714" s="17" t="s">
        <v>485</v>
      </c>
      <c r="C1714" s="18" t="s">
        <v>516</v>
      </c>
      <c r="D1714" s="19" t="s">
        <v>446</v>
      </c>
      <c r="E1714" s="19">
        <v>6</v>
      </c>
      <c r="F1714" s="19" t="s">
        <v>0</v>
      </c>
      <c r="G1714" s="20" t="s">
        <v>453</v>
      </c>
      <c r="H1714" s="36">
        <v>45900</v>
      </c>
      <c r="I1714" s="36">
        <v>45900</v>
      </c>
      <c r="J1714" s="25">
        <v>323800</v>
      </c>
    </row>
    <row r="1715" spans="1:10" ht="16" x14ac:dyDescent="0.45">
      <c r="A1715" s="153" t="str">
        <f>B1715&amp;C1715&amp;E1715&amp;G1715</f>
        <v>의류청정기더블케어 의류청정기5자가관리</v>
      </c>
      <c r="B1715" s="17" t="s">
        <v>485</v>
      </c>
      <c r="C1715" s="18" t="s">
        <v>516</v>
      </c>
      <c r="D1715" s="19" t="s">
        <v>446</v>
      </c>
      <c r="E1715" s="19">
        <v>5</v>
      </c>
      <c r="F1715" s="19" t="s">
        <v>0</v>
      </c>
      <c r="G1715" s="20" t="s">
        <v>3</v>
      </c>
      <c r="H1715" s="36">
        <v>46900</v>
      </c>
      <c r="I1715" s="36">
        <v>46900</v>
      </c>
      <c r="J1715" s="25">
        <v>294400</v>
      </c>
    </row>
    <row r="1716" spans="1:10" ht="16" x14ac:dyDescent="0.45">
      <c r="A1716" s="153" t="str">
        <f>B1716&amp;C1716&amp;E1716&amp;G1716</f>
        <v>의류청정기더블케어 의류청정기6자가관리</v>
      </c>
      <c r="B1716" s="17" t="s">
        <v>485</v>
      </c>
      <c r="C1716" s="18" t="s">
        <v>516</v>
      </c>
      <c r="D1716" s="19" t="s">
        <v>446</v>
      </c>
      <c r="E1716" s="19">
        <v>6</v>
      </c>
      <c r="F1716" s="19" t="s">
        <v>0</v>
      </c>
      <c r="G1716" s="20" t="s">
        <v>3</v>
      </c>
      <c r="H1716" s="36">
        <v>42900</v>
      </c>
      <c r="I1716" s="36">
        <v>42900</v>
      </c>
      <c r="J1716" s="25">
        <v>323800</v>
      </c>
    </row>
    <row r="1717" spans="1:10" ht="16" x14ac:dyDescent="0.45">
      <c r="A1717" s="153" t="str">
        <f>B1717&amp;C1717&amp;E1717&amp;G1717</f>
        <v>의류청정기더블케어 의류청정기54M(4개월점검주기)</v>
      </c>
      <c r="B1717" s="17" t="s">
        <v>485</v>
      </c>
      <c r="C1717" s="18" t="s">
        <v>516</v>
      </c>
      <c r="D1717" s="19" t="s">
        <v>447</v>
      </c>
      <c r="E1717" s="19">
        <v>5</v>
      </c>
      <c r="F1717" s="19" t="s">
        <v>0</v>
      </c>
      <c r="G1717" s="20" t="s">
        <v>453</v>
      </c>
      <c r="H1717" s="36">
        <v>47900</v>
      </c>
      <c r="I1717" s="36">
        <v>47900</v>
      </c>
      <c r="J1717" s="25">
        <v>294400</v>
      </c>
    </row>
    <row r="1718" spans="1:10" ht="16" x14ac:dyDescent="0.45">
      <c r="A1718" s="153" t="str">
        <f>B1718&amp;C1718&amp;E1718&amp;G1718</f>
        <v>의류청정기더블케어 의류청정기64M(4개월점검주기)</v>
      </c>
      <c r="B1718" s="17" t="s">
        <v>485</v>
      </c>
      <c r="C1718" s="18" t="s">
        <v>516</v>
      </c>
      <c r="D1718" s="19" t="s">
        <v>447</v>
      </c>
      <c r="E1718" s="19">
        <v>6</v>
      </c>
      <c r="F1718" s="19" t="s">
        <v>0</v>
      </c>
      <c r="G1718" s="20" t="s">
        <v>453</v>
      </c>
      <c r="H1718" s="36">
        <v>43900</v>
      </c>
      <c r="I1718" s="36">
        <v>43900</v>
      </c>
      <c r="J1718" s="25">
        <v>323800</v>
      </c>
    </row>
    <row r="1719" spans="1:10" ht="16" x14ac:dyDescent="0.45">
      <c r="A1719" s="153" t="str">
        <f>B1719&amp;C1719&amp;E1719&amp;G1719</f>
        <v>의류청정기더블케어 의류청정기5자가관리</v>
      </c>
      <c r="B1719" s="17" t="s">
        <v>485</v>
      </c>
      <c r="C1719" s="18" t="s">
        <v>516</v>
      </c>
      <c r="D1719" s="19" t="s">
        <v>447</v>
      </c>
      <c r="E1719" s="19">
        <v>5</v>
      </c>
      <c r="F1719" s="19" t="s">
        <v>0</v>
      </c>
      <c r="G1719" s="20" t="s">
        <v>3</v>
      </c>
      <c r="H1719" s="36">
        <v>44900</v>
      </c>
      <c r="I1719" s="36">
        <v>44900</v>
      </c>
      <c r="J1719" s="25">
        <v>283200</v>
      </c>
    </row>
    <row r="1720" spans="1:10" ht="16" x14ac:dyDescent="0.45">
      <c r="A1720" s="153" t="str">
        <f>B1720&amp;C1720&amp;E1720&amp;G1720</f>
        <v>의류청정기더블케어 의류청정기6자가관리</v>
      </c>
      <c r="B1720" s="17" t="s">
        <v>485</v>
      </c>
      <c r="C1720" s="18" t="s">
        <v>516</v>
      </c>
      <c r="D1720" s="19" t="s">
        <v>447</v>
      </c>
      <c r="E1720" s="19">
        <v>6</v>
      </c>
      <c r="F1720" s="19" t="s">
        <v>0</v>
      </c>
      <c r="G1720" s="20" t="s">
        <v>3</v>
      </c>
      <c r="H1720" s="36">
        <v>40900</v>
      </c>
      <c r="I1720" s="36">
        <v>40900</v>
      </c>
      <c r="J1720" s="25">
        <v>311500</v>
      </c>
    </row>
    <row r="1721" spans="1:10" ht="16" x14ac:dyDescent="0.45">
      <c r="A1721" s="153" t="str">
        <f>B1721&amp;C1721&amp;E1721&amp;G1721</f>
        <v>프레임그레이스 프레임5서비스프리</v>
      </c>
      <c r="B1721" s="17" t="s">
        <v>487</v>
      </c>
      <c r="C1721" s="18" t="s">
        <v>555</v>
      </c>
      <c r="D1721" s="19" t="s">
        <v>667</v>
      </c>
      <c r="E1721" s="19">
        <v>5</v>
      </c>
      <c r="F1721" s="19" t="s">
        <v>0</v>
      </c>
      <c r="G1721" s="20" t="s">
        <v>183</v>
      </c>
      <c r="H1721" s="36">
        <v>45900</v>
      </c>
      <c r="I1721" s="36">
        <v>45900</v>
      </c>
      <c r="J1721" s="25">
        <v>273400</v>
      </c>
    </row>
    <row r="1722" spans="1:10" ht="16" x14ac:dyDescent="0.45">
      <c r="A1722" s="153" t="str">
        <f>B1722&amp;C1722&amp;E1722&amp;G1722</f>
        <v>프레임그레이스 프레임7서비스프리</v>
      </c>
      <c r="B1722" s="17" t="s">
        <v>487</v>
      </c>
      <c r="C1722" s="18" t="s">
        <v>555</v>
      </c>
      <c r="D1722" s="19" t="s">
        <v>667</v>
      </c>
      <c r="E1722" s="19">
        <v>7</v>
      </c>
      <c r="F1722" s="19" t="s">
        <v>0</v>
      </c>
      <c r="G1722" s="20" t="s">
        <v>183</v>
      </c>
      <c r="H1722" s="36">
        <v>35900</v>
      </c>
      <c r="I1722" s="36">
        <v>35900</v>
      </c>
      <c r="J1722" s="25">
        <v>300700</v>
      </c>
    </row>
    <row r="1723" spans="1:10" ht="16" x14ac:dyDescent="0.45">
      <c r="A1723" s="153" t="str">
        <f>B1723&amp;C1723&amp;E1723&amp;G1723</f>
        <v>프레임그레이스 프레임9서비스프리</v>
      </c>
      <c r="B1723" s="17" t="s">
        <v>487</v>
      </c>
      <c r="C1723" s="18" t="s">
        <v>555</v>
      </c>
      <c r="D1723" s="19" t="s">
        <v>667</v>
      </c>
      <c r="E1723" s="19">
        <v>9</v>
      </c>
      <c r="F1723" s="19" t="s">
        <v>0</v>
      </c>
      <c r="G1723" s="20" t="s">
        <v>183</v>
      </c>
      <c r="H1723" s="36">
        <v>30900</v>
      </c>
      <c r="I1723" s="36">
        <v>30900</v>
      </c>
      <c r="J1723" s="25">
        <v>300700</v>
      </c>
    </row>
    <row r="1724" spans="1:10" ht="16" x14ac:dyDescent="0.45">
      <c r="A1724" s="153" t="str">
        <f>B1724&amp;C1724&amp;E1724&amp;G1724</f>
        <v>프레임그레이스 프레임5서비스프리</v>
      </c>
      <c r="B1724" s="17" t="s">
        <v>487</v>
      </c>
      <c r="C1724" s="18" t="s">
        <v>555</v>
      </c>
      <c r="D1724" s="19" t="s">
        <v>666</v>
      </c>
      <c r="E1724" s="19">
        <v>5</v>
      </c>
      <c r="F1724" s="19" t="s">
        <v>0</v>
      </c>
      <c r="G1724" s="20" t="s">
        <v>183</v>
      </c>
      <c r="H1724" s="36">
        <v>49900</v>
      </c>
      <c r="I1724" s="36">
        <v>49900</v>
      </c>
      <c r="J1724" s="25">
        <v>273400</v>
      </c>
    </row>
    <row r="1725" spans="1:10" ht="16" x14ac:dyDescent="0.45">
      <c r="A1725" s="153" t="str">
        <f>B1725&amp;C1725&amp;E1725&amp;G1725</f>
        <v>프레임그레이스 프레임7서비스프리</v>
      </c>
      <c r="B1725" s="17" t="s">
        <v>487</v>
      </c>
      <c r="C1725" s="18" t="s">
        <v>555</v>
      </c>
      <c r="D1725" s="19" t="s">
        <v>666</v>
      </c>
      <c r="E1725" s="19">
        <v>7</v>
      </c>
      <c r="F1725" s="19" t="s">
        <v>0</v>
      </c>
      <c r="G1725" s="20" t="s">
        <v>183</v>
      </c>
      <c r="H1725" s="36">
        <v>39900</v>
      </c>
      <c r="I1725" s="36">
        <v>39900</v>
      </c>
      <c r="J1725" s="25">
        <v>300700</v>
      </c>
    </row>
    <row r="1726" spans="1:10" ht="16" x14ac:dyDescent="0.45">
      <c r="A1726" s="153" t="str">
        <f>B1726&amp;C1726&amp;E1726&amp;G1726</f>
        <v>프레임그레이스 프레임9서비스프리</v>
      </c>
      <c r="B1726" s="17" t="s">
        <v>487</v>
      </c>
      <c r="C1726" s="18" t="s">
        <v>555</v>
      </c>
      <c r="D1726" s="19" t="s">
        <v>666</v>
      </c>
      <c r="E1726" s="19">
        <v>9</v>
      </c>
      <c r="F1726" s="19" t="s">
        <v>0</v>
      </c>
      <c r="G1726" s="20" t="s">
        <v>183</v>
      </c>
      <c r="H1726" s="36">
        <v>34900</v>
      </c>
      <c r="I1726" s="36">
        <v>34900</v>
      </c>
      <c r="J1726" s="25">
        <v>300700</v>
      </c>
    </row>
    <row r="1727" spans="1:10" ht="16" x14ac:dyDescent="0.45">
      <c r="A1727" s="153" t="str">
        <f>B1727&amp;C1727&amp;E1727&amp;G1727</f>
        <v>프레임그레이스 프레임5서비스프리</v>
      </c>
      <c r="B1727" s="17" t="s">
        <v>487</v>
      </c>
      <c r="C1727" s="18" t="s">
        <v>555</v>
      </c>
      <c r="D1727" s="19" t="s">
        <v>668</v>
      </c>
      <c r="E1727" s="19">
        <v>5</v>
      </c>
      <c r="F1727" s="19" t="s">
        <v>0</v>
      </c>
      <c r="G1727" s="20" t="s">
        <v>183</v>
      </c>
      <c r="H1727" s="36">
        <v>42900</v>
      </c>
      <c r="I1727" s="36">
        <v>42900</v>
      </c>
      <c r="J1727" s="25">
        <v>251000</v>
      </c>
    </row>
    <row r="1728" spans="1:10" ht="16" x14ac:dyDescent="0.45">
      <c r="A1728" s="153" t="str">
        <f>B1728&amp;C1728&amp;E1728&amp;G1728</f>
        <v>프레임그레이스 프레임7서비스프리</v>
      </c>
      <c r="B1728" s="17" t="s">
        <v>487</v>
      </c>
      <c r="C1728" s="18" t="s">
        <v>555</v>
      </c>
      <c r="D1728" s="19" t="s">
        <v>668</v>
      </c>
      <c r="E1728" s="19">
        <v>7</v>
      </c>
      <c r="F1728" s="19" t="s">
        <v>0</v>
      </c>
      <c r="G1728" s="20" t="s">
        <v>183</v>
      </c>
      <c r="H1728" s="36">
        <v>32900</v>
      </c>
      <c r="I1728" s="36">
        <v>32900</v>
      </c>
      <c r="J1728" s="25">
        <v>276100</v>
      </c>
    </row>
    <row r="1729" spans="1:10" ht="16" x14ac:dyDescent="0.45">
      <c r="A1729" s="153" t="str">
        <f>B1729&amp;C1729&amp;E1729&amp;G1729</f>
        <v>프레임그레이스 프레임9서비스프리</v>
      </c>
      <c r="B1729" s="17" t="s">
        <v>487</v>
      </c>
      <c r="C1729" s="18" t="s">
        <v>555</v>
      </c>
      <c r="D1729" s="19" t="s">
        <v>668</v>
      </c>
      <c r="E1729" s="19">
        <v>9</v>
      </c>
      <c r="F1729" s="19" t="s">
        <v>0</v>
      </c>
      <c r="G1729" s="20" t="s">
        <v>183</v>
      </c>
      <c r="H1729" s="36">
        <v>27900</v>
      </c>
      <c r="I1729" s="36">
        <v>27900</v>
      </c>
      <c r="J1729" s="25">
        <v>276100</v>
      </c>
    </row>
    <row r="1730" spans="1:10" ht="16" x14ac:dyDescent="0.45">
      <c r="A1730" s="153" t="str">
        <f>B1730&amp;C1730&amp;E1730&amp;G1730</f>
        <v>프레임단매트리스 프레임5서비스프리</v>
      </c>
      <c r="B1730" s="17" t="s">
        <v>487</v>
      </c>
      <c r="C1730" s="18" t="s">
        <v>556</v>
      </c>
      <c r="D1730" s="19" t="s">
        <v>310</v>
      </c>
      <c r="E1730" s="19">
        <v>5</v>
      </c>
      <c r="F1730" s="19" t="s">
        <v>0</v>
      </c>
      <c r="G1730" s="20" t="s">
        <v>183</v>
      </c>
      <c r="H1730" s="36">
        <v>29900</v>
      </c>
      <c r="I1730" s="36">
        <v>29900</v>
      </c>
      <c r="J1730" s="25">
        <v>219800</v>
      </c>
    </row>
    <row r="1731" spans="1:10" ht="16" x14ac:dyDescent="0.45">
      <c r="A1731" s="153" t="str">
        <f>B1731&amp;C1731&amp;E1731&amp;G1731</f>
        <v>프레임단매트리스 프레임6서비스프리</v>
      </c>
      <c r="B1731" s="17" t="s">
        <v>487</v>
      </c>
      <c r="C1731" s="18" t="s">
        <v>556</v>
      </c>
      <c r="D1731" s="19" t="s">
        <v>310</v>
      </c>
      <c r="E1731" s="19">
        <v>6</v>
      </c>
      <c r="F1731" s="19" t="s">
        <v>0</v>
      </c>
      <c r="G1731" s="20" t="s">
        <v>183</v>
      </c>
      <c r="H1731" s="36">
        <v>27900</v>
      </c>
      <c r="I1731" s="36">
        <v>27900</v>
      </c>
      <c r="J1731" s="25">
        <v>219800</v>
      </c>
    </row>
    <row r="1732" spans="1:10" ht="16" x14ac:dyDescent="0.45">
      <c r="A1732" s="153" t="str">
        <f>B1732&amp;C1732&amp;E1732&amp;G1732</f>
        <v>프레임단매트리스 프레임7서비스프리</v>
      </c>
      <c r="B1732" s="17" t="s">
        <v>487</v>
      </c>
      <c r="C1732" s="18" t="s">
        <v>556</v>
      </c>
      <c r="D1732" s="19" t="s">
        <v>310</v>
      </c>
      <c r="E1732" s="19">
        <v>7</v>
      </c>
      <c r="F1732" s="19" t="s">
        <v>0</v>
      </c>
      <c r="G1732" s="20" t="s">
        <v>183</v>
      </c>
      <c r="H1732" s="36">
        <v>24900</v>
      </c>
      <c r="I1732" s="36">
        <v>24900</v>
      </c>
      <c r="J1732" s="25">
        <v>241800</v>
      </c>
    </row>
    <row r="1733" spans="1:10" ht="16" x14ac:dyDescent="0.45">
      <c r="A1733" s="153" t="str">
        <f>B1733&amp;C1733&amp;E1733&amp;G1733</f>
        <v>프레임단매트리스 프레임9서비스프리</v>
      </c>
      <c r="B1733" s="17" t="s">
        <v>487</v>
      </c>
      <c r="C1733" s="18" t="s">
        <v>556</v>
      </c>
      <c r="D1733" s="19" t="s">
        <v>310</v>
      </c>
      <c r="E1733" s="19">
        <v>9</v>
      </c>
      <c r="F1733" s="19" t="s">
        <v>0</v>
      </c>
      <c r="G1733" s="20" t="s">
        <v>183</v>
      </c>
      <c r="H1733" s="36">
        <v>21900</v>
      </c>
      <c r="I1733" s="36">
        <v>21900</v>
      </c>
      <c r="J1733" s="25">
        <v>241800</v>
      </c>
    </row>
    <row r="1734" spans="1:10" ht="16" x14ac:dyDescent="0.45">
      <c r="A1734" s="153" t="str">
        <f>B1734&amp;C1734&amp;E1734&amp;G1734</f>
        <v>프레임단매트리스 프레임5서비스프리</v>
      </c>
      <c r="B1734" s="17" t="s">
        <v>487</v>
      </c>
      <c r="C1734" s="18" t="s">
        <v>556</v>
      </c>
      <c r="D1734" s="19" t="s">
        <v>311</v>
      </c>
      <c r="E1734" s="19">
        <v>5</v>
      </c>
      <c r="F1734" s="19" t="s">
        <v>0</v>
      </c>
      <c r="G1734" s="20" t="s">
        <v>183</v>
      </c>
      <c r="H1734" s="36">
        <v>26900</v>
      </c>
      <c r="I1734" s="36">
        <v>26900</v>
      </c>
      <c r="J1734" s="25">
        <v>208600</v>
      </c>
    </row>
    <row r="1735" spans="1:10" ht="16" x14ac:dyDescent="0.45">
      <c r="A1735" s="153" t="str">
        <f>B1735&amp;C1735&amp;E1735&amp;G1735</f>
        <v>프레임단매트리스 프레임6서비스프리</v>
      </c>
      <c r="B1735" s="17" t="s">
        <v>487</v>
      </c>
      <c r="C1735" s="18" t="s">
        <v>556</v>
      </c>
      <c r="D1735" s="19" t="s">
        <v>311</v>
      </c>
      <c r="E1735" s="19">
        <v>6</v>
      </c>
      <c r="F1735" s="19" t="s">
        <v>0</v>
      </c>
      <c r="G1735" s="20" t="s">
        <v>183</v>
      </c>
      <c r="H1735" s="36">
        <v>24900</v>
      </c>
      <c r="I1735" s="36">
        <v>24900</v>
      </c>
      <c r="J1735" s="25">
        <v>208600</v>
      </c>
    </row>
    <row r="1736" spans="1:10" ht="16" x14ac:dyDescent="0.45">
      <c r="A1736" s="153" t="str">
        <f>B1736&amp;C1736&amp;E1736&amp;G1736</f>
        <v>프레임단매트리스 프레임7서비스프리</v>
      </c>
      <c r="B1736" s="17" t="s">
        <v>487</v>
      </c>
      <c r="C1736" s="18" t="s">
        <v>556</v>
      </c>
      <c r="D1736" s="19" t="s">
        <v>311</v>
      </c>
      <c r="E1736" s="19">
        <v>7</v>
      </c>
      <c r="F1736" s="19" t="s">
        <v>0</v>
      </c>
      <c r="G1736" s="20" t="s">
        <v>183</v>
      </c>
      <c r="H1736" s="36">
        <v>21900</v>
      </c>
      <c r="I1736" s="36">
        <v>21900</v>
      </c>
      <c r="J1736" s="25">
        <v>229500</v>
      </c>
    </row>
    <row r="1737" spans="1:10" ht="16" x14ac:dyDescent="0.45">
      <c r="A1737" s="153" t="str">
        <f>B1737&amp;C1737&amp;E1737&amp;G1737</f>
        <v>프레임단매트리스 프레임9서비스프리</v>
      </c>
      <c r="B1737" s="17" t="s">
        <v>487</v>
      </c>
      <c r="C1737" s="18" t="s">
        <v>556</v>
      </c>
      <c r="D1737" s="19" t="s">
        <v>311</v>
      </c>
      <c r="E1737" s="19">
        <v>9</v>
      </c>
      <c r="F1737" s="19" t="s">
        <v>0</v>
      </c>
      <c r="G1737" s="20" t="s">
        <v>183</v>
      </c>
      <c r="H1737" s="36">
        <v>18900</v>
      </c>
      <c r="I1737" s="36">
        <v>18900</v>
      </c>
      <c r="J1737" s="25">
        <v>229500</v>
      </c>
    </row>
    <row r="1738" spans="1:10" ht="16" x14ac:dyDescent="0.45">
      <c r="A1738" s="153" t="str">
        <f>B1738&amp;C1738&amp;E1738&amp;G1738</f>
        <v>프레임단매트리스 프레임5서비스프리</v>
      </c>
      <c r="B1738" s="17" t="s">
        <v>487</v>
      </c>
      <c r="C1738" s="18" t="s">
        <v>556</v>
      </c>
      <c r="D1738" s="19" t="s">
        <v>312</v>
      </c>
      <c r="E1738" s="19">
        <v>5</v>
      </c>
      <c r="F1738" s="19" t="s">
        <v>0</v>
      </c>
      <c r="G1738" s="20" t="s">
        <v>183</v>
      </c>
      <c r="H1738" s="36">
        <v>22900</v>
      </c>
      <c r="I1738" s="36">
        <v>22900</v>
      </c>
      <c r="J1738" s="25">
        <v>197400</v>
      </c>
    </row>
    <row r="1739" spans="1:10" ht="16" x14ac:dyDescent="0.45">
      <c r="A1739" s="153" t="str">
        <f>B1739&amp;C1739&amp;E1739&amp;G1739</f>
        <v>프레임단매트리스 프레임6서비스프리</v>
      </c>
      <c r="B1739" s="17" t="s">
        <v>487</v>
      </c>
      <c r="C1739" s="18" t="s">
        <v>556</v>
      </c>
      <c r="D1739" s="19" t="s">
        <v>312</v>
      </c>
      <c r="E1739" s="19">
        <v>6</v>
      </c>
      <c r="F1739" s="19" t="s">
        <v>0</v>
      </c>
      <c r="G1739" s="20" t="s">
        <v>183</v>
      </c>
      <c r="H1739" s="36">
        <v>19900</v>
      </c>
      <c r="I1739" s="36">
        <v>19900</v>
      </c>
      <c r="J1739" s="25">
        <v>197400</v>
      </c>
    </row>
    <row r="1740" spans="1:10" ht="16" x14ac:dyDescent="0.45">
      <c r="A1740" s="153" t="str">
        <f>B1740&amp;C1740&amp;E1740&amp;G1740</f>
        <v>프레임단매트리스 프레임7서비스프리</v>
      </c>
      <c r="B1740" s="17" t="s">
        <v>487</v>
      </c>
      <c r="C1740" s="18" t="s">
        <v>556</v>
      </c>
      <c r="D1740" s="19" t="s">
        <v>312</v>
      </c>
      <c r="E1740" s="19">
        <v>7</v>
      </c>
      <c r="F1740" s="19" t="s">
        <v>0</v>
      </c>
      <c r="G1740" s="20" t="s">
        <v>183</v>
      </c>
      <c r="H1740" s="36">
        <v>17900</v>
      </c>
      <c r="I1740" s="36">
        <v>17900</v>
      </c>
      <c r="J1740" s="25">
        <v>217100</v>
      </c>
    </row>
    <row r="1741" spans="1:10" ht="16" x14ac:dyDescent="0.45">
      <c r="A1741" s="153" t="str">
        <f>B1741&amp;C1741&amp;E1741&amp;G1741</f>
        <v>프레임단매트리스 프레임9서비스프리</v>
      </c>
      <c r="B1741" s="17" t="s">
        <v>487</v>
      </c>
      <c r="C1741" s="18" t="s">
        <v>556</v>
      </c>
      <c r="D1741" s="19" t="s">
        <v>312</v>
      </c>
      <c r="E1741" s="19">
        <v>9</v>
      </c>
      <c r="F1741" s="19" t="s">
        <v>0</v>
      </c>
      <c r="G1741" s="20" t="s">
        <v>183</v>
      </c>
      <c r="H1741" s="36">
        <v>14900</v>
      </c>
      <c r="I1741" s="36">
        <v>14900</v>
      </c>
      <c r="J1741" s="25">
        <v>217100</v>
      </c>
    </row>
    <row r="1742" spans="1:10" ht="16" x14ac:dyDescent="0.45">
      <c r="A1742" s="153" t="str">
        <f>B1742&amp;C1742&amp;E1742&amp;G1742</f>
        <v>프레임루나 프레임5서비스프리</v>
      </c>
      <c r="B1742" s="17" t="s">
        <v>487</v>
      </c>
      <c r="C1742" s="18" t="s">
        <v>996</v>
      </c>
      <c r="D1742" s="19" t="s">
        <v>998</v>
      </c>
      <c r="E1742" s="19">
        <v>5</v>
      </c>
      <c r="F1742" s="19" t="s">
        <v>0</v>
      </c>
      <c r="G1742" s="20" t="s">
        <v>183</v>
      </c>
      <c r="H1742" s="36">
        <v>31900</v>
      </c>
      <c r="I1742" s="36">
        <v>31900</v>
      </c>
      <c r="J1742" s="25">
        <v>219800</v>
      </c>
    </row>
    <row r="1743" spans="1:10" ht="16" x14ac:dyDescent="0.45">
      <c r="A1743" s="153" t="str">
        <f>B1743&amp;C1743&amp;E1743&amp;G1743</f>
        <v>프레임루나 프레임7서비스프리</v>
      </c>
      <c r="B1743" s="17" t="s">
        <v>487</v>
      </c>
      <c r="C1743" s="18" t="s">
        <v>996</v>
      </c>
      <c r="D1743" s="19" t="s">
        <v>998</v>
      </c>
      <c r="E1743" s="19">
        <v>7</v>
      </c>
      <c r="F1743" s="19" t="s">
        <v>0</v>
      </c>
      <c r="G1743" s="20" t="s">
        <v>183</v>
      </c>
      <c r="H1743" s="36">
        <v>24900</v>
      </c>
      <c r="I1743" s="36">
        <v>24900</v>
      </c>
      <c r="J1743" s="25">
        <v>241800</v>
      </c>
    </row>
    <row r="1744" spans="1:10" ht="16" x14ac:dyDescent="0.45">
      <c r="A1744" s="153" t="str">
        <f>B1744&amp;C1744&amp;E1744&amp;G1744</f>
        <v>프레임루나 프레임9서비스프리</v>
      </c>
      <c r="B1744" s="17" t="s">
        <v>487</v>
      </c>
      <c r="C1744" s="18" t="s">
        <v>996</v>
      </c>
      <c r="D1744" s="19" t="s">
        <v>998</v>
      </c>
      <c r="E1744" s="19">
        <v>9</v>
      </c>
      <c r="F1744" s="19" t="s">
        <v>0</v>
      </c>
      <c r="G1744" s="20" t="s">
        <v>183</v>
      </c>
      <c r="H1744" s="36">
        <v>21900</v>
      </c>
      <c r="I1744" s="36">
        <v>21900</v>
      </c>
      <c r="J1744" s="25">
        <v>241800</v>
      </c>
    </row>
    <row r="1745" spans="1:10" ht="16" x14ac:dyDescent="0.45">
      <c r="A1745" s="153" t="str">
        <f>B1745&amp;C1745&amp;E1745&amp;G1745</f>
        <v>프레임루나 프레임5서비스프리</v>
      </c>
      <c r="B1745" s="17" t="s">
        <v>487</v>
      </c>
      <c r="C1745" s="18" t="s">
        <v>996</v>
      </c>
      <c r="D1745" s="19" t="s">
        <v>997</v>
      </c>
      <c r="E1745" s="19">
        <v>5</v>
      </c>
      <c r="F1745" s="19" t="s">
        <v>0</v>
      </c>
      <c r="G1745" s="20" t="s">
        <v>183</v>
      </c>
      <c r="H1745" s="36">
        <v>37900</v>
      </c>
      <c r="I1745" s="36">
        <v>37900</v>
      </c>
      <c r="J1745" s="25">
        <v>231100</v>
      </c>
    </row>
    <row r="1746" spans="1:10" ht="16" x14ac:dyDescent="0.45">
      <c r="A1746" s="153" t="str">
        <f>B1746&amp;C1746&amp;E1746&amp;G1746</f>
        <v>프레임루나 프레임7서비스프리</v>
      </c>
      <c r="B1746" s="17" t="s">
        <v>487</v>
      </c>
      <c r="C1746" s="18" t="s">
        <v>996</v>
      </c>
      <c r="D1746" s="19" t="s">
        <v>997</v>
      </c>
      <c r="E1746" s="19">
        <v>7</v>
      </c>
      <c r="F1746" s="19" t="s">
        <v>0</v>
      </c>
      <c r="G1746" s="20" t="s">
        <v>183</v>
      </c>
      <c r="H1746" s="36">
        <v>27900</v>
      </c>
      <c r="I1746" s="36">
        <v>27900</v>
      </c>
      <c r="J1746" s="25">
        <v>254200</v>
      </c>
    </row>
    <row r="1747" spans="1:10" ht="16" x14ac:dyDescent="0.45">
      <c r="A1747" s="153" t="str">
        <f>B1747&amp;C1747&amp;E1747&amp;G1747</f>
        <v>프레임루나 프레임9서비스프리</v>
      </c>
      <c r="B1747" s="17" t="s">
        <v>487</v>
      </c>
      <c r="C1747" s="18" t="s">
        <v>996</v>
      </c>
      <c r="D1747" s="19" t="s">
        <v>997</v>
      </c>
      <c r="E1747" s="19">
        <v>9</v>
      </c>
      <c r="F1747" s="19" t="s">
        <v>0</v>
      </c>
      <c r="G1747" s="20" t="s">
        <v>183</v>
      </c>
      <c r="H1747" s="36">
        <v>22900</v>
      </c>
      <c r="I1747" s="36">
        <v>22900</v>
      </c>
      <c r="J1747" s="25">
        <v>254200</v>
      </c>
    </row>
    <row r="1748" spans="1:10" ht="16" x14ac:dyDescent="0.45">
      <c r="A1748" s="153" t="str">
        <f>B1748&amp;C1748&amp;E1748&amp;G1748</f>
        <v>프레임루나 프레임5서비스프리</v>
      </c>
      <c r="B1748" s="17" t="s">
        <v>487</v>
      </c>
      <c r="C1748" s="18" t="s">
        <v>996</v>
      </c>
      <c r="D1748" s="19" t="s">
        <v>999</v>
      </c>
      <c r="E1748" s="19">
        <v>5</v>
      </c>
      <c r="F1748" s="19" t="s">
        <v>0</v>
      </c>
      <c r="G1748" s="20" t="s">
        <v>183</v>
      </c>
      <c r="H1748" s="36">
        <v>29900</v>
      </c>
      <c r="I1748" s="36">
        <v>29900</v>
      </c>
      <c r="J1748" s="25">
        <v>208600</v>
      </c>
    </row>
    <row r="1749" spans="1:10" ht="16" x14ac:dyDescent="0.45">
      <c r="A1749" s="153" t="str">
        <f>B1749&amp;C1749&amp;E1749&amp;G1749</f>
        <v>프레임루나 프레임7서비스프리</v>
      </c>
      <c r="B1749" s="17" t="s">
        <v>487</v>
      </c>
      <c r="C1749" s="18" t="s">
        <v>996</v>
      </c>
      <c r="D1749" s="19" t="s">
        <v>999</v>
      </c>
      <c r="E1749" s="19">
        <v>7</v>
      </c>
      <c r="F1749" s="19" t="s">
        <v>0</v>
      </c>
      <c r="G1749" s="20" t="s">
        <v>183</v>
      </c>
      <c r="H1749" s="36">
        <v>22900</v>
      </c>
      <c r="I1749" s="36">
        <v>22900</v>
      </c>
      <c r="J1749" s="25">
        <v>229500</v>
      </c>
    </row>
    <row r="1750" spans="1:10" ht="16" x14ac:dyDescent="0.45">
      <c r="A1750" s="153" t="str">
        <f>B1750&amp;C1750&amp;E1750&amp;G1750</f>
        <v>프레임루나 프레임9서비스프리</v>
      </c>
      <c r="B1750" s="17" t="s">
        <v>487</v>
      </c>
      <c r="C1750" s="18" t="s">
        <v>996</v>
      </c>
      <c r="D1750" s="19" t="s">
        <v>999</v>
      </c>
      <c r="E1750" s="19">
        <v>9</v>
      </c>
      <c r="F1750" s="19" t="s">
        <v>0</v>
      </c>
      <c r="G1750" s="20" t="s">
        <v>183</v>
      </c>
      <c r="H1750" s="36">
        <v>19900</v>
      </c>
      <c r="I1750" s="36">
        <v>19900</v>
      </c>
      <c r="J1750" s="25">
        <v>229500</v>
      </c>
    </row>
    <row r="1751" spans="1:10" ht="16" x14ac:dyDescent="0.45">
      <c r="A1751" s="153" t="str">
        <f>B1751&amp;C1751&amp;E1751&amp;G1751</f>
        <v>프레임루나 프레임5서비스프리</v>
      </c>
      <c r="B1751" s="17" t="s">
        <v>487</v>
      </c>
      <c r="C1751" s="18" t="s">
        <v>996</v>
      </c>
      <c r="D1751" s="19" t="s">
        <v>1000</v>
      </c>
      <c r="E1751" s="19">
        <v>5</v>
      </c>
      <c r="F1751" s="19" t="s">
        <v>0</v>
      </c>
      <c r="G1751" s="20" t="s">
        <v>183</v>
      </c>
      <c r="H1751" s="36">
        <v>27900</v>
      </c>
      <c r="I1751" s="36">
        <v>27900</v>
      </c>
      <c r="J1751" s="25">
        <v>208600</v>
      </c>
    </row>
    <row r="1752" spans="1:10" ht="16" x14ac:dyDescent="0.45">
      <c r="A1752" s="153" t="str">
        <f>B1752&amp;C1752&amp;E1752&amp;G1752</f>
        <v>프레임루나 프레임7서비스프리</v>
      </c>
      <c r="B1752" s="17" t="s">
        <v>487</v>
      </c>
      <c r="C1752" s="18" t="s">
        <v>996</v>
      </c>
      <c r="D1752" s="19" t="s">
        <v>1000</v>
      </c>
      <c r="E1752" s="19">
        <v>7</v>
      </c>
      <c r="F1752" s="19" t="s">
        <v>0</v>
      </c>
      <c r="G1752" s="20" t="s">
        <v>183</v>
      </c>
      <c r="H1752" s="36">
        <v>20900</v>
      </c>
      <c r="I1752" s="36">
        <v>20900</v>
      </c>
      <c r="J1752" s="25">
        <v>229500</v>
      </c>
    </row>
    <row r="1753" spans="1:10" ht="16" x14ac:dyDescent="0.45">
      <c r="A1753" s="153" t="str">
        <f>B1753&amp;C1753&amp;E1753&amp;G1753</f>
        <v>프레임루나 프레임9서비스프리</v>
      </c>
      <c r="B1753" s="17" t="s">
        <v>487</v>
      </c>
      <c r="C1753" s="18" t="s">
        <v>996</v>
      </c>
      <c r="D1753" s="19" t="s">
        <v>1000</v>
      </c>
      <c r="E1753" s="19">
        <v>9</v>
      </c>
      <c r="F1753" s="19" t="s">
        <v>0</v>
      </c>
      <c r="G1753" s="20" t="s">
        <v>183</v>
      </c>
      <c r="H1753" s="36">
        <v>17900</v>
      </c>
      <c r="I1753" s="36">
        <v>17900</v>
      </c>
      <c r="J1753" s="25">
        <v>229500</v>
      </c>
    </row>
    <row r="1754" spans="1:10" ht="16" x14ac:dyDescent="0.45">
      <c r="A1754" s="153" t="str">
        <f>B1754&amp;C1754&amp;E1754&amp;G1754</f>
        <v>프레임마이프레임5서비스프리</v>
      </c>
      <c r="B1754" s="17" t="s">
        <v>487</v>
      </c>
      <c r="C1754" s="18" t="s">
        <v>557</v>
      </c>
      <c r="D1754" s="19" t="s">
        <v>683</v>
      </c>
      <c r="E1754" s="19">
        <v>5</v>
      </c>
      <c r="F1754" s="19" t="s">
        <v>0</v>
      </c>
      <c r="G1754" s="20" t="s">
        <v>183</v>
      </c>
      <c r="H1754" s="36">
        <v>31900</v>
      </c>
      <c r="I1754" s="36">
        <v>31900</v>
      </c>
      <c r="J1754" s="25">
        <v>219800</v>
      </c>
    </row>
    <row r="1755" spans="1:10" ht="16" x14ac:dyDescent="0.45">
      <c r="A1755" s="153" t="str">
        <f>B1755&amp;C1755&amp;E1755&amp;G1755</f>
        <v>프레임마이프레임6서비스프리</v>
      </c>
      <c r="B1755" s="17" t="s">
        <v>487</v>
      </c>
      <c r="C1755" s="18" t="s">
        <v>557</v>
      </c>
      <c r="D1755" s="19" t="s">
        <v>683</v>
      </c>
      <c r="E1755" s="19">
        <v>6</v>
      </c>
      <c r="F1755" s="19" t="s">
        <v>0</v>
      </c>
      <c r="G1755" s="20" t="s">
        <v>183</v>
      </c>
      <c r="H1755" s="36">
        <v>27900</v>
      </c>
      <c r="I1755" s="36">
        <v>27900</v>
      </c>
      <c r="J1755" s="25">
        <v>219800</v>
      </c>
    </row>
    <row r="1756" spans="1:10" ht="16" x14ac:dyDescent="0.45">
      <c r="A1756" s="153" t="str">
        <f>B1756&amp;C1756&amp;E1756&amp;G1756</f>
        <v>프레임마이프레임7서비스프리</v>
      </c>
      <c r="B1756" s="17" t="s">
        <v>487</v>
      </c>
      <c r="C1756" s="18" t="s">
        <v>557</v>
      </c>
      <c r="D1756" s="19" t="s">
        <v>683</v>
      </c>
      <c r="E1756" s="19">
        <v>7</v>
      </c>
      <c r="F1756" s="19" t="s">
        <v>0</v>
      </c>
      <c r="G1756" s="20" t="s">
        <v>183</v>
      </c>
      <c r="H1756" s="36">
        <v>24900</v>
      </c>
      <c r="I1756" s="36">
        <v>24900</v>
      </c>
      <c r="J1756" s="25">
        <v>241800</v>
      </c>
    </row>
    <row r="1757" spans="1:10" ht="16" x14ac:dyDescent="0.45">
      <c r="A1757" s="153" t="str">
        <f>B1757&amp;C1757&amp;E1757&amp;G1757</f>
        <v>프레임마이프레임9서비스프리</v>
      </c>
      <c r="B1757" s="17" t="s">
        <v>487</v>
      </c>
      <c r="C1757" s="18" t="s">
        <v>557</v>
      </c>
      <c r="D1757" s="19" t="s">
        <v>683</v>
      </c>
      <c r="E1757" s="19">
        <v>9</v>
      </c>
      <c r="F1757" s="19" t="s">
        <v>0</v>
      </c>
      <c r="G1757" s="20" t="s">
        <v>183</v>
      </c>
      <c r="H1757" s="36">
        <v>21900</v>
      </c>
      <c r="I1757" s="36">
        <v>21900</v>
      </c>
      <c r="J1757" s="25">
        <v>241800</v>
      </c>
    </row>
    <row r="1758" spans="1:10" ht="16" x14ac:dyDescent="0.45">
      <c r="A1758" s="153" t="str">
        <f>B1758&amp;C1758&amp;E1758&amp;G1758</f>
        <v>프레임마이프레임5서비스프리</v>
      </c>
      <c r="B1758" s="17" t="s">
        <v>487</v>
      </c>
      <c r="C1758" s="18" t="s">
        <v>557</v>
      </c>
      <c r="D1758" s="19" t="s">
        <v>684</v>
      </c>
      <c r="E1758" s="19">
        <v>5</v>
      </c>
      <c r="F1758" s="19" t="s">
        <v>0</v>
      </c>
      <c r="G1758" s="20" t="s">
        <v>183</v>
      </c>
      <c r="H1758" s="36">
        <v>31900</v>
      </c>
      <c r="I1758" s="36">
        <v>31900</v>
      </c>
      <c r="J1758" s="25">
        <v>219800</v>
      </c>
    </row>
    <row r="1759" spans="1:10" ht="16" x14ac:dyDescent="0.45">
      <c r="A1759" s="153" t="str">
        <f>B1759&amp;C1759&amp;E1759&amp;G1759</f>
        <v>프레임마이프레임6서비스프리</v>
      </c>
      <c r="B1759" s="17" t="s">
        <v>487</v>
      </c>
      <c r="C1759" s="18" t="s">
        <v>557</v>
      </c>
      <c r="D1759" s="19" t="s">
        <v>684</v>
      </c>
      <c r="E1759" s="19">
        <v>6</v>
      </c>
      <c r="F1759" s="19" t="s">
        <v>0</v>
      </c>
      <c r="G1759" s="20" t="s">
        <v>183</v>
      </c>
      <c r="H1759" s="36">
        <v>27900</v>
      </c>
      <c r="I1759" s="36">
        <v>27900</v>
      </c>
      <c r="J1759" s="25">
        <v>219800</v>
      </c>
    </row>
    <row r="1760" spans="1:10" ht="16" x14ac:dyDescent="0.45">
      <c r="A1760" s="153" t="str">
        <f>B1760&amp;C1760&amp;E1760&amp;G1760</f>
        <v>프레임마이프레임7서비스프리</v>
      </c>
      <c r="B1760" s="17" t="s">
        <v>487</v>
      </c>
      <c r="C1760" s="18" t="s">
        <v>557</v>
      </c>
      <c r="D1760" s="19" t="s">
        <v>684</v>
      </c>
      <c r="E1760" s="19">
        <v>7</v>
      </c>
      <c r="F1760" s="19" t="s">
        <v>0</v>
      </c>
      <c r="G1760" s="20" t="s">
        <v>183</v>
      </c>
      <c r="H1760" s="36">
        <v>24900</v>
      </c>
      <c r="I1760" s="36">
        <v>24900</v>
      </c>
      <c r="J1760" s="25">
        <v>241800</v>
      </c>
    </row>
    <row r="1761" spans="1:10" ht="16" x14ac:dyDescent="0.45">
      <c r="A1761" s="153" t="str">
        <f>B1761&amp;C1761&amp;E1761&amp;G1761</f>
        <v>프레임마이프레임9서비스프리</v>
      </c>
      <c r="B1761" s="17" t="s">
        <v>487</v>
      </c>
      <c r="C1761" s="18" t="s">
        <v>557</v>
      </c>
      <c r="D1761" s="19" t="s">
        <v>684</v>
      </c>
      <c r="E1761" s="19">
        <v>9</v>
      </c>
      <c r="F1761" s="19" t="s">
        <v>0</v>
      </c>
      <c r="G1761" s="20" t="s">
        <v>183</v>
      </c>
      <c r="H1761" s="36">
        <v>21900</v>
      </c>
      <c r="I1761" s="36">
        <v>21900</v>
      </c>
      <c r="J1761" s="25">
        <v>241800</v>
      </c>
    </row>
    <row r="1762" spans="1:10" ht="16" x14ac:dyDescent="0.45">
      <c r="A1762" s="153" t="str">
        <f>B1762&amp;C1762&amp;E1762&amp;G1762</f>
        <v>프레임마이프레임5서비스프리</v>
      </c>
      <c r="B1762" s="17" t="s">
        <v>487</v>
      </c>
      <c r="C1762" s="18" t="s">
        <v>557</v>
      </c>
      <c r="D1762" s="19" t="s">
        <v>679</v>
      </c>
      <c r="E1762" s="19">
        <v>5</v>
      </c>
      <c r="F1762" s="19" t="s">
        <v>0</v>
      </c>
      <c r="G1762" s="20" t="s">
        <v>183</v>
      </c>
      <c r="H1762" s="36">
        <v>29900</v>
      </c>
      <c r="I1762" s="36">
        <v>29900</v>
      </c>
      <c r="J1762" s="25">
        <v>208600</v>
      </c>
    </row>
    <row r="1763" spans="1:10" ht="16" x14ac:dyDescent="0.45">
      <c r="A1763" s="153" t="str">
        <f>B1763&amp;C1763&amp;E1763&amp;G1763</f>
        <v>프레임마이프레임6서비스프리</v>
      </c>
      <c r="B1763" s="17" t="s">
        <v>487</v>
      </c>
      <c r="C1763" s="18" t="s">
        <v>557</v>
      </c>
      <c r="D1763" s="19" t="s">
        <v>679</v>
      </c>
      <c r="E1763" s="19">
        <v>6</v>
      </c>
      <c r="F1763" s="19" t="s">
        <v>0</v>
      </c>
      <c r="G1763" s="20" t="s">
        <v>183</v>
      </c>
      <c r="H1763" s="36">
        <v>25900</v>
      </c>
      <c r="I1763" s="36">
        <v>25900</v>
      </c>
      <c r="J1763" s="25">
        <v>208600</v>
      </c>
    </row>
    <row r="1764" spans="1:10" ht="16" x14ac:dyDescent="0.45">
      <c r="A1764" s="153" t="str">
        <f>B1764&amp;C1764&amp;E1764&amp;G1764</f>
        <v>프레임마이프레임7서비스프리</v>
      </c>
      <c r="B1764" s="17" t="s">
        <v>487</v>
      </c>
      <c r="C1764" s="18" t="s">
        <v>557</v>
      </c>
      <c r="D1764" s="19" t="s">
        <v>679</v>
      </c>
      <c r="E1764" s="19">
        <v>7</v>
      </c>
      <c r="F1764" s="19" t="s">
        <v>0</v>
      </c>
      <c r="G1764" s="20" t="s">
        <v>183</v>
      </c>
      <c r="H1764" s="36">
        <v>22900</v>
      </c>
      <c r="I1764" s="36">
        <v>22900</v>
      </c>
      <c r="J1764" s="25">
        <v>229500</v>
      </c>
    </row>
    <row r="1765" spans="1:10" ht="16" x14ac:dyDescent="0.45">
      <c r="A1765" s="153" t="str">
        <f>B1765&amp;C1765&amp;E1765&amp;G1765</f>
        <v>프레임마이프레임9서비스프리</v>
      </c>
      <c r="B1765" s="17" t="s">
        <v>487</v>
      </c>
      <c r="C1765" s="18" t="s">
        <v>557</v>
      </c>
      <c r="D1765" s="19" t="s">
        <v>679</v>
      </c>
      <c r="E1765" s="19">
        <v>9</v>
      </c>
      <c r="F1765" s="19" t="s">
        <v>0</v>
      </c>
      <c r="G1765" s="20" t="s">
        <v>183</v>
      </c>
      <c r="H1765" s="36">
        <v>19900</v>
      </c>
      <c r="I1765" s="36">
        <v>19900</v>
      </c>
      <c r="J1765" s="25">
        <v>229500</v>
      </c>
    </row>
    <row r="1766" spans="1:10" ht="16" x14ac:dyDescent="0.45">
      <c r="A1766" s="153" t="str">
        <f>B1766&amp;C1766&amp;E1766&amp;G1766</f>
        <v>프레임마이프레임5서비스프리</v>
      </c>
      <c r="B1766" s="17" t="s">
        <v>487</v>
      </c>
      <c r="C1766" s="18" t="s">
        <v>557</v>
      </c>
      <c r="D1766" s="19" t="s">
        <v>680</v>
      </c>
      <c r="E1766" s="19">
        <v>5</v>
      </c>
      <c r="F1766" s="19" t="s">
        <v>0</v>
      </c>
      <c r="G1766" s="20" t="s">
        <v>183</v>
      </c>
      <c r="H1766" s="36">
        <v>29900</v>
      </c>
      <c r="I1766" s="36">
        <v>29900</v>
      </c>
      <c r="J1766" s="25">
        <v>208600</v>
      </c>
    </row>
    <row r="1767" spans="1:10" ht="16" x14ac:dyDescent="0.45">
      <c r="A1767" s="153" t="str">
        <f>B1767&amp;C1767&amp;E1767&amp;G1767</f>
        <v>프레임마이프레임6서비스프리</v>
      </c>
      <c r="B1767" s="17" t="s">
        <v>487</v>
      </c>
      <c r="C1767" s="18" t="s">
        <v>557</v>
      </c>
      <c r="D1767" s="19" t="s">
        <v>680</v>
      </c>
      <c r="E1767" s="19">
        <v>6</v>
      </c>
      <c r="F1767" s="19" t="s">
        <v>0</v>
      </c>
      <c r="G1767" s="20" t="s">
        <v>183</v>
      </c>
      <c r="H1767" s="36">
        <v>25900</v>
      </c>
      <c r="I1767" s="36">
        <v>25900</v>
      </c>
      <c r="J1767" s="25">
        <v>208600</v>
      </c>
    </row>
    <row r="1768" spans="1:10" ht="16" x14ac:dyDescent="0.45">
      <c r="A1768" s="153" t="str">
        <f>B1768&amp;C1768&amp;E1768&amp;G1768</f>
        <v>프레임마이프레임7서비스프리</v>
      </c>
      <c r="B1768" s="17" t="s">
        <v>487</v>
      </c>
      <c r="C1768" s="18" t="s">
        <v>557</v>
      </c>
      <c r="D1768" s="19" t="s">
        <v>680</v>
      </c>
      <c r="E1768" s="19">
        <v>7</v>
      </c>
      <c r="F1768" s="19" t="s">
        <v>0</v>
      </c>
      <c r="G1768" s="20" t="s">
        <v>183</v>
      </c>
      <c r="H1768" s="36">
        <v>22900</v>
      </c>
      <c r="I1768" s="36">
        <v>22900</v>
      </c>
      <c r="J1768" s="25">
        <v>229500</v>
      </c>
    </row>
    <row r="1769" spans="1:10" ht="16" x14ac:dyDescent="0.45">
      <c r="A1769" s="153" t="str">
        <f>B1769&amp;C1769&amp;E1769&amp;G1769</f>
        <v>프레임마이프레임9서비스프리</v>
      </c>
      <c r="B1769" s="17" t="s">
        <v>487</v>
      </c>
      <c r="C1769" s="18" t="s">
        <v>557</v>
      </c>
      <c r="D1769" s="19" t="s">
        <v>680</v>
      </c>
      <c r="E1769" s="19">
        <v>9</v>
      </c>
      <c r="F1769" s="19" t="s">
        <v>0</v>
      </c>
      <c r="G1769" s="20" t="s">
        <v>183</v>
      </c>
      <c r="H1769" s="36">
        <v>19900</v>
      </c>
      <c r="I1769" s="36">
        <v>19900</v>
      </c>
      <c r="J1769" s="25">
        <v>229500</v>
      </c>
    </row>
    <row r="1770" spans="1:10" ht="16" x14ac:dyDescent="0.45">
      <c r="A1770" s="153" t="str">
        <f>B1770&amp;C1770&amp;E1770&amp;G1770</f>
        <v>프레임마이프레임5서비스프리</v>
      </c>
      <c r="B1770" s="17" t="s">
        <v>487</v>
      </c>
      <c r="C1770" s="18" t="s">
        <v>557</v>
      </c>
      <c r="D1770" s="19" t="s">
        <v>675</v>
      </c>
      <c r="E1770" s="19">
        <v>5</v>
      </c>
      <c r="F1770" s="19" t="s">
        <v>0</v>
      </c>
      <c r="G1770" s="20" t="s">
        <v>183</v>
      </c>
      <c r="H1770" s="36">
        <v>27900</v>
      </c>
      <c r="I1770" s="36">
        <v>27900</v>
      </c>
      <c r="J1770" s="25">
        <v>208600</v>
      </c>
    </row>
    <row r="1771" spans="1:10" ht="16" x14ac:dyDescent="0.45">
      <c r="A1771" s="153" t="str">
        <f>B1771&amp;C1771&amp;E1771&amp;G1771</f>
        <v>프레임마이프레임6서비스프리</v>
      </c>
      <c r="B1771" s="17" t="s">
        <v>487</v>
      </c>
      <c r="C1771" s="18" t="s">
        <v>557</v>
      </c>
      <c r="D1771" s="19" t="s">
        <v>675</v>
      </c>
      <c r="E1771" s="19">
        <v>6</v>
      </c>
      <c r="F1771" s="19" t="s">
        <v>0</v>
      </c>
      <c r="G1771" s="20" t="s">
        <v>183</v>
      </c>
      <c r="H1771" s="36">
        <v>23900</v>
      </c>
      <c r="I1771" s="36">
        <v>23900</v>
      </c>
      <c r="J1771" s="25">
        <v>208600</v>
      </c>
    </row>
    <row r="1772" spans="1:10" ht="16" x14ac:dyDescent="0.45">
      <c r="A1772" s="153" t="str">
        <f>B1772&amp;C1772&amp;E1772&amp;G1772</f>
        <v>프레임마이프레임7서비스프리</v>
      </c>
      <c r="B1772" s="17" t="s">
        <v>487</v>
      </c>
      <c r="C1772" s="18" t="s">
        <v>557</v>
      </c>
      <c r="D1772" s="19" t="s">
        <v>675</v>
      </c>
      <c r="E1772" s="19">
        <v>7</v>
      </c>
      <c r="F1772" s="19" t="s">
        <v>0</v>
      </c>
      <c r="G1772" s="20" t="s">
        <v>183</v>
      </c>
      <c r="H1772" s="36">
        <v>20900</v>
      </c>
      <c r="I1772" s="36">
        <v>20900</v>
      </c>
      <c r="J1772" s="25">
        <v>229500</v>
      </c>
    </row>
    <row r="1773" spans="1:10" ht="16" x14ac:dyDescent="0.45">
      <c r="A1773" s="153" t="str">
        <f>B1773&amp;C1773&amp;E1773&amp;G1773</f>
        <v>프레임마이프레임9서비스프리</v>
      </c>
      <c r="B1773" s="17" t="s">
        <v>487</v>
      </c>
      <c r="C1773" s="18" t="s">
        <v>557</v>
      </c>
      <c r="D1773" s="19" t="s">
        <v>675</v>
      </c>
      <c r="E1773" s="19">
        <v>9</v>
      </c>
      <c r="F1773" s="19" t="s">
        <v>0</v>
      </c>
      <c r="G1773" s="20" t="s">
        <v>183</v>
      </c>
      <c r="H1773" s="36">
        <v>17900</v>
      </c>
      <c r="I1773" s="36">
        <v>17900</v>
      </c>
      <c r="J1773" s="25">
        <v>229500</v>
      </c>
    </row>
    <row r="1774" spans="1:10" ht="16" x14ac:dyDescent="0.45">
      <c r="A1774" s="153" t="str">
        <f>B1774&amp;C1774&amp;E1774&amp;G1774</f>
        <v>프레임마이프레임5서비스프리</v>
      </c>
      <c r="B1774" s="17" t="s">
        <v>487</v>
      </c>
      <c r="C1774" s="18" t="s">
        <v>557</v>
      </c>
      <c r="D1774" s="19" t="s">
        <v>676</v>
      </c>
      <c r="E1774" s="19">
        <v>5</v>
      </c>
      <c r="F1774" s="19" t="s">
        <v>0</v>
      </c>
      <c r="G1774" s="20" t="s">
        <v>183</v>
      </c>
      <c r="H1774" s="36">
        <v>27900</v>
      </c>
      <c r="I1774" s="36">
        <v>27900</v>
      </c>
      <c r="J1774" s="25">
        <v>208600</v>
      </c>
    </row>
    <row r="1775" spans="1:10" ht="16" x14ac:dyDescent="0.45">
      <c r="A1775" s="153" t="str">
        <f>B1775&amp;C1775&amp;E1775&amp;G1775</f>
        <v>프레임마이프레임6서비스프리</v>
      </c>
      <c r="B1775" s="17" t="s">
        <v>487</v>
      </c>
      <c r="C1775" s="18" t="s">
        <v>557</v>
      </c>
      <c r="D1775" s="19" t="s">
        <v>676</v>
      </c>
      <c r="E1775" s="19">
        <v>6</v>
      </c>
      <c r="F1775" s="19" t="s">
        <v>0</v>
      </c>
      <c r="G1775" s="20" t="s">
        <v>183</v>
      </c>
      <c r="H1775" s="36">
        <v>23900</v>
      </c>
      <c r="I1775" s="36">
        <v>23900</v>
      </c>
      <c r="J1775" s="25">
        <v>208600</v>
      </c>
    </row>
    <row r="1776" spans="1:10" ht="16" x14ac:dyDescent="0.45">
      <c r="A1776" s="153" t="str">
        <f>B1776&amp;C1776&amp;E1776&amp;G1776</f>
        <v>프레임마이프레임7서비스프리</v>
      </c>
      <c r="B1776" s="17" t="s">
        <v>487</v>
      </c>
      <c r="C1776" s="18" t="s">
        <v>557</v>
      </c>
      <c r="D1776" s="19" t="s">
        <v>676</v>
      </c>
      <c r="E1776" s="19">
        <v>7</v>
      </c>
      <c r="F1776" s="19" t="s">
        <v>0</v>
      </c>
      <c r="G1776" s="20" t="s">
        <v>183</v>
      </c>
      <c r="H1776" s="36">
        <v>20900</v>
      </c>
      <c r="I1776" s="36">
        <v>20900</v>
      </c>
      <c r="J1776" s="25">
        <v>229500</v>
      </c>
    </row>
    <row r="1777" spans="1:10" ht="16" x14ac:dyDescent="0.45">
      <c r="A1777" s="153" t="str">
        <f>B1777&amp;C1777&amp;E1777&amp;G1777</f>
        <v>프레임마이프레임9서비스프리</v>
      </c>
      <c r="B1777" s="17" t="s">
        <v>487</v>
      </c>
      <c r="C1777" s="18" t="s">
        <v>557</v>
      </c>
      <c r="D1777" s="19" t="s">
        <v>676</v>
      </c>
      <c r="E1777" s="19">
        <v>9</v>
      </c>
      <c r="F1777" s="19" t="s">
        <v>0</v>
      </c>
      <c r="G1777" s="20" t="s">
        <v>183</v>
      </c>
      <c r="H1777" s="36">
        <v>17900</v>
      </c>
      <c r="I1777" s="36">
        <v>17900</v>
      </c>
      <c r="J1777" s="25">
        <v>229500</v>
      </c>
    </row>
    <row r="1778" spans="1:10" ht="16" x14ac:dyDescent="0.45">
      <c r="A1778" s="153" t="str">
        <f>B1778&amp;C1778&amp;E1778&amp;G1778</f>
        <v>프레임마이프레임(사이드)5서비스프리</v>
      </c>
      <c r="B1778" s="17" t="s">
        <v>487</v>
      </c>
      <c r="C1778" s="18" t="s">
        <v>558</v>
      </c>
      <c r="D1778" s="19" t="s">
        <v>685</v>
      </c>
      <c r="E1778" s="19">
        <v>5</v>
      </c>
      <c r="F1778" s="19" t="s">
        <v>0</v>
      </c>
      <c r="G1778" s="20" t="s">
        <v>183</v>
      </c>
      <c r="H1778" s="36">
        <v>37900</v>
      </c>
      <c r="I1778" s="36">
        <v>37900</v>
      </c>
      <c r="J1778" s="25">
        <v>239700</v>
      </c>
    </row>
    <row r="1779" spans="1:10" ht="16" x14ac:dyDescent="0.45">
      <c r="A1779" s="153" t="str">
        <f>B1779&amp;C1779&amp;E1779&amp;G1779</f>
        <v>프레임마이프레임(사이드)6서비스프리</v>
      </c>
      <c r="B1779" s="17" t="s">
        <v>487</v>
      </c>
      <c r="C1779" s="18" t="s">
        <v>558</v>
      </c>
      <c r="D1779" s="19" t="s">
        <v>685</v>
      </c>
      <c r="E1779" s="19">
        <v>6</v>
      </c>
      <c r="F1779" s="19" t="s">
        <v>0</v>
      </c>
      <c r="G1779" s="20" t="s">
        <v>183</v>
      </c>
      <c r="H1779" s="36">
        <v>32900</v>
      </c>
      <c r="I1779" s="36">
        <v>32900</v>
      </c>
      <c r="J1779" s="25">
        <v>239700</v>
      </c>
    </row>
    <row r="1780" spans="1:10" ht="16" x14ac:dyDescent="0.45">
      <c r="A1780" s="153" t="str">
        <f>B1780&amp;C1780&amp;E1780&amp;G1780</f>
        <v>프레임마이프레임(사이드)7서비스프리</v>
      </c>
      <c r="B1780" s="17" t="s">
        <v>487</v>
      </c>
      <c r="C1780" s="18" t="s">
        <v>558</v>
      </c>
      <c r="D1780" s="19" t="s">
        <v>685</v>
      </c>
      <c r="E1780" s="19">
        <v>7</v>
      </c>
      <c r="F1780" s="19" t="s">
        <v>0</v>
      </c>
      <c r="G1780" s="20" t="s">
        <v>183</v>
      </c>
      <c r="H1780" s="36">
        <v>28900</v>
      </c>
      <c r="I1780" s="36">
        <v>28900</v>
      </c>
      <c r="J1780" s="25">
        <v>263700</v>
      </c>
    </row>
    <row r="1781" spans="1:10" ht="16" x14ac:dyDescent="0.45">
      <c r="A1781" s="153" t="str">
        <f>B1781&amp;C1781&amp;E1781&amp;G1781</f>
        <v>프레임마이프레임(사이드)9서비스프리</v>
      </c>
      <c r="B1781" s="17" t="s">
        <v>487</v>
      </c>
      <c r="C1781" s="18" t="s">
        <v>558</v>
      </c>
      <c r="D1781" s="19" t="s">
        <v>685</v>
      </c>
      <c r="E1781" s="19">
        <v>9</v>
      </c>
      <c r="F1781" s="19" t="s">
        <v>0</v>
      </c>
      <c r="G1781" s="20" t="s">
        <v>183</v>
      </c>
      <c r="H1781" s="36">
        <v>24900</v>
      </c>
      <c r="I1781" s="36">
        <v>24900</v>
      </c>
      <c r="J1781" s="25">
        <v>263700</v>
      </c>
    </row>
    <row r="1782" spans="1:10" ht="16" x14ac:dyDescent="0.45">
      <c r="A1782" s="153" t="str">
        <f>B1782&amp;C1782&amp;E1782&amp;G1782</f>
        <v>프레임마이프레임(사이드)5서비스프리</v>
      </c>
      <c r="B1782" s="17" t="s">
        <v>487</v>
      </c>
      <c r="C1782" s="18" t="s">
        <v>558</v>
      </c>
      <c r="D1782" s="19" t="s">
        <v>686</v>
      </c>
      <c r="E1782" s="19">
        <v>5</v>
      </c>
      <c r="F1782" s="19" t="s">
        <v>0</v>
      </c>
      <c r="G1782" s="20" t="s">
        <v>183</v>
      </c>
      <c r="H1782" s="36">
        <v>37900</v>
      </c>
      <c r="I1782" s="36">
        <v>37900</v>
      </c>
      <c r="J1782" s="25">
        <v>239700</v>
      </c>
    </row>
    <row r="1783" spans="1:10" ht="16" x14ac:dyDescent="0.45">
      <c r="A1783" s="153" t="str">
        <f>B1783&amp;C1783&amp;E1783&amp;G1783</f>
        <v>프레임마이프레임(사이드)6서비스프리</v>
      </c>
      <c r="B1783" s="17" t="s">
        <v>487</v>
      </c>
      <c r="C1783" s="18" t="s">
        <v>558</v>
      </c>
      <c r="D1783" s="19" t="s">
        <v>686</v>
      </c>
      <c r="E1783" s="19">
        <v>6</v>
      </c>
      <c r="F1783" s="19" t="s">
        <v>0</v>
      </c>
      <c r="G1783" s="20" t="s">
        <v>183</v>
      </c>
      <c r="H1783" s="36">
        <v>32900</v>
      </c>
      <c r="I1783" s="36">
        <v>32900</v>
      </c>
      <c r="J1783" s="25">
        <v>239700</v>
      </c>
    </row>
    <row r="1784" spans="1:10" ht="16" x14ac:dyDescent="0.45">
      <c r="A1784" s="153" t="str">
        <f>B1784&amp;C1784&amp;E1784&amp;G1784</f>
        <v>프레임마이프레임(사이드)7서비스프리</v>
      </c>
      <c r="B1784" s="17" t="s">
        <v>487</v>
      </c>
      <c r="C1784" s="18" t="s">
        <v>558</v>
      </c>
      <c r="D1784" s="19" t="s">
        <v>686</v>
      </c>
      <c r="E1784" s="19">
        <v>7</v>
      </c>
      <c r="F1784" s="19" t="s">
        <v>0</v>
      </c>
      <c r="G1784" s="20" t="s">
        <v>183</v>
      </c>
      <c r="H1784" s="36">
        <v>28900</v>
      </c>
      <c r="I1784" s="36">
        <v>28900</v>
      </c>
      <c r="J1784" s="25">
        <v>263700</v>
      </c>
    </row>
    <row r="1785" spans="1:10" ht="16" x14ac:dyDescent="0.45">
      <c r="A1785" s="153" t="str">
        <f>B1785&amp;C1785&amp;E1785&amp;G1785</f>
        <v>프레임마이프레임(사이드)9서비스프리</v>
      </c>
      <c r="B1785" s="17" t="s">
        <v>487</v>
      </c>
      <c r="C1785" s="18" t="s">
        <v>558</v>
      </c>
      <c r="D1785" s="19" t="s">
        <v>686</v>
      </c>
      <c r="E1785" s="19">
        <v>9</v>
      </c>
      <c r="F1785" s="19" t="s">
        <v>0</v>
      </c>
      <c r="G1785" s="20" t="s">
        <v>183</v>
      </c>
      <c r="H1785" s="36">
        <v>24900</v>
      </c>
      <c r="I1785" s="36">
        <v>24900</v>
      </c>
      <c r="J1785" s="25">
        <v>263700</v>
      </c>
    </row>
    <row r="1786" spans="1:10" ht="16" x14ac:dyDescent="0.45">
      <c r="A1786" s="153" t="str">
        <f>B1786&amp;C1786&amp;E1786&amp;G1786</f>
        <v>프레임마이프레임(사이드)5서비스프리</v>
      </c>
      <c r="B1786" s="17" t="s">
        <v>487</v>
      </c>
      <c r="C1786" s="18" t="s">
        <v>558</v>
      </c>
      <c r="D1786" s="19" t="s">
        <v>681</v>
      </c>
      <c r="E1786" s="19">
        <v>5</v>
      </c>
      <c r="F1786" s="19" t="s">
        <v>0</v>
      </c>
      <c r="G1786" s="20" t="s">
        <v>183</v>
      </c>
      <c r="H1786" s="36">
        <v>35900</v>
      </c>
      <c r="I1786" s="36">
        <v>35900</v>
      </c>
      <c r="J1786" s="25">
        <v>231100</v>
      </c>
    </row>
    <row r="1787" spans="1:10" ht="16" x14ac:dyDescent="0.45">
      <c r="A1787" s="153" t="str">
        <f>B1787&amp;C1787&amp;E1787&amp;G1787</f>
        <v>프레임마이프레임(사이드)6서비스프리</v>
      </c>
      <c r="B1787" s="17" t="s">
        <v>487</v>
      </c>
      <c r="C1787" s="18" t="s">
        <v>558</v>
      </c>
      <c r="D1787" s="19" t="s">
        <v>681</v>
      </c>
      <c r="E1787" s="19">
        <v>6</v>
      </c>
      <c r="F1787" s="19" t="s">
        <v>0</v>
      </c>
      <c r="G1787" s="20" t="s">
        <v>183</v>
      </c>
      <c r="H1787" s="36">
        <v>30900</v>
      </c>
      <c r="I1787" s="36">
        <v>30900</v>
      </c>
      <c r="J1787" s="25">
        <v>231100</v>
      </c>
    </row>
    <row r="1788" spans="1:10" ht="16" x14ac:dyDescent="0.45">
      <c r="A1788" s="153" t="str">
        <f>B1788&amp;C1788&amp;E1788&amp;G1788</f>
        <v>프레임마이프레임(사이드)7서비스프리</v>
      </c>
      <c r="B1788" s="17" t="s">
        <v>487</v>
      </c>
      <c r="C1788" s="18" t="s">
        <v>558</v>
      </c>
      <c r="D1788" s="19" t="s">
        <v>681</v>
      </c>
      <c r="E1788" s="19">
        <v>7</v>
      </c>
      <c r="F1788" s="19" t="s">
        <v>0</v>
      </c>
      <c r="G1788" s="20" t="s">
        <v>183</v>
      </c>
      <c r="H1788" s="36">
        <v>26900</v>
      </c>
      <c r="I1788" s="36">
        <v>26900</v>
      </c>
      <c r="J1788" s="25">
        <v>254200</v>
      </c>
    </row>
    <row r="1789" spans="1:10" ht="16" x14ac:dyDescent="0.45">
      <c r="A1789" s="153" t="str">
        <f>B1789&amp;C1789&amp;E1789&amp;G1789</f>
        <v>프레임마이프레임(사이드)9서비스프리</v>
      </c>
      <c r="B1789" s="17" t="s">
        <v>487</v>
      </c>
      <c r="C1789" s="18" t="s">
        <v>558</v>
      </c>
      <c r="D1789" s="19" t="s">
        <v>681</v>
      </c>
      <c r="E1789" s="19">
        <v>9</v>
      </c>
      <c r="F1789" s="19" t="s">
        <v>0</v>
      </c>
      <c r="G1789" s="20" t="s">
        <v>183</v>
      </c>
      <c r="H1789" s="36">
        <v>22900</v>
      </c>
      <c r="I1789" s="36">
        <v>22900</v>
      </c>
      <c r="J1789" s="25">
        <v>254200</v>
      </c>
    </row>
    <row r="1790" spans="1:10" ht="16" x14ac:dyDescent="0.45">
      <c r="A1790" s="153" t="str">
        <f>B1790&amp;C1790&amp;E1790&amp;G1790</f>
        <v>프레임마이프레임(사이드)5서비스프리</v>
      </c>
      <c r="B1790" s="17" t="s">
        <v>487</v>
      </c>
      <c r="C1790" s="18" t="s">
        <v>558</v>
      </c>
      <c r="D1790" s="19" t="s">
        <v>682</v>
      </c>
      <c r="E1790" s="19">
        <v>5</v>
      </c>
      <c r="F1790" s="19" t="s">
        <v>0</v>
      </c>
      <c r="G1790" s="20" t="s">
        <v>183</v>
      </c>
      <c r="H1790" s="36">
        <v>35900</v>
      </c>
      <c r="I1790" s="36">
        <v>35900</v>
      </c>
      <c r="J1790" s="25">
        <v>231100</v>
      </c>
    </row>
    <row r="1791" spans="1:10" ht="16" x14ac:dyDescent="0.45">
      <c r="A1791" s="153" t="str">
        <f>B1791&amp;C1791&amp;E1791&amp;G1791</f>
        <v>프레임마이프레임(사이드)6서비스프리</v>
      </c>
      <c r="B1791" s="17" t="s">
        <v>487</v>
      </c>
      <c r="C1791" s="18" t="s">
        <v>558</v>
      </c>
      <c r="D1791" s="19" t="s">
        <v>682</v>
      </c>
      <c r="E1791" s="19">
        <v>6</v>
      </c>
      <c r="F1791" s="19" t="s">
        <v>0</v>
      </c>
      <c r="G1791" s="20" t="s">
        <v>183</v>
      </c>
      <c r="H1791" s="36">
        <v>30900</v>
      </c>
      <c r="I1791" s="36">
        <v>30900</v>
      </c>
      <c r="J1791" s="25">
        <v>231100</v>
      </c>
    </row>
    <row r="1792" spans="1:10" ht="16" x14ac:dyDescent="0.45">
      <c r="A1792" s="153" t="str">
        <f>B1792&amp;C1792&amp;E1792&amp;G1792</f>
        <v>프레임마이프레임(사이드)7서비스프리</v>
      </c>
      <c r="B1792" s="17" t="s">
        <v>487</v>
      </c>
      <c r="C1792" s="18" t="s">
        <v>558</v>
      </c>
      <c r="D1792" s="19" t="s">
        <v>682</v>
      </c>
      <c r="E1792" s="19">
        <v>7</v>
      </c>
      <c r="F1792" s="19" t="s">
        <v>0</v>
      </c>
      <c r="G1792" s="20" t="s">
        <v>183</v>
      </c>
      <c r="H1792" s="36">
        <v>26900</v>
      </c>
      <c r="I1792" s="36">
        <v>26900</v>
      </c>
      <c r="J1792" s="25">
        <v>254200</v>
      </c>
    </row>
    <row r="1793" spans="1:10" ht="16" x14ac:dyDescent="0.45">
      <c r="A1793" s="153" t="str">
        <f>B1793&amp;C1793&amp;E1793&amp;G1793</f>
        <v>프레임마이프레임(사이드)9서비스프리</v>
      </c>
      <c r="B1793" s="17" t="s">
        <v>487</v>
      </c>
      <c r="C1793" s="18" t="s">
        <v>558</v>
      </c>
      <c r="D1793" s="19" t="s">
        <v>682</v>
      </c>
      <c r="E1793" s="19">
        <v>9</v>
      </c>
      <c r="F1793" s="19" t="s">
        <v>0</v>
      </c>
      <c r="G1793" s="20" t="s">
        <v>183</v>
      </c>
      <c r="H1793" s="36">
        <v>22900</v>
      </c>
      <c r="I1793" s="36">
        <v>22900</v>
      </c>
      <c r="J1793" s="25">
        <v>254200</v>
      </c>
    </row>
    <row r="1794" spans="1:10" ht="16" x14ac:dyDescent="0.45">
      <c r="A1794" s="153" t="str">
        <f>B1794&amp;C1794&amp;E1794&amp;G1794</f>
        <v>프레임마이프레임(사이드)5서비스프리</v>
      </c>
      <c r="B1794" s="17" t="s">
        <v>487</v>
      </c>
      <c r="C1794" s="18" t="s">
        <v>558</v>
      </c>
      <c r="D1794" s="19" t="s">
        <v>677</v>
      </c>
      <c r="E1794" s="19">
        <v>5</v>
      </c>
      <c r="F1794" s="19" t="s">
        <v>0</v>
      </c>
      <c r="G1794" s="20" t="s">
        <v>183</v>
      </c>
      <c r="H1794" s="36">
        <v>33900</v>
      </c>
      <c r="I1794" s="36">
        <v>33900</v>
      </c>
      <c r="J1794" s="25">
        <v>219800</v>
      </c>
    </row>
    <row r="1795" spans="1:10" ht="16" x14ac:dyDescent="0.45">
      <c r="A1795" s="153" t="str">
        <f>B1795&amp;C1795&amp;E1795&amp;G1795</f>
        <v>프레임마이프레임(사이드)6서비스프리</v>
      </c>
      <c r="B1795" s="17" t="s">
        <v>487</v>
      </c>
      <c r="C1795" s="18" t="s">
        <v>558</v>
      </c>
      <c r="D1795" s="19" t="s">
        <v>677</v>
      </c>
      <c r="E1795" s="19">
        <v>6</v>
      </c>
      <c r="F1795" s="19" t="s">
        <v>0</v>
      </c>
      <c r="G1795" s="20" t="s">
        <v>183</v>
      </c>
      <c r="H1795" s="36">
        <v>28900</v>
      </c>
      <c r="I1795" s="36">
        <v>28900</v>
      </c>
      <c r="J1795" s="25">
        <v>219800</v>
      </c>
    </row>
    <row r="1796" spans="1:10" ht="16" x14ac:dyDescent="0.45">
      <c r="A1796" s="153" t="str">
        <f>B1796&amp;C1796&amp;E1796&amp;G1796</f>
        <v>프레임마이프레임(사이드)7서비스프리</v>
      </c>
      <c r="B1796" s="17" t="s">
        <v>487</v>
      </c>
      <c r="C1796" s="18" t="s">
        <v>558</v>
      </c>
      <c r="D1796" s="19" t="s">
        <v>677</v>
      </c>
      <c r="E1796" s="19">
        <v>7</v>
      </c>
      <c r="F1796" s="19" t="s">
        <v>0</v>
      </c>
      <c r="G1796" s="20" t="s">
        <v>183</v>
      </c>
      <c r="H1796" s="36">
        <v>24900</v>
      </c>
      <c r="I1796" s="36">
        <v>24900</v>
      </c>
      <c r="J1796" s="25">
        <v>241800</v>
      </c>
    </row>
    <row r="1797" spans="1:10" ht="16" x14ac:dyDescent="0.45">
      <c r="A1797" s="153" t="str">
        <f>B1797&amp;C1797&amp;E1797&amp;G1797</f>
        <v>프레임마이프레임(사이드)9서비스프리</v>
      </c>
      <c r="B1797" s="17" t="s">
        <v>487</v>
      </c>
      <c r="C1797" s="18" t="s">
        <v>558</v>
      </c>
      <c r="D1797" s="19" t="s">
        <v>677</v>
      </c>
      <c r="E1797" s="19">
        <v>9</v>
      </c>
      <c r="F1797" s="19" t="s">
        <v>0</v>
      </c>
      <c r="G1797" s="20" t="s">
        <v>183</v>
      </c>
      <c r="H1797" s="36">
        <v>20900</v>
      </c>
      <c r="I1797" s="36">
        <v>20900</v>
      </c>
      <c r="J1797" s="25">
        <v>241800</v>
      </c>
    </row>
    <row r="1798" spans="1:10" ht="16" x14ac:dyDescent="0.45">
      <c r="A1798" s="153" t="str">
        <f>B1798&amp;C1798&amp;E1798&amp;G1798</f>
        <v>프레임마이프레임(사이드)5서비스프리</v>
      </c>
      <c r="B1798" s="17" t="s">
        <v>487</v>
      </c>
      <c r="C1798" s="18" t="s">
        <v>558</v>
      </c>
      <c r="D1798" s="19" t="s">
        <v>678</v>
      </c>
      <c r="E1798" s="19">
        <v>5</v>
      </c>
      <c r="F1798" s="19" t="s">
        <v>0</v>
      </c>
      <c r="G1798" s="20" t="s">
        <v>183</v>
      </c>
      <c r="H1798" s="36">
        <v>33900</v>
      </c>
      <c r="I1798" s="36">
        <v>33900</v>
      </c>
      <c r="J1798" s="25">
        <v>219800</v>
      </c>
    </row>
    <row r="1799" spans="1:10" ht="16" x14ac:dyDescent="0.45">
      <c r="A1799" s="153" t="str">
        <f>B1799&amp;C1799&amp;E1799&amp;G1799</f>
        <v>프레임마이프레임(사이드)6서비스프리</v>
      </c>
      <c r="B1799" s="17" t="s">
        <v>487</v>
      </c>
      <c r="C1799" s="18" t="s">
        <v>558</v>
      </c>
      <c r="D1799" s="19" t="s">
        <v>678</v>
      </c>
      <c r="E1799" s="19">
        <v>6</v>
      </c>
      <c r="F1799" s="19" t="s">
        <v>0</v>
      </c>
      <c r="G1799" s="20" t="s">
        <v>183</v>
      </c>
      <c r="H1799" s="36">
        <v>28900</v>
      </c>
      <c r="I1799" s="36">
        <v>28900</v>
      </c>
      <c r="J1799" s="25">
        <v>219800</v>
      </c>
    </row>
    <row r="1800" spans="1:10" ht="16" x14ac:dyDescent="0.45">
      <c r="A1800" s="153" t="str">
        <f>B1800&amp;C1800&amp;E1800&amp;G1800</f>
        <v>프레임마이프레임(사이드)7서비스프리</v>
      </c>
      <c r="B1800" s="17" t="s">
        <v>487</v>
      </c>
      <c r="C1800" s="18" t="s">
        <v>558</v>
      </c>
      <c r="D1800" s="19" t="s">
        <v>678</v>
      </c>
      <c r="E1800" s="19">
        <v>7</v>
      </c>
      <c r="F1800" s="19" t="s">
        <v>0</v>
      </c>
      <c r="G1800" s="20" t="s">
        <v>183</v>
      </c>
      <c r="H1800" s="36">
        <v>24900</v>
      </c>
      <c r="I1800" s="36">
        <v>24900</v>
      </c>
      <c r="J1800" s="25">
        <v>241800</v>
      </c>
    </row>
    <row r="1801" spans="1:10" ht="16" x14ac:dyDescent="0.45">
      <c r="A1801" s="153" t="str">
        <f>B1801&amp;C1801&amp;E1801&amp;G1801</f>
        <v>프레임마이프레임(사이드)9서비스프리</v>
      </c>
      <c r="B1801" s="17" t="s">
        <v>487</v>
      </c>
      <c r="C1801" s="18" t="s">
        <v>558</v>
      </c>
      <c r="D1801" s="19" t="s">
        <v>678</v>
      </c>
      <c r="E1801" s="19">
        <v>9</v>
      </c>
      <c r="F1801" s="19" t="s">
        <v>0</v>
      </c>
      <c r="G1801" s="20" t="s">
        <v>183</v>
      </c>
      <c r="H1801" s="36">
        <v>20900</v>
      </c>
      <c r="I1801" s="36">
        <v>20900</v>
      </c>
      <c r="J1801" s="25">
        <v>241800</v>
      </c>
    </row>
    <row r="1802" spans="1:10" ht="16" x14ac:dyDescent="0.45">
      <c r="A1802" s="153" t="str">
        <f>B1802&amp;C1802&amp;E1802&amp;G1802</f>
        <v>프레임모던라운드프레임5서비스프리</v>
      </c>
      <c r="B1802" s="17" t="s">
        <v>487</v>
      </c>
      <c r="C1802" s="18" t="s">
        <v>971</v>
      </c>
      <c r="D1802" s="19" t="s">
        <v>983</v>
      </c>
      <c r="E1802" s="19">
        <v>5</v>
      </c>
      <c r="F1802" s="19" t="s">
        <v>0</v>
      </c>
      <c r="G1802" s="20" t="s">
        <v>183</v>
      </c>
      <c r="H1802" s="36">
        <v>53900</v>
      </c>
      <c r="I1802" s="36">
        <v>53900</v>
      </c>
      <c r="J1802" s="25">
        <v>284700</v>
      </c>
    </row>
    <row r="1803" spans="1:10" ht="16" x14ac:dyDescent="0.45">
      <c r="A1803" s="153" t="str">
        <f>B1803&amp;C1803&amp;E1803&amp;G1803</f>
        <v>프레임모던라운드프레임7서비스프리</v>
      </c>
      <c r="B1803" s="17" t="s">
        <v>487</v>
      </c>
      <c r="C1803" s="18" t="s">
        <v>971</v>
      </c>
      <c r="D1803" s="19" t="s">
        <v>983</v>
      </c>
      <c r="E1803" s="19">
        <v>7</v>
      </c>
      <c r="F1803" s="19" t="s">
        <v>0</v>
      </c>
      <c r="G1803" s="20" t="s">
        <v>183</v>
      </c>
      <c r="H1803" s="36">
        <v>43900</v>
      </c>
      <c r="I1803" s="36">
        <v>43900</v>
      </c>
      <c r="J1803" s="25">
        <v>313200</v>
      </c>
    </row>
    <row r="1804" spans="1:10" ht="16" x14ac:dyDescent="0.45">
      <c r="A1804" s="153" t="str">
        <f>B1804&amp;C1804&amp;E1804&amp;G1804</f>
        <v>프레임모던라운드프레임9서비스프리</v>
      </c>
      <c r="B1804" s="17" t="s">
        <v>487</v>
      </c>
      <c r="C1804" s="18" t="s">
        <v>971</v>
      </c>
      <c r="D1804" s="19" t="s">
        <v>983</v>
      </c>
      <c r="E1804" s="19">
        <v>9</v>
      </c>
      <c r="F1804" s="19" t="s">
        <v>0</v>
      </c>
      <c r="G1804" s="20" t="s">
        <v>183</v>
      </c>
      <c r="H1804" s="36">
        <v>38900</v>
      </c>
      <c r="I1804" s="36">
        <v>38900</v>
      </c>
      <c r="J1804" s="25">
        <v>313200</v>
      </c>
    </row>
    <row r="1805" spans="1:10" ht="16" x14ac:dyDescent="0.45">
      <c r="A1805" s="153" t="str">
        <f>B1805&amp;C1805&amp;E1805&amp;G1805</f>
        <v>프레임모던라운드프레임5서비스프리</v>
      </c>
      <c r="B1805" s="17" t="s">
        <v>487</v>
      </c>
      <c r="C1805" s="18" t="s">
        <v>971</v>
      </c>
      <c r="D1805" s="19" t="s">
        <v>984</v>
      </c>
      <c r="E1805" s="19">
        <v>5</v>
      </c>
      <c r="F1805" s="19" t="s">
        <v>0</v>
      </c>
      <c r="G1805" s="20" t="s">
        <v>183</v>
      </c>
      <c r="H1805" s="36">
        <v>53900</v>
      </c>
      <c r="I1805" s="36">
        <v>53900</v>
      </c>
      <c r="J1805" s="25">
        <v>284700</v>
      </c>
    </row>
    <row r="1806" spans="1:10" ht="16" x14ac:dyDescent="0.45">
      <c r="A1806" s="153" t="str">
        <f>B1806&amp;C1806&amp;E1806&amp;G1806</f>
        <v>프레임모던라운드프레임7서비스프리</v>
      </c>
      <c r="B1806" s="17" t="s">
        <v>487</v>
      </c>
      <c r="C1806" s="18" t="s">
        <v>971</v>
      </c>
      <c r="D1806" s="19" t="s">
        <v>984</v>
      </c>
      <c r="E1806" s="19">
        <v>7</v>
      </c>
      <c r="F1806" s="19" t="s">
        <v>0</v>
      </c>
      <c r="G1806" s="20" t="s">
        <v>183</v>
      </c>
      <c r="H1806" s="36">
        <v>43900</v>
      </c>
      <c r="I1806" s="36">
        <v>43900</v>
      </c>
      <c r="J1806" s="25">
        <v>313200</v>
      </c>
    </row>
    <row r="1807" spans="1:10" ht="16" x14ac:dyDescent="0.45">
      <c r="A1807" s="153" t="str">
        <f>B1807&amp;C1807&amp;E1807&amp;G1807</f>
        <v>프레임모던라운드프레임9서비스프리</v>
      </c>
      <c r="B1807" s="17" t="s">
        <v>487</v>
      </c>
      <c r="C1807" s="18" t="s">
        <v>971</v>
      </c>
      <c r="D1807" s="19" t="s">
        <v>984</v>
      </c>
      <c r="E1807" s="19">
        <v>9</v>
      </c>
      <c r="F1807" s="19" t="s">
        <v>0</v>
      </c>
      <c r="G1807" s="20" t="s">
        <v>183</v>
      </c>
      <c r="H1807" s="36">
        <v>38900</v>
      </c>
      <c r="I1807" s="36">
        <v>38900</v>
      </c>
      <c r="J1807" s="25">
        <v>313200</v>
      </c>
    </row>
    <row r="1808" spans="1:10" ht="16" x14ac:dyDescent="0.45">
      <c r="A1808" s="153" t="str">
        <f>B1808&amp;C1808&amp;E1808&amp;G1808</f>
        <v>프레임모던라운드프레임5서비스프리</v>
      </c>
      <c r="B1808" s="17" t="s">
        <v>487</v>
      </c>
      <c r="C1808" s="18" t="s">
        <v>971</v>
      </c>
      <c r="D1808" s="19" t="s">
        <v>975</v>
      </c>
      <c r="E1808" s="19">
        <v>5</v>
      </c>
      <c r="F1808" s="19" t="s">
        <v>0</v>
      </c>
      <c r="G1808" s="20" t="s">
        <v>183</v>
      </c>
      <c r="H1808" s="36">
        <v>45900</v>
      </c>
      <c r="I1808" s="36">
        <v>45900</v>
      </c>
      <c r="J1808" s="25">
        <v>273400</v>
      </c>
    </row>
    <row r="1809" spans="1:10" ht="16" x14ac:dyDescent="0.45">
      <c r="A1809" s="153" t="str">
        <f>B1809&amp;C1809&amp;E1809&amp;G1809</f>
        <v>프레임모던라운드프레임7서비스프리</v>
      </c>
      <c r="B1809" s="17" t="s">
        <v>487</v>
      </c>
      <c r="C1809" s="18" t="s">
        <v>971</v>
      </c>
      <c r="D1809" s="19" t="s">
        <v>975</v>
      </c>
      <c r="E1809" s="19">
        <v>7</v>
      </c>
      <c r="F1809" s="19" t="s">
        <v>0</v>
      </c>
      <c r="G1809" s="20" t="s">
        <v>183</v>
      </c>
      <c r="H1809" s="36">
        <v>35900</v>
      </c>
      <c r="I1809" s="36">
        <v>35900</v>
      </c>
      <c r="J1809" s="25">
        <v>300700</v>
      </c>
    </row>
    <row r="1810" spans="1:10" ht="16" x14ac:dyDescent="0.45">
      <c r="A1810" s="153" t="str">
        <f>B1810&amp;C1810&amp;E1810&amp;G1810</f>
        <v>프레임모던라운드프레임9서비스프리</v>
      </c>
      <c r="B1810" s="17" t="s">
        <v>487</v>
      </c>
      <c r="C1810" s="18" t="s">
        <v>971</v>
      </c>
      <c r="D1810" s="19" t="s">
        <v>975</v>
      </c>
      <c r="E1810" s="19">
        <v>9</v>
      </c>
      <c r="F1810" s="19" t="s">
        <v>0</v>
      </c>
      <c r="G1810" s="20" t="s">
        <v>183</v>
      </c>
      <c r="H1810" s="36">
        <v>30900</v>
      </c>
      <c r="I1810" s="36">
        <v>30900</v>
      </c>
      <c r="J1810" s="25">
        <v>300700</v>
      </c>
    </row>
    <row r="1811" spans="1:10" ht="16" x14ac:dyDescent="0.45">
      <c r="A1811" s="153" t="str">
        <f>B1811&amp;C1811&amp;E1811&amp;G1811</f>
        <v>프레임모던라운드프레임5서비스프리</v>
      </c>
      <c r="B1811" s="17" t="s">
        <v>487</v>
      </c>
      <c r="C1811" s="18" t="s">
        <v>971</v>
      </c>
      <c r="D1811" s="19" t="s">
        <v>974</v>
      </c>
      <c r="E1811" s="19">
        <v>5</v>
      </c>
      <c r="F1811" s="19" t="s">
        <v>0</v>
      </c>
      <c r="G1811" s="20" t="s">
        <v>183</v>
      </c>
      <c r="H1811" s="36">
        <v>45900</v>
      </c>
      <c r="I1811" s="36">
        <v>45900</v>
      </c>
      <c r="J1811" s="25">
        <v>273400</v>
      </c>
    </row>
    <row r="1812" spans="1:10" ht="16" x14ac:dyDescent="0.45">
      <c r="A1812" s="153" t="str">
        <f>B1812&amp;C1812&amp;E1812&amp;G1812</f>
        <v>프레임모던라운드프레임7서비스프리</v>
      </c>
      <c r="B1812" s="17" t="s">
        <v>487</v>
      </c>
      <c r="C1812" s="18" t="s">
        <v>971</v>
      </c>
      <c r="D1812" s="19" t="s">
        <v>974</v>
      </c>
      <c r="E1812" s="19">
        <v>7</v>
      </c>
      <c r="F1812" s="19" t="s">
        <v>0</v>
      </c>
      <c r="G1812" s="20" t="s">
        <v>183</v>
      </c>
      <c r="H1812" s="36">
        <v>35900</v>
      </c>
      <c r="I1812" s="36">
        <v>35900</v>
      </c>
      <c r="J1812" s="25">
        <v>300700</v>
      </c>
    </row>
    <row r="1813" spans="1:10" ht="16" x14ac:dyDescent="0.45">
      <c r="A1813" s="153" t="str">
        <f>B1813&amp;C1813&amp;E1813&amp;G1813</f>
        <v>프레임모던라운드프레임9서비스프리</v>
      </c>
      <c r="B1813" s="17" t="s">
        <v>487</v>
      </c>
      <c r="C1813" s="18" t="s">
        <v>971</v>
      </c>
      <c r="D1813" s="19" t="s">
        <v>974</v>
      </c>
      <c r="E1813" s="19">
        <v>9</v>
      </c>
      <c r="F1813" s="19" t="s">
        <v>0</v>
      </c>
      <c r="G1813" s="20" t="s">
        <v>183</v>
      </c>
      <c r="H1813" s="36">
        <v>30900</v>
      </c>
      <c r="I1813" s="36">
        <v>30900</v>
      </c>
      <c r="J1813" s="25">
        <v>300700</v>
      </c>
    </row>
    <row r="1814" spans="1:10" ht="16" x14ac:dyDescent="0.45">
      <c r="A1814" s="153" t="str">
        <f>B1814&amp;C1814&amp;E1814&amp;G1814</f>
        <v>프레임모던라운드프레임5서비스프리</v>
      </c>
      <c r="B1814" s="17" t="s">
        <v>487</v>
      </c>
      <c r="C1814" s="18" t="s">
        <v>971</v>
      </c>
      <c r="D1814" s="19" t="s">
        <v>976</v>
      </c>
      <c r="E1814" s="19">
        <v>5</v>
      </c>
      <c r="F1814" s="19" t="s">
        <v>0</v>
      </c>
      <c r="G1814" s="20" t="s">
        <v>183</v>
      </c>
      <c r="H1814" s="36">
        <v>45900</v>
      </c>
      <c r="I1814" s="36">
        <v>45900</v>
      </c>
      <c r="J1814" s="25">
        <v>273400</v>
      </c>
    </row>
    <row r="1815" spans="1:10" ht="16" x14ac:dyDescent="0.45">
      <c r="A1815" s="153" t="str">
        <f>B1815&amp;C1815&amp;E1815&amp;G1815</f>
        <v>프레임모던라운드프레임7서비스프리</v>
      </c>
      <c r="B1815" s="17" t="s">
        <v>487</v>
      </c>
      <c r="C1815" s="18" t="s">
        <v>971</v>
      </c>
      <c r="D1815" s="19" t="s">
        <v>976</v>
      </c>
      <c r="E1815" s="19">
        <v>7</v>
      </c>
      <c r="F1815" s="19" t="s">
        <v>0</v>
      </c>
      <c r="G1815" s="20" t="s">
        <v>183</v>
      </c>
      <c r="H1815" s="36">
        <v>35900</v>
      </c>
      <c r="I1815" s="36">
        <v>35900</v>
      </c>
      <c r="J1815" s="25">
        <v>300700</v>
      </c>
    </row>
    <row r="1816" spans="1:10" ht="16" x14ac:dyDescent="0.45">
      <c r="A1816" s="153" t="str">
        <f>B1816&amp;C1816&amp;E1816&amp;G1816</f>
        <v>프레임모던라운드프레임9서비스프리</v>
      </c>
      <c r="B1816" s="17" t="s">
        <v>487</v>
      </c>
      <c r="C1816" s="18" t="s">
        <v>971</v>
      </c>
      <c r="D1816" s="19" t="s">
        <v>976</v>
      </c>
      <c r="E1816" s="19">
        <v>9</v>
      </c>
      <c r="F1816" s="19" t="s">
        <v>0</v>
      </c>
      <c r="G1816" s="20" t="s">
        <v>183</v>
      </c>
      <c r="H1816" s="36">
        <v>30900</v>
      </c>
      <c r="I1816" s="36">
        <v>30900</v>
      </c>
      <c r="J1816" s="25">
        <v>300700</v>
      </c>
    </row>
    <row r="1817" spans="1:10" ht="16" x14ac:dyDescent="0.45">
      <c r="A1817" s="153" t="str">
        <f>B1817&amp;C1817&amp;E1817&amp;G1817</f>
        <v>프레임모던라운드프레임5서비스프리</v>
      </c>
      <c r="B1817" s="17" t="s">
        <v>487</v>
      </c>
      <c r="C1817" s="18" t="s">
        <v>971</v>
      </c>
      <c r="D1817" s="19" t="s">
        <v>972</v>
      </c>
      <c r="E1817" s="19">
        <v>5</v>
      </c>
      <c r="F1817" s="19" t="s">
        <v>0</v>
      </c>
      <c r="G1817" s="20" t="s">
        <v>183</v>
      </c>
      <c r="H1817" s="36">
        <v>49900</v>
      </c>
      <c r="I1817" s="36">
        <v>49900</v>
      </c>
      <c r="J1817" s="25">
        <v>273400</v>
      </c>
    </row>
    <row r="1818" spans="1:10" ht="16" x14ac:dyDescent="0.45">
      <c r="A1818" s="153" t="str">
        <f>B1818&amp;C1818&amp;E1818&amp;G1818</f>
        <v>프레임모던라운드프레임7서비스프리</v>
      </c>
      <c r="B1818" s="17" t="s">
        <v>487</v>
      </c>
      <c r="C1818" s="18" t="s">
        <v>971</v>
      </c>
      <c r="D1818" s="19" t="s">
        <v>972</v>
      </c>
      <c r="E1818" s="19">
        <v>7</v>
      </c>
      <c r="F1818" s="19" t="s">
        <v>0</v>
      </c>
      <c r="G1818" s="20" t="s">
        <v>183</v>
      </c>
      <c r="H1818" s="36">
        <v>39900</v>
      </c>
      <c r="I1818" s="36">
        <v>39900</v>
      </c>
      <c r="J1818" s="25">
        <v>300700</v>
      </c>
    </row>
    <row r="1819" spans="1:10" ht="16" x14ac:dyDescent="0.45">
      <c r="A1819" s="153" t="str">
        <f>B1819&amp;C1819&amp;E1819&amp;G1819</f>
        <v>프레임모던라운드프레임9서비스프리</v>
      </c>
      <c r="B1819" s="17" t="s">
        <v>487</v>
      </c>
      <c r="C1819" s="18" t="s">
        <v>971</v>
      </c>
      <c r="D1819" s="19" t="s">
        <v>972</v>
      </c>
      <c r="E1819" s="19">
        <v>9</v>
      </c>
      <c r="F1819" s="19" t="s">
        <v>0</v>
      </c>
      <c r="G1819" s="20" t="s">
        <v>183</v>
      </c>
      <c r="H1819" s="36">
        <v>34900</v>
      </c>
      <c r="I1819" s="36">
        <v>34900</v>
      </c>
      <c r="J1819" s="25">
        <v>300700</v>
      </c>
    </row>
    <row r="1820" spans="1:10" ht="16" x14ac:dyDescent="0.45">
      <c r="A1820" s="153" t="str">
        <f>B1820&amp;C1820&amp;E1820&amp;G1820</f>
        <v>프레임모던라운드프레임5서비스프리</v>
      </c>
      <c r="B1820" s="17" t="s">
        <v>487</v>
      </c>
      <c r="C1820" s="18" t="s">
        <v>971</v>
      </c>
      <c r="D1820" s="19" t="s">
        <v>973</v>
      </c>
      <c r="E1820" s="19">
        <v>5</v>
      </c>
      <c r="F1820" s="19" t="s">
        <v>0</v>
      </c>
      <c r="G1820" s="20" t="s">
        <v>183</v>
      </c>
      <c r="H1820" s="36">
        <v>49900</v>
      </c>
      <c r="I1820" s="36">
        <v>49900</v>
      </c>
      <c r="J1820" s="25">
        <v>273400</v>
      </c>
    </row>
    <row r="1821" spans="1:10" ht="16" x14ac:dyDescent="0.45">
      <c r="A1821" s="153" t="str">
        <f>B1821&amp;C1821&amp;E1821&amp;G1821</f>
        <v>프레임모던라운드프레임7서비스프리</v>
      </c>
      <c r="B1821" s="17" t="s">
        <v>487</v>
      </c>
      <c r="C1821" s="18" t="s">
        <v>971</v>
      </c>
      <c r="D1821" s="19" t="s">
        <v>973</v>
      </c>
      <c r="E1821" s="19">
        <v>7</v>
      </c>
      <c r="F1821" s="19" t="s">
        <v>0</v>
      </c>
      <c r="G1821" s="20" t="s">
        <v>183</v>
      </c>
      <c r="H1821" s="36">
        <v>39900</v>
      </c>
      <c r="I1821" s="36">
        <v>39900</v>
      </c>
      <c r="J1821" s="25">
        <v>300700</v>
      </c>
    </row>
    <row r="1822" spans="1:10" ht="16" x14ac:dyDescent="0.45">
      <c r="A1822" s="153" t="str">
        <f>B1822&amp;C1822&amp;E1822&amp;G1822</f>
        <v>프레임모던라운드프레임9서비스프리</v>
      </c>
      <c r="B1822" s="17" t="s">
        <v>487</v>
      </c>
      <c r="C1822" s="18" t="s">
        <v>971</v>
      </c>
      <c r="D1822" s="19" t="s">
        <v>973</v>
      </c>
      <c r="E1822" s="19">
        <v>9</v>
      </c>
      <c r="F1822" s="19" t="s">
        <v>0</v>
      </c>
      <c r="G1822" s="20" t="s">
        <v>183</v>
      </c>
      <c r="H1822" s="36">
        <v>34900</v>
      </c>
      <c r="I1822" s="36">
        <v>34900</v>
      </c>
      <c r="J1822" s="25">
        <v>300700</v>
      </c>
    </row>
    <row r="1823" spans="1:10" ht="16" x14ac:dyDescent="0.45">
      <c r="A1823" s="153" t="str">
        <f>B1823&amp;C1823&amp;E1823&amp;G1823</f>
        <v>프레임모던라운드프레임5서비스프리</v>
      </c>
      <c r="B1823" s="17" t="s">
        <v>487</v>
      </c>
      <c r="C1823" s="18" t="s">
        <v>971</v>
      </c>
      <c r="D1823" s="19" t="s">
        <v>978</v>
      </c>
      <c r="E1823" s="19">
        <v>5</v>
      </c>
      <c r="F1823" s="19" t="s">
        <v>0</v>
      </c>
      <c r="G1823" s="20" t="s">
        <v>183</v>
      </c>
      <c r="H1823" s="36">
        <v>42900</v>
      </c>
      <c r="I1823" s="36">
        <v>42900</v>
      </c>
      <c r="J1823" s="25">
        <v>251000</v>
      </c>
    </row>
    <row r="1824" spans="1:10" ht="16" x14ac:dyDescent="0.45">
      <c r="A1824" s="153" t="str">
        <f>B1824&amp;C1824&amp;E1824&amp;G1824</f>
        <v>프레임모던라운드프레임7서비스프리</v>
      </c>
      <c r="B1824" s="17" t="s">
        <v>487</v>
      </c>
      <c r="C1824" s="18" t="s">
        <v>971</v>
      </c>
      <c r="D1824" s="19" t="s">
        <v>978</v>
      </c>
      <c r="E1824" s="19">
        <v>7</v>
      </c>
      <c r="F1824" s="19" t="s">
        <v>0</v>
      </c>
      <c r="G1824" s="20" t="s">
        <v>183</v>
      </c>
      <c r="H1824" s="36">
        <v>32900</v>
      </c>
      <c r="I1824" s="36">
        <v>32900</v>
      </c>
      <c r="J1824" s="25">
        <v>276100</v>
      </c>
    </row>
    <row r="1825" spans="1:10" ht="16" x14ac:dyDescent="0.45">
      <c r="A1825" s="153" t="str">
        <f>B1825&amp;C1825&amp;E1825&amp;G1825</f>
        <v>프레임모던라운드프레임9서비스프리</v>
      </c>
      <c r="B1825" s="17" t="s">
        <v>487</v>
      </c>
      <c r="C1825" s="18" t="s">
        <v>971</v>
      </c>
      <c r="D1825" s="19" t="s">
        <v>978</v>
      </c>
      <c r="E1825" s="19">
        <v>9</v>
      </c>
      <c r="F1825" s="19" t="s">
        <v>0</v>
      </c>
      <c r="G1825" s="20" t="s">
        <v>183</v>
      </c>
      <c r="H1825" s="36">
        <v>27900</v>
      </c>
      <c r="I1825" s="36">
        <v>27900</v>
      </c>
      <c r="J1825" s="25">
        <v>276100</v>
      </c>
    </row>
    <row r="1826" spans="1:10" ht="16" x14ac:dyDescent="0.45">
      <c r="A1826" s="153" t="str">
        <f>B1826&amp;C1826&amp;E1826&amp;G1826</f>
        <v>프레임모던라운드프레임5서비스프리</v>
      </c>
      <c r="B1826" s="17" t="s">
        <v>487</v>
      </c>
      <c r="C1826" s="18" t="s">
        <v>971</v>
      </c>
      <c r="D1826" s="19" t="s">
        <v>977</v>
      </c>
      <c r="E1826" s="19">
        <v>5</v>
      </c>
      <c r="F1826" s="19" t="s">
        <v>0</v>
      </c>
      <c r="G1826" s="20" t="s">
        <v>183</v>
      </c>
      <c r="H1826" s="36">
        <v>42900</v>
      </c>
      <c r="I1826" s="36">
        <v>42900</v>
      </c>
      <c r="J1826" s="25">
        <v>251000</v>
      </c>
    </row>
    <row r="1827" spans="1:10" ht="16" x14ac:dyDescent="0.45">
      <c r="A1827" s="153" t="str">
        <f>B1827&amp;C1827&amp;E1827&amp;G1827</f>
        <v>프레임모던라운드프레임7서비스프리</v>
      </c>
      <c r="B1827" s="17" t="s">
        <v>487</v>
      </c>
      <c r="C1827" s="18" t="s">
        <v>971</v>
      </c>
      <c r="D1827" s="19" t="s">
        <v>977</v>
      </c>
      <c r="E1827" s="19">
        <v>7</v>
      </c>
      <c r="F1827" s="19" t="s">
        <v>0</v>
      </c>
      <c r="G1827" s="20" t="s">
        <v>183</v>
      </c>
      <c r="H1827" s="36">
        <v>32900</v>
      </c>
      <c r="I1827" s="36">
        <v>32900</v>
      </c>
      <c r="J1827" s="25">
        <v>276100</v>
      </c>
    </row>
    <row r="1828" spans="1:10" ht="16" x14ac:dyDescent="0.45">
      <c r="A1828" s="153" t="str">
        <f>B1828&amp;C1828&amp;E1828&amp;G1828</f>
        <v>프레임모던라운드프레임9서비스프리</v>
      </c>
      <c r="B1828" s="17" t="s">
        <v>487</v>
      </c>
      <c r="C1828" s="18" t="s">
        <v>971</v>
      </c>
      <c r="D1828" s="19" t="s">
        <v>977</v>
      </c>
      <c r="E1828" s="19">
        <v>9</v>
      </c>
      <c r="F1828" s="19" t="s">
        <v>0</v>
      </c>
      <c r="G1828" s="20" t="s">
        <v>183</v>
      </c>
      <c r="H1828" s="36">
        <v>27900</v>
      </c>
      <c r="I1828" s="36">
        <v>27900</v>
      </c>
      <c r="J1828" s="25">
        <v>276100</v>
      </c>
    </row>
    <row r="1829" spans="1:10" ht="16" x14ac:dyDescent="0.45">
      <c r="A1829" s="153" t="str">
        <f>B1829&amp;C1829&amp;E1829&amp;G1829</f>
        <v>프레임모던라운드프레임5서비스프리</v>
      </c>
      <c r="B1829" s="17" t="s">
        <v>487</v>
      </c>
      <c r="C1829" s="18" t="s">
        <v>971</v>
      </c>
      <c r="D1829" s="19" t="s">
        <v>979</v>
      </c>
      <c r="E1829" s="19">
        <v>5</v>
      </c>
      <c r="F1829" s="19" t="s">
        <v>0</v>
      </c>
      <c r="G1829" s="20" t="s">
        <v>183</v>
      </c>
      <c r="H1829" s="36">
        <v>42900</v>
      </c>
      <c r="I1829" s="36">
        <v>42900</v>
      </c>
      <c r="J1829" s="25">
        <v>251000</v>
      </c>
    </row>
    <row r="1830" spans="1:10" ht="16" x14ac:dyDescent="0.45">
      <c r="A1830" s="153" t="str">
        <f>B1830&amp;C1830&amp;E1830&amp;G1830</f>
        <v>프레임모던라운드프레임7서비스프리</v>
      </c>
      <c r="B1830" s="17" t="s">
        <v>487</v>
      </c>
      <c r="C1830" s="18" t="s">
        <v>971</v>
      </c>
      <c r="D1830" s="19" t="s">
        <v>979</v>
      </c>
      <c r="E1830" s="19">
        <v>7</v>
      </c>
      <c r="F1830" s="19" t="s">
        <v>0</v>
      </c>
      <c r="G1830" s="20" t="s">
        <v>183</v>
      </c>
      <c r="H1830" s="36">
        <v>32900</v>
      </c>
      <c r="I1830" s="36">
        <v>32900</v>
      </c>
      <c r="J1830" s="25">
        <v>276100</v>
      </c>
    </row>
    <row r="1831" spans="1:10" ht="16" x14ac:dyDescent="0.45">
      <c r="A1831" s="153" t="str">
        <f>B1831&amp;C1831&amp;E1831&amp;G1831</f>
        <v>프레임모던라운드프레임9서비스프리</v>
      </c>
      <c r="B1831" s="17" t="s">
        <v>487</v>
      </c>
      <c r="C1831" s="18" t="s">
        <v>971</v>
      </c>
      <c r="D1831" s="19" t="s">
        <v>979</v>
      </c>
      <c r="E1831" s="19">
        <v>9</v>
      </c>
      <c r="F1831" s="19" t="s">
        <v>0</v>
      </c>
      <c r="G1831" s="20" t="s">
        <v>183</v>
      </c>
      <c r="H1831" s="36">
        <v>27900</v>
      </c>
      <c r="I1831" s="36">
        <v>27900</v>
      </c>
      <c r="J1831" s="25">
        <v>276100</v>
      </c>
    </row>
    <row r="1832" spans="1:10" ht="16" x14ac:dyDescent="0.45">
      <c r="A1832" s="153" t="str">
        <f>B1832&amp;C1832&amp;E1832&amp;G1832</f>
        <v>프레임모던라운드프레임5서비스프리</v>
      </c>
      <c r="B1832" s="17" t="s">
        <v>487</v>
      </c>
      <c r="C1832" s="18" t="s">
        <v>971</v>
      </c>
      <c r="D1832" s="19" t="s">
        <v>981</v>
      </c>
      <c r="E1832" s="19">
        <v>5</v>
      </c>
      <c r="F1832" s="19" t="s">
        <v>0</v>
      </c>
      <c r="G1832" s="20" t="s">
        <v>183</v>
      </c>
      <c r="H1832" s="36">
        <v>39900</v>
      </c>
      <c r="I1832" s="36">
        <v>39900</v>
      </c>
      <c r="J1832" s="25">
        <v>239700</v>
      </c>
    </row>
    <row r="1833" spans="1:10" ht="16" x14ac:dyDescent="0.45">
      <c r="A1833" s="153" t="str">
        <f>B1833&amp;C1833&amp;E1833&amp;G1833</f>
        <v>프레임모던라운드프레임7서비스프리</v>
      </c>
      <c r="B1833" s="17" t="s">
        <v>487</v>
      </c>
      <c r="C1833" s="18" t="s">
        <v>971</v>
      </c>
      <c r="D1833" s="19" t="s">
        <v>981</v>
      </c>
      <c r="E1833" s="19">
        <v>7</v>
      </c>
      <c r="F1833" s="19" t="s">
        <v>0</v>
      </c>
      <c r="G1833" s="20" t="s">
        <v>183</v>
      </c>
      <c r="H1833" s="36">
        <v>29900</v>
      </c>
      <c r="I1833" s="36">
        <v>29900</v>
      </c>
      <c r="J1833" s="25">
        <v>263700</v>
      </c>
    </row>
    <row r="1834" spans="1:10" ht="16" x14ac:dyDescent="0.45">
      <c r="A1834" s="153" t="str">
        <f>B1834&amp;C1834&amp;E1834&amp;G1834</f>
        <v>프레임모던라운드프레임9서비스프리</v>
      </c>
      <c r="B1834" s="17" t="s">
        <v>487</v>
      </c>
      <c r="C1834" s="18" t="s">
        <v>971</v>
      </c>
      <c r="D1834" s="19" t="s">
        <v>981</v>
      </c>
      <c r="E1834" s="19">
        <v>9</v>
      </c>
      <c r="F1834" s="19" t="s">
        <v>0</v>
      </c>
      <c r="G1834" s="20" t="s">
        <v>183</v>
      </c>
      <c r="H1834" s="36">
        <v>24900</v>
      </c>
      <c r="I1834" s="36">
        <v>24900</v>
      </c>
      <c r="J1834" s="25">
        <v>263700</v>
      </c>
    </row>
    <row r="1835" spans="1:10" ht="16" x14ac:dyDescent="0.45">
      <c r="A1835" s="153" t="str">
        <f>B1835&amp;C1835&amp;E1835&amp;G1835</f>
        <v>프레임모던라운드프레임5서비스프리</v>
      </c>
      <c r="B1835" s="17" t="s">
        <v>487</v>
      </c>
      <c r="C1835" s="18" t="s">
        <v>971</v>
      </c>
      <c r="D1835" s="19" t="s">
        <v>980</v>
      </c>
      <c r="E1835" s="19">
        <v>5</v>
      </c>
      <c r="F1835" s="19" t="s">
        <v>0</v>
      </c>
      <c r="G1835" s="20" t="s">
        <v>183</v>
      </c>
      <c r="H1835" s="36">
        <v>39900</v>
      </c>
      <c r="I1835" s="36">
        <v>39900</v>
      </c>
      <c r="J1835" s="25">
        <v>239700</v>
      </c>
    </row>
    <row r="1836" spans="1:10" ht="16" x14ac:dyDescent="0.45">
      <c r="A1836" s="153" t="str">
        <f>B1836&amp;C1836&amp;E1836&amp;G1836</f>
        <v>프레임모던라운드프레임7서비스프리</v>
      </c>
      <c r="B1836" s="17" t="s">
        <v>487</v>
      </c>
      <c r="C1836" s="18" t="s">
        <v>971</v>
      </c>
      <c r="D1836" s="19" t="s">
        <v>980</v>
      </c>
      <c r="E1836" s="19">
        <v>7</v>
      </c>
      <c r="F1836" s="19" t="s">
        <v>0</v>
      </c>
      <c r="G1836" s="20" t="s">
        <v>183</v>
      </c>
      <c r="H1836" s="36">
        <v>29900</v>
      </c>
      <c r="I1836" s="36">
        <v>29900</v>
      </c>
      <c r="J1836" s="25">
        <v>263700</v>
      </c>
    </row>
    <row r="1837" spans="1:10" ht="16" x14ac:dyDescent="0.45">
      <c r="A1837" s="153" t="str">
        <f>B1837&amp;C1837&amp;E1837&amp;G1837</f>
        <v>프레임모던라운드프레임9서비스프리</v>
      </c>
      <c r="B1837" s="17" t="s">
        <v>487</v>
      </c>
      <c r="C1837" s="18" t="s">
        <v>971</v>
      </c>
      <c r="D1837" s="19" t="s">
        <v>980</v>
      </c>
      <c r="E1837" s="19">
        <v>9</v>
      </c>
      <c r="F1837" s="19" t="s">
        <v>0</v>
      </c>
      <c r="G1837" s="20" t="s">
        <v>183</v>
      </c>
      <c r="H1837" s="36">
        <v>24900</v>
      </c>
      <c r="I1837" s="36">
        <v>24900</v>
      </c>
      <c r="J1837" s="25">
        <v>263700</v>
      </c>
    </row>
    <row r="1838" spans="1:10" ht="16" x14ac:dyDescent="0.45">
      <c r="A1838" s="153" t="str">
        <f>B1838&amp;C1838&amp;E1838&amp;G1838</f>
        <v>프레임모던라운드프레임5서비스프리</v>
      </c>
      <c r="B1838" s="17" t="s">
        <v>487</v>
      </c>
      <c r="C1838" s="18" t="s">
        <v>971</v>
      </c>
      <c r="D1838" s="19" t="s">
        <v>982</v>
      </c>
      <c r="E1838" s="19">
        <v>5</v>
      </c>
      <c r="F1838" s="19" t="s">
        <v>0</v>
      </c>
      <c r="G1838" s="20" t="s">
        <v>183</v>
      </c>
      <c r="H1838" s="36">
        <v>39900</v>
      </c>
      <c r="I1838" s="36">
        <v>39900</v>
      </c>
      <c r="J1838" s="25">
        <v>239700</v>
      </c>
    </row>
    <row r="1839" spans="1:10" ht="16" x14ac:dyDescent="0.45">
      <c r="A1839" s="153" t="str">
        <f>B1839&amp;C1839&amp;E1839&amp;G1839</f>
        <v>프레임모던라운드프레임7서비스프리</v>
      </c>
      <c r="B1839" s="17" t="s">
        <v>487</v>
      </c>
      <c r="C1839" s="18" t="s">
        <v>971</v>
      </c>
      <c r="D1839" s="19" t="s">
        <v>982</v>
      </c>
      <c r="E1839" s="19">
        <v>7</v>
      </c>
      <c r="F1839" s="19" t="s">
        <v>0</v>
      </c>
      <c r="G1839" s="20" t="s">
        <v>183</v>
      </c>
      <c r="H1839" s="36">
        <v>29900</v>
      </c>
      <c r="I1839" s="36">
        <v>29900</v>
      </c>
      <c r="J1839" s="25">
        <v>263700</v>
      </c>
    </row>
    <row r="1840" spans="1:10" ht="16" x14ac:dyDescent="0.45">
      <c r="A1840" s="153" t="str">
        <f>B1840&amp;C1840&amp;E1840&amp;G1840</f>
        <v>프레임모던라운드프레임9서비스프리</v>
      </c>
      <c r="B1840" s="17" t="s">
        <v>487</v>
      </c>
      <c r="C1840" s="18" t="s">
        <v>971</v>
      </c>
      <c r="D1840" s="19" t="s">
        <v>982</v>
      </c>
      <c r="E1840" s="19">
        <v>9</v>
      </c>
      <c r="F1840" s="19" t="s">
        <v>0</v>
      </c>
      <c r="G1840" s="20" t="s">
        <v>183</v>
      </c>
      <c r="H1840" s="36">
        <v>24900</v>
      </c>
      <c r="I1840" s="36">
        <v>24900</v>
      </c>
      <c r="J1840" s="25">
        <v>263700</v>
      </c>
    </row>
    <row r="1841" spans="1:10" ht="16" x14ac:dyDescent="0.45">
      <c r="A1841" s="153" t="str">
        <f>B1841&amp;C1841&amp;E1841&amp;G1841</f>
        <v>프레임모던어반프레임5서비스프리</v>
      </c>
      <c r="B1841" s="17" t="s">
        <v>487</v>
      </c>
      <c r="C1841" s="18" t="s">
        <v>559</v>
      </c>
      <c r="D1841" s="19" t="s">
        <v>308</v>
      </c>
      <c r="E1841" s="19">
        <v>5</v>
      </c>
      <c r="F1841" s="19" t="s">
        <v>0</v>
      </c>
      <c r="G1841" s="20" t="s">
        <v>183</v>
      </c>
      <c r="H1841" s="36">
        <v>38900</v>
      </c>
      <c r="I1841" s="36">
        <v>38900</v>
      </c>
      <c r="J1841" s="25">
        <v>239700</v>
      </c>
    </row>
    <row r="1842" spans="1:10" ht="16" x14ac:dyDescent="0.45">
      <c r="A1842" s="153" t="str">
        <f>B1842&amp;C1842&amp;E1842&amp;G1842</f>
        <v>프레임모던어반프레임6서비스프리</v>
      </c>
      <c r="B1842" s="17" t="s">
        <v>487</v>
      </c>
      <c r="C1842" s="18" t="s">
        <v>559</v>
      </c>
      <c r="D1842" s="19" t="s">
        <v>308</v>
      </c>
      <c r="E1842" s="19">
        <v>6</v>
      </c>
      <c r="F1842" s="19" t="s">
        <v>0</v>
      </c>
      <c r="G1842" s="20" t="s">
        <v>183</v>
      </c>
      <c r="H1842" s="36">
        <v>33900</v>
      </c>
      <c r="I1842" s="36">
        <v>33900</v>
      </c>
      <c r="J1842" s="25">
        <v>239700</v>
      </c>
    </row>
    <row r="1843" spans="1:10" ht="16" x14ac:dyDescent="0.45">
      <c r="A1843" s="153" t="str">
        <f>B1843&amp;C1843&amp;E1843&amp;G1843</f>
        <v>프레임모던어반프레임7서비스프리</v>
      </c>
      <c r="B1843" s="17" t="s">
        <v>487</v>
      </c>
      <c r="C1843" s="18" t="s">
        <v>559</v>
      </c>
      <c r="D1843" s="19" t="s">
        <v>308</v>
      </c>
      <c r="E1843" s="19">
        <v>7</v>
      </c>
      <c r="F1843" s="19" t="s">
        <v>0</v>
      </c>
      <c r="G1843" s="20" t="s">
        <v>183</v>
      </c>
      <c r="H1843" s="36">
        <v>28900</v>
      </c>
      <c r="I1843" s="36">
        <v>28900</v>
      </c>
      <c r="J1843" s="25">
        <v>263700</v>
      </c>
    </row>
    <row r="1844" spans="1:10" ht="16" x14ac:dyDescent="0.45">
      <c r="A1844" s="153" t="str">
        <f>B1844&amp;C1844&amp;E1844&amp;G1844</f>
        <v>프레임모던어반프레임5서비스프리</v>
      </c>
      <c r="B1844" s="17" t="s">
        <v>487</v>
      </c>
      <c r="C1844" s="18" t="s">
        <v>559</v>
      </c>
      <c r="D1844" s="19" t="s">
        <v>309</v>
      </c>
      <c r="E1844" s="19">
        <v>5</v>
      </c>
      <c r="F1844" s="19" t="s">
        <v>0</v>
      </c>
      <c r="G1844" s="20" t="s">
        <v>183</v>
      </c>
      <c r="H1844" s="36">
        <v>35900</v>
      </c>
      <c r="I1844" s="36">
        <v>35900</v>
      </c>
      <c r="J1844" s="25">
        <v>231100</v>
      </c>
    </row>
    <row r="1845" spans="1:10" ht="16" x14ac:dyDescent="0.45">
      <c r="A1845" s="153" t="str">
        <f>B1845&amp;C1845&amp;E1845&amp;G1845</f>
        <v>프레임모던어반프레임6서비스프리</v>
      </c>
      <c r="B1845" s="17" t="s">
        <v>487</v>
      </c>
      <c r="C1845" s="18" t="s">
        <v>559</v>
      </c>
      <c r="D1845" s="19" t="s">
        <v>309</v>
      </c>
      <c r="E1845" s="19">
        <v>6</v>
      </c>
      <c r="F1845" s="19" t="s">
        <v>0</v>
      </c>
      <c r="G1845" s="20" t="s">
        <v>183</v>
      </c>
      <c r="H1845" s="36">
        <v>30900</v>
      </c>
      <c r="I1845" s="36">
        <v>30900</v>
      </c>
      <c r="J1845" s="25">
        <v>231100</v>
      </c>
    </row>
    <row r="1846" spans="1:10" ht="16" x14ac:dyDescent="0.45">
      <c r="A1846" s="153" t="str">
        <f>B1846&amp;C1846&amp;E1846&amp;G1846</f>
        <v>프레임모던어반프레임7서비스프리</v>
      </c>
      <c r="B1846" s="17" t="s">
        <v>487</v>
      </c>
      <c r="C1846" s="18" t="s">
        <v>559</v>
      </c>
      <c r="D1846" s="19" t="s">
        <v>309</v>
      </c>
      <c r="E1846" s="19">
        <v>7</v>
      </c>
      <c r="F1846" s="19" t="s">
        <v>0</v>
      </c>
      <c r="G1846" s="20" t="s">
        <v>183</v>
      </c>
      <c r="H1846" s="36">
        <v>25900</v>
      </c>
      <c r="I1846" s="36">
        <v>25900</v>
      </c>
      <c r="J1846" s="25">
        <v>254200</v>
      </c>
    </row>
    <row r="1847" spans="1:10" ht="16" x14ac:dyDescent="0.45">
      <c r="A1847" s="153" t="str">
        <f>B1847&amp;C1847&amp;E1847&amp;G1847</f>
        <v>프레임모던플러스 파운데이션5서비스프리</v>
      </c>
      <c r="B1847" s="17" t="s">
        <v>1076</v>
      </c>
      <c r="C1847" s="18" t="s">
        <v>1082</v>
      </c>
      <c r="D1847" s="19" t="s">
        <v>1084</v>
      </c>
      <c r="E1847" s="19">
        <v>5</v>
      </c>
      <c r="F1847" s="19" t="s">
        <v>0</v>
      </c>
      <c r="G1847" s="20" t="s">
        <v>183</v>
      </c>
      <c r="H1847" s="36">
        <v>21900</v>
      </c>
      <c r="I1847" s="36"/>
      <c r="J1847" s="25">
        <v>197400</v>
      </c>
    </row>
    <row r="1848" spans="1:10" ht="16" x14ac:dyDescent="0.45">
      <c r="A1848" s="153" t="str">
        <f>B1848&amp;C1848&amp;E1848&amp;G1848</f>
        <v>프레임모던플러스 파운데이션7서비스프리</v>
      </c>
      <c r="B1848" s="17" t="s">
        <v>1076</v>
      </c>
      <c r="C1848" s="18" t="s">
        <v>1082</v>
      </c>
      <c r="D1848" s="19" t="s">
        <v>1084</v>
      </c>
      <c r="E1848" s="19">
        <v>7</v>
      </c>
      <c r="F1848" s="19" t="s">
        <v>0</v>
      </c>
      <c r="G1848" s="20" t="s">
        <v>183</v>
      </c>
      <c r="H1848" s="36">
        <v>19900</v>
      </c>
      <c r="I1848" s="36"/>
      <c r="J1848" s="25">
        <v>217100</v>
      </c>
    </row>
    <row r="1849" spans="1:10" ht="16" x14ac:dyDescent="0.45">
      <c r="A1849" s="153" t="str">
        <f>B1849&amp;C1849&amp;E1849&amp;G1849</f>
        <v>프레임모던플러스 파운데이션9서비스프리</v>
      </c>
      <c r="B1849" s="17" t="s">
        <v>1076</v>
      </c>
      <c r="C1849" s="18" t="s">
        <v>1082</v>
      </c>
      <c r="D1849" s="19" t="s">
        <v>1084</v>
      </c>
      <c r="E1849" s="19">
        <v>9</v>
      </c>
      <c r="F1849" s="19" t="s">
        <v>0</v>
      </c>
      <c r="G1849" s="20" t="s">
        <v>183</v>
      </c>
      <c r="H1849" s="36">
        <v>17900</v>
      </c>
      <c r="I1849" s="36"/>
      <c r="J1849" s="25">
        <v>217100</v>
      </c>
    </row>
    <row r="1850" spans="1:10" ht="16" x14ac:dyDescent="0.45">
      <c r="A1850" s="153" t="str">
        <f>B1850&amp;C1850&amp;E1850&amp;G1850</f>
        <v>프레임모던플러스 파운데이션5서비스프리</v>
      </c>
      <c r="B1850" s="17" t="s">
        <v>1076</v>
      </c>
      <c r="C1850" s="18" t="s">
        <v>1082</v>
      </c>
      <c r="D1850" s="19" t="s">
        <v>1083</v>
      </c>
      <c r="E1850" s="19">
        <v>5</v>
      </c>
      <c r="F1850" s="19" t="s">
        <v>0</v>
      </c>
      <c r="G1850" s="20" t="s">
        <v>183</v>
      </c>
      <c r="H1850" s="36">
        <v>22900</v>
      </c>
      <c r="I1850" s="36"/>
      <c r="J1850" s="25">
        <v>208600</v>
      </c>
    </row>
    <row r="1851" spans="1:10" ht="16" x14ac:dyDescent="0.45">
      <c r="A1851" s="153" t="str">
        <f>B1851&amp;C1851&amp;E1851&amp;G1851</f>
        <v>프레임모던플러스 파운데이션7서비스프리</v>
      </c>
      <c r="B1851" s="17" t="s">
        <v>1076</v>
      </c>
      <c r="C1851" s="18" t="s">
        <v>1082</v>
      </c>
      <c r="D1851" s="19" t="s">
        <v>1083</v>
      </c>
      <c r="E1851" s="19">
        <v>7</v>
      </c>
      <c r="F1851" s="19" t="s">
        <v>0</v>
      </c>
      <c r="G1851" s="20" t="s">
        <v>183</v>
      </c>
      <c r="H1851" s="36">
        <v>20900</v>
      </c>
      <c r="I1851" s="36"/>
      <c r="J1851" s="25">
        <v>229500</v>
      </c>
    </row>
    <row r="1852" spans="1:10" ht="16" x14ac:dyDescent="0.45">
      <c r="A1852" s="153" t="str">
        <f>B1852&amp;C1852&amp;E1852&amp;G1852</f>
        <v>프레임모던플러스 파운데이션9서비스프리</v>
      </c>
      <c r="B1852" s="17" t="s">
        <v>1076</v>
      </c>
      <c r="C1852" s="18" t="s">
        <v>1082</v>
      </c>
      <c r="D1852" s="19" t="s">
        <v>1083</v>
      </c>
      <c r="E1852" s="19">
        <v>9</v>
      </c>
      <c r="F1852" s="19" t="s">
        <v>0</v>
      </c>
      <c r="G1852" s="20" t="s">
        <v>183</v>
      </c>
      <c r="H1852" s="36">
        <v>18900</v>
      </c>
      <c r="I1852" s="36"/>
      <c r="J1852" s="25">
        <v>229500</v>
      </c>
    </row>
    <row r="1853" spans="1:10" ht="16" x14ac:dyDescent="0.45">
      <c r="A1853" s="153" t="str">
        <f>B1853&amp;C1853&amp;E1853&amp;G1853</f>
        <v>프레임모던플러스 파운데이션5서비스프리</v>
      </c>
      <c r="B1853" s="17" t="s">
        <v>1076</v>
      </c>
      <c r="C1853" s="18" t="s">
        <v>1082</v>
      </c>
      <c r="D1853" s="19" t="s">
        <v>1085</v>
      </c>
      <c r="E1853" s="19">
        <v>5</v>
      </c>
      <c r="F1853" s="19" t="s">
        <v>0</v>
      </c>
      <c r="G1853" s="20" t="s">
        <v>183</v>
      </c>
      <c r="H1853" s="36">
        <v>20900</v>
      </c>
      <c r="I1853" s="36"/>
      <c r="J1853" s="25">
        <v>197400</v>
      </c>
    </row>
    <row r="1854" spans="1:10" ht="16" x14ac:dyDescent="0.45">
      <c r="A1854" s="153" t="str">
        <f>B1854&amp;C1854&amp;E1854&amp;G1854</f>
        <v>프레임모던플러스 파운데이션7서비스프리</v>
      </c>
      <c r="B1854" s="17" t="s">
        <v>1076</v>
      </c>
      <c r="C1854" s="18" t="s">
        <v>1082</v>
      </c>
      <c r="D1854" s="19" t="s">
        <v>1085</v>
      </c>
      <c r="E1854" s="19">
        <v>7</v>
      </c>
      <c r="F1854" s="19" t="s">
        <v>0</v>
      </c>
      <c r="G1854" s="20" t="s">
        <v>183</v>
      </c>
      <c r="H1854" s="36">
        <v>18900</v>
      </c>
      <c r="I1854" s="36"/>
      <c r="J1854" s="25">
        <v>217100</v>
      </c>
    </row>
    <row r="1855" spans="1:10" ht="16" x14ac:dyDescent="0.45">
      <c r="A1855" s="153" t="str">
        <f>B1855&amp;C1855&amp;E1855&amp;G1855</f>
        <v>프레임모던플러스 파운데이션9서비스프리</v>
      </c>
      <c r="B1855" s="17" t="s">
        <v>1076</v>
      </c>
      <c r="C1855" s="18" t="s">
        <v>1082</v>
      </c>
      <c r="D1855" s="19" t="s">
        <v>1085</v>
      </c>
      <c r="E1855" s="19">
        <v>9</v>
      </c>
      <c r="F1855" s="19" t="s">
        <v>0</v>
      </c>
      <c r="G1855" s="20" t="s">
        <v>183</v>
      </c>
      <c r="H1855" s="36">
        <v>16900</v>
      </c>
      <c r="I1855" s="36"/>
      <c r="J1855" s="25">
        <v>217100</v>
      </c>
    </row>
    <row r="1856" spans="1:10" ht="16" x14ac:dyDescent="0.45">
      <c r="A1856" s="153" t="str">
        <f>B1856&amp;C1856&amp;E1856&amp;G1856</f>
        <v>프레임모던플러스 파운데이션5서비스프리</v>
      </c>
      <c r="B1856" s="17" t="s">
        <v>1076</v>
      </c>
      <c r="C1856" s="18" t="s">
        <v>1082</v>
      </c>
      <c r="D1856" s="19" t="s">
        <v>1086</v>
      </c>
      <c r="E1856" s="19">
        <v>5</v>
      </c>
      <c r="F1856" s="19" t="s">
        <v>0</v>
      </c>
      <c r="G1856" s="20" t="s">
        <v>183</v>
      </c>
      <c r="H1856" s="36">
        <v>19900</v>
      </c>
      <c r="I1856" s="36"/>
      <c r="J1856" s="25">
        <v>197400</v>
      </c>
    </row>
    <row r="1857" spans="1:10" ht="16" x14ac:dyDescent="0.45">
      <c r="A1857" s="153" t="str">
        <f>B1857&amp;C1857&amp;E1857&amp;G1857</f>
        <v>프레임모던플러스 파운데이션7서비스프리</v>
      </c>
      <c r="B1857" s="17" t="s">
        <v>1076</v>
      </c>
      <c r="C1857" s="18" t="s">
        <v>1082</v>
      </c>
      <c r="D1857" s="19" t="s">
        <v>1086</v>
      </c>
      <c r="E1857" s="19">
        <v>7</v>
      </c>
      <c r="F1857" s="19" t="s">
        <v>0</v>
      </c>
      <c r="G1857" s="20" t="s">
        <v>183</v>
      </c>
      <c r="H1857" s="36">
        <v>17900</v>
      </c>
      <c r="I1857" s="36"/>
      <c r="J1857" s="25">
        <v>217100</v>
      </c>
    </row>
    <row r="1858" spans="1:10" ht="16" x14ac:dyDescent="0.45">
      <c r="A1858" s="153" t="str">
        <f>B1858&amp;C1858&amp;E1858&amp;G1858</f>
        <v>프레임모던플러스 파운데이션9서비스프리</v>
      </c>
      <c r="B1858" s="17" t="s">
        <v>1076</v>
      </c>
      <c r="C1858" s="18" t="s">
        <v>1082</v>
      </c>
      <c r="D1858" s="19" t="s">
        <v>1086</v>
      </c>
      <c r="E1858" s="19">
        <v>9</v>
      </c>
      <c r="F1858" s="19" t="s">
        <v>0</v>
      </c>
      <c r="G1858" s="20" t="s">
        <v>183</v>
      </c>
      <c r="H1858" s="36">
        <v>15900</v>
      </c>
      <c r="I1858" s="36"/>
      <c r="J1858" s="25">
        <v>217100</v>
      </c>
    </row>
    <row r="1859" spans="1:10" ht="16" x14ac:dyDescent="0.45">
      <c r="A1859" s="153" t="str">
        <f>B1859&amp;C1859&amp;E1859&amp;G1859</f>
        <v>프레임볼륨 프레임5서비스프리</v>
      </c>
      <c r="B1859" s="17" t="s">
        <v>487</v>
      </c>
      <c r="C1859" s="18" t="s">
        <v>560</v>
      </c>
      <c r="D1859" s="19" t="s">
        <v>711</v>
      </c>
      <c r="E1859" s="19">
        <v>5</v>
      </c>
      <c r="F1859" s="19" t="s">
        <v>0</v>
      </c>
      <c r="G1859" s="20" t="s">
        <v>183</v>
      </c>
      <c r="H1859" s="36">
        <v>33900</v>
      </c>
      <c r="I1859" s="36">
        <v>33900</v>
      </c>
      <c r="J1859" s="25">
        <v>231100</v>
      </c>
    </row>
    <row r="1860" spans="1:10" ht="16" x14ac:dyDescent="0.45">
      <c r="A1860" s="153" t="str">
        <f>B1860&amp;C1860&amp;E1860&amp;G1860</f>
        <v>프레임볼륨 프레임7서비스프리</v>
      </c>
      <c r="B1860" s="17" t="s">
        <v>487</v>
      </c>
      <c r="C1860" s="18" t="s">
        <v>560</v>
      </c>
      <c r="D1860" s="19" t="s">
        <v>711</v>
      </c>
      <c r="E1860" s="19">
        <v>7</v>
      </c>
      <c r="F1860" s="19" t="s">
        <v>0</v>
      </c>
      <c r="G1860" s="20" t="s">
        <v>183</v>
      </c>
      <c r="H1860" s="36">
        <v>27900</v>
      </c>
      <c r="I1860" s="36">
        <v>27900</v>
      </c>
      <c r="J1860" s="25">
        <v>254200</v>
      </c>
    </row>
    <row r="1861" spans="1:10" ht="16" x14ac:dyDescent="0.45">
      <c r="A1861" s="153" t="str">
        <f>B1861&amp;C1861&amp;E1861&amp;G1861</f>
        <v>프레임볼륨 프레임9서비스프리</v>
      </c>
      <c r="B1861" s="17" t="s">
        <v>487</v>
      </c>
      <c r="C1861" s="18" t="s">
        <v>560</v>
      </c>
      <c r="D1861" s="19" t="s">
        <v>711</v>
      </c>
      <c r="E1861" s="19">
        <v>9</v>
      </c>
      <c r="F1861" s="19" t="s">
        <v>0</v>
      </c>
      <c r="G1861" s="20" t="s">
        <v>183</v>
      </c>
      <c r="H1861" s="36">
        <v>24900</v>
      </c>
      <c r="I1861" s="36">
        <v>24900</v>
      </c>
      <c r="J1861" s="25">
        <v>254200</v>
      </c>
    </row>
    <row r="1862" spans="1:10" ht="16" x14ac:dyDescent="0.45">
      <c r="A1862" s="153" t="str">
        <f>B1862&amp;C1862&amp;E1862&amp;G1862</f>
        <v>프레임볼륨 프레임5서비스프리</v>
      </c>
      <c r="B1862" s="17" t="s">
        <v>487</v>
      </c>
      <c r="C1862" s="18" t="s">
        <v>560</v>
      </c>
      <c r="D1862" s="19" t="s">
        <v>710</v>
      </c>
      <c r="E1862" s="19">
        <v>5</v>
      </c>
      <c r="F1862" s="19" t="s">
        <v>0</v>
      </c>
      <c r="G1862" s="20" t="s">
        <v>183</v>
      </c>
      <c r="H1862" s="36">
        <v>40900</v>
      </c>
      <c r="I1862" s="36">
        <v>40900</v>
      </c>
      <c r="J1862" s="25">
        <v>251000</v>
      </c>
    </row>
    <row r="1863" spans="1:10" ht="16" x14ac:dyDescent="0.45">
      <c r="A1863" s="153" t="str">
        <f>B1863&amp;C1863&amp;E1863&amp;G1863</f>
        <v>프레임볼륨 프레임7서비스프리</v>
      </c>
      <c r="B1863" s="17" t="s">
        <v>487</v>
      </c>
      <c r="C1863" s="18" t="s">
        <v>560</v>
      </c>
      <c r="D1863" s="19" t="s">
        <v>710</v>
      </c>
      <c r="E1863" s="19">
        <v>7</v>
      </c>
      <c r="F1863" s="19" t="s">
        <v>0</v>
      </c>
      <c r="G1863" s="20" t="s">
        <v>183</v>
      </c>
      <c r="H1863" s="36">
        <v>30900</v>
      </c>
      <c r="I1863" s="36">
        <v>30900</v>
      </c>
      <c r="J1863" s="25">
        <v>276100</v>
      </c>
    </row>
    <row r="1864" spans="1:10" ht="16" x14ac:dyDescent="0.45">
      <c r="A1864" s="153" t="str">
        <f>B1864&amp;C1864&amp;E1864&amp;G1864</f>
        <v>프레임볼륨 프레임9서비스프리</v>
      </c>
      <c r="B1864" s="17" t="s">
        <v>487</v>
      </c>
      <c r="C1864" s="18" t="s">
        <v>560</v>
      </c>
      <c r="D1864" s="19" t="s">
        <v>710</v>
      </c>
      <c r="E1864" s="19">
        <v>9</v>
      </c>
      <c r="F1864" s="19" t="s">
        <v>0</v>
      </c>
      <c r="G1864" s="20" t="s">
        <v>183</v>
      </c>
      <c r="H1864" s="36">
        <v>25900</v>
      </c>
      <c r="I1864" s="36">
        <v>25900</v>
      </c>
      <c r="J1864" s="25">
        <v>276100</v>
      </c>
    </row>
    <row r="1865" spans="1:10" ht="16" x14ac:dyDescent="0.45">
      <c r="A1865" s="153" t="str">
        <f>B1865&amp;C1865&amp;E1865&amp;G1865</f>
        <v>프레임볼륨 프레임5서비스프리</v>
      </c>
      <c r="B1865" s="17" t="s">
        <v>487</v>
      </c>
      <c r="C1865" s="18" t="s">
        <v>560</v>
      </c>
      <c r="D1865" s="19" t="s">
        <v>712</v>
      </c>
      <c r="E1865" s="19">
        <v>5</v>
      </c>
      <c r="F1865" s="19" t="s">
        <v>0</v>
      </c>
      <c r="G1865" s="20" t="s">
        <v>183</v>
      </c>
      <c r="H1865" s="36">
        <v>31900</v>
      </c>
      <c r="I1865" s="36">
        <v>31900</v>
      </c>
      <c r="J1865" s="25">
        <v>231100</v>
      </c>
    </row>
    <row r="1866" spans="1:10" ht="16" x14ac:dyDescent="0.45">
      <c r="A1866" s="153" t="str">
        <f>B1866&amp;C1866&amp;E1866&amp;G1866</f>
        <v>프레임볼륨 프레임7서비스프리</v>
      </c>
      <c r="B1866" s="17" t="s">
        <v>487</v>
      </c>
      <c r="C1866" s="18" t="s">
        <v>560</v>
      </c>
      <c r="D1866" s="19" t="s">
        <v>712</v>
      </c>
      <c r="E1866" s="19">
        <v>7</v>
      </c>
      <c r="F1866" s="19" t="s">
        <v>0</v>
      </c>
      <c r="G1866" s="20" t="s">
        <v>183</v>
      </c>
      <c r="H1866" s="36">
        <v>25900</v>
      </c>
      <c r="I1866" s="36">
        <v>25900</v>
      </c>
      <c r="J1866" s="25">
        <v>254200</v>
      </c>
    </row>
    <row r="1867" spans="1:10" ht="16" x14ac:dyDescent="0.45">
      <c r="A1867" s="153" t="str">
        <f>B1867&amp;C1867&amp;E1867&amp;G1867</f>
        <v>프레임볼륨 프레임9서비스프리</v>
      </c>
      <c r="B1867" s="17" t="s">
        <v>487</v>
      </c>
      <c r="C1867" s="18" t="s">
        <v>560</v>
      </c>
      <c r="D1867" s="19" t="s">
        <v>712</v>
      </c>
      <c r="E1867" s="19">
        <v>9</v>
      </c>
      <c r="F1867" s="19" t="s">
        <v>0</v>
      </c>
      <c r="G1867" s="20" t="s">
        <v>183</v>
      </c>
      <c r="H1867" s="36">
        <v>22900</v>
      </c>
      <c r="I1867" s="36">
        <v>22900</v>
      </c>
      <c r="J1867" s="25">
        <v>254200</v>
      </c>
    </row>
    <row r="1868" spans="1:10" ht="16" x14ac:dyDescent="0.45">
      <c r="A1868" s="153" t="str">
        <f>B1868&amp;C1868&amp;E1868&amp;G1868</f>
        <v>프레임볼륨 프레임5서비스프리</v>
      </c>
      <c r="B1868" s="17" t="s">
        <v>487</v>
      </c>
      <c r="C1868" s="18" t="s">
        <v>560</v>
      </c>
      <c r="D1868" s="19" t="s">
        <v>713</v>
      </c>
      <c r="E1868" s="19">
        <v>5</v>
      </c>
      <c r="F1868" s="19" t="s">
        <v>0</v>
      </c>
      <c r="G1868" s="20" t="s">
        <v>183</v>
      </c>
      <c r="H1868" s="36">
        <v>29900</v>
      </c>
      <c r="I1868" s="36">
        <v>29900</v>
      </c>
      <c r="J1868" s="25">
        <v>219800</v>
      </c>
    </row>
    <row r="1869" spans="1:10" ht="16" x14ac:dyDescent="0.45">
      <c r="A1869" s="153" t="str">
        <f>B1869&amp;C1869&amp;E1869&amp;G1869</f>
        <v>프레임볼륨 프레임7서비스프리</v>
      </c>
      <c r="B1869" s="17" t="s">
        <v>487</v>
      </c>
      <c r="C1869" s="18" t="s">
        <v>560</v>
      </c>
      <c r="D1869" s="19" t="s">
        <v>713</v>
      </c>
      <c r="E1869" s="19">
        <v>7</v>
      </c>
      <c r="F1869" s="19" t="s">
        <v>0</v>
      </c>
      <c r="G1869" s="20" t="s">
        <v>183</v>
      </c>
      <c r="H1869" s="36">
        <v>23900</v>
      </c>
      <c r="I1869" s="36">
        <v>23900</v>
      </c>
      <c r="J1869" s="25">
        <v>241800</v>
      </c>
    </row>
    <row r="1870" spans="1:10" ht="16" x14ac:dyDescent="0.45">
      <c r="A1870" s="153" t="str">
        <f>B1870&amp;C1870&amp;E1870&amp;G1870</f>
        <v>프레임볼륨 프레임9서비스프리</v>
      </c>
      <c r="B1870" s="17" t="s">
        <v>487</v>
      </c>
      <c r="C1870" s="18" t="s">
        <v>560</v>
      </c>
      <c r="D1870" s="19" t="s">
        <v>713</v>
      </c>
      <c r="E1870" s="19">
        <v>9</v>
      </c>
      <c r="F1870" s="19" t="s">
        <v>0</v>
      </c>
      <c r="G1870" s="20" t="s">
        <v>183</v>
      </c>
      <c r="H1870" s="36">
        <v>20900</v>
      </c>
      <c r="I1870" s="36">
        <v>20900</v>
      </c>
      <c r="J1870" s="25">
        <v>241800</v>
      </c>
    </row>
    <row r="1871" spans="1:10" ht="16" x14ac:dyDescent="0.45">
      <c r="A1871" s="153" t="str">
        <f>B1871&amp;C1871&amp;E1871&amp;G1871</f>
        <v>프레임비렉스 R0 일반베드5서비스프리</v>
      </c>
      <c r="B1871" s="17" t="s">
        <v>487</v>
      </c>
      <c r="C1871" s="18" t="s">
        <v>1122</v>
      </c>
      <c r="D1871" s="19" t="s">
        <v>1136</v>
      </c>
      <c r="E1871" s="19">
        <v>5</v>
      </c>
      <c r="F1871" s="19" t="s">
        <v>0</v>
      </c>
      <c r="G1871" s="20" t="s">
        <v>183</v>
      </c>
      <c r="H1871" s="36">
        <v>26900</v>
      </c>
      <c r="I1871" s="36"/>
      <c r="J1871" s="25">
        <v>208600</v>
      </c>
    </row>
    <row r="1872" spans="1:10" ht="16" x14ac:dyDescent="0.45">
      <c r="A1872" s="153" t="str">
        <f>B1872&amp;C1872&amp;E1872&amp;G1872</f>
        <v>프레임비렉스 R0 일반베드7서비스프리</v>
      </c>
      <c r="B1872" s="17" t="s">
        <v>487</v>
      </c>
      <c r="C1872" s="18" t="s">
        <v>1122</v>
      </c>
      <c r="D1872" s="19" t="s">
        <v>1136</v>
      </c>
      <c r="E1872" s="19">
        <v>7</v>
      </c>
      <c r="F1872" s="19" t="s">
        <v>0</v>
      </c>
      <c r="G1872" s="20" t="s">
        <v>183</v>
      </c>
      <c r="H1872" s="36">
        <v>20900</v>
      </c>
      <c r="I1872" s="36"/>
      <c r="J1872" s="25">
        <v>229500</v>
      </c>
    </row>
    <row r="1873" spans="1:10" ht="16" x14ac:dyDescent="0.45">
      <c r="A1873" s="153" t="str">
        <f>B1873&amp;C1873&amp;E1873&amp;G1873</f>
        <v>프레임비렉스 R0 일반베드5서비스프리</v>
      </c>
      <c r="B1873" s="17" t="s">
        <v>487</v>
      </c>
      <c r="C1873" s="18" t="s">
        <v>1122</v>
      </c>
      <c r="D1873" s="19" t="s">
        <v>1137</v>
      </c>
      <c r="E1873" s="19">
        <v>5</v>
      </c>
      <c r="F1873" s="19" t="s">
        <v>0</v>
      </c>
      <c r="G1873" s="20" t="s">
        <v>183</v>
      </c>
      <c r="H1873" s="36">
        <v>26900</v>
      </c>
      <c r="I1873" s="36"/>
      <c r="J1873" s="25">
        <v>208600</v>
      </c>
    </row>
    <row r="1874" spans="1:10" ht="16" x14ac:dyDescent="0.45">
      <c r="A1874" s="153" t="str">
        <f>B1874&amp;C1874&amp;E1874&amp;G1874</f>
        <v>프레임비렉스 R0 일반베드7서비스프리</v>
      </c>
      <c r="B1874" s="17" t="s">
        <v>487</v>
      </c>
      <c r="C1874" s="18" t="s">
        <v>1122</v>
      </c>
      <c r="D1874" s="19" t="s">
        <v>1137</v>
      </c>
      <c r="E1874" s="19">
        <v>7</v>
      </c>
      <c r="F1874" s="19" t="s">
        <v>0</v>
      </c>
      <c r="G1874" s="20" t="s">
        <v>183</v>
      </c>
      <c r="H1874" s="36">
        <v>20900</v>
      </c>
      <c r="I1874" s="36"/>
      <c r="J1874" s="25">
        <v>229500</v>
      </c>
    </row>
    <row r="1875" spans="1:10" ht="16" x14ac:dyDescent="0.45">
      <c r="A1875" s="153" t="str">
        <f>B1875&amp;C1875&amp;E1875&amp;G1875</f>
        <v>프레임비렉스 R0 일반베드5서비스프리</v>
      </c>
      <c r="B1875" s="17" t="s">
        <v>487</v>
      </c>
      <c r="C1875" s="18" t="s">
        <v>1122</v>
      </c>
      <c r="D1875" s="19" t="s">
        <v>1138</v>
      </c>
      <c r="E1875" s="19">
        <v>5</v>
      </c>
      <c r="F1875" s="19" t="s">
        <v>0</v>
      </c>
      <c r="G1875" s="20" t="s">
        <v>183</v>
      </c>
      <c r="H1875" s="36">
        <v>26900</v>
      </c>
      <c r="I1875" s="36"/>
      <c r="J1875" s="25">
        <v>208600</v>
      </c>
    </row>
    <row r="1876" spans="1:10" ht="16" x14ac:dyDescent="0.45">
      <c r="A1876" s="153" t="str">
        <f>B1876&amp;C1876&amp;E1876&amp;G1876</f>
        <v>프레임비렉스 R0 일반베드7서비스프리</v>
      </c>
      <c r="B1876" s="17" t="s">
        <v>487</v>
      </c>
      <c r="C1876" s="18" t="s">
        <v>1122</v>
      </c>
      <c r="D1876" s="19" t="s">
        <v>1138</v>
      </c>
      <c r="E1876" s="19">
        <v>7</v>
      </c>
      <c r="F1876" s="19" t="s">
        <v>0</v>
      </c>
      <c r="G1876" s="20" t="s">
        <v>183</v>
      </c>
      <c r="H1876" s="36">
        <v>20900</v>
      </c>
      <c r="I1876" s="36"/>
      <c r="J1876" s="25">
        <v>229500</v>
      </c>
    </row>
    <row r="1877" spans="1:10" ht="16" x14ac:dyDescent="0.45">
      <c r="A1877" s="153" t="str">
        <f>B1877&amp;C1877&amp;E1877&amp;G1877</f>
        <v>프레임비렉스 R3 모션베드5서비스프리</v>
      </c>
      <c r="B1877" s="17" t="s">
        <v>487</v>
      </c>
      <c r="C1877" s="18" t="s">
        <v>1120</v>
      </c>
      <c r="D1877" s="19" t="s">
        <v>1132</v>
      </c>
      <c r="E1877" s="19">
        <v>5</v>
      </c>
      <c r="F1877" s="19" t="s">
        <v>0</v>
      </c>
      <c r="G1877" s="20" t="s">
        <v>183</v>
      </c>
      <c r="H1877" s="36">
        <v>77900</v>
      </c>
      <c r="I1877" s="36"/>
      <c r="J1877" s="25">
        <v>318400</v>
      </c>
    </row>
    <row r="1878" spans="1:10" ht="16" x14ac:dyDescent="0.45">
      <c r="A1878" s="153" t="str">
        <f>B1878&amp;C1878&amp;E1878&amp;G1878</f>
        <v>프레임비렉스 R3 모션베드7서비스프리</v>
      </c>
      <c r="B1878" s="17" t="s">
        <v>487</v>
      </c>
      <c r="C1878" s="18" t="s">
        <v>1120</v>
      </c>
      <c r="D1878" s="19" t="s">
        <v>1132</v>
      </c>
      <c r="E1878" s="19">
        <v>7</v>
      </c>
      <c r="F1878" s="19" t="s">
        <v>0</v>
      </c>
      <c r="G1878" s="20" t="s">
        <v>183</v>
      </c>
      <c r="H1878" s="36">
        <v>59900</v>
      </c>
      <c r="I1878" s="36"/>
      <c r="J1878" s="25">
        <v>350200</v>
      </c>
    </row>
    <row r="1879" spans="1:10" ht="16" x14ac:dyDescent="0.45">
      <c r="A1879" s="153" t="str">
        <f>B1879&amp;C1879&amp;E1879&amp;G1879</f>
        <v>프레임비렉스 R3 모션베드5서비스프리</v>
      </c>
      <c r="B1879" s="17" t="s">
        <v>487</v>
      </c>
      <c r="C1879" s="18" t="s">
        <v>1120</v>
      </c>
      <c r="D1879" s="19" t="s">
        <v>1133</v>
      </c>
      <c r="E1879" s="19">
        <v>5</v>
      </c>
      <c r="F1879" s="19" t="s">
        <v>0</v>
      </c>
      <c r="G1879" s="20" t="s">
        <v>183</v>
      </c>
      <c r="H1879" s="36">
        <v>77900</v>
      </c>
      <c r="I1879" s="36"/>
      <c r="J1879" s="25">
        <v>318400</v>
      </c>
    </row>
    <row r="1880" spans="1:10" ht="16" x14ac:dyDescent="0.45">
      <c r="A1880" s="153" t="str">
        <f>B1880&amp;C1880&amp;E1880&amp;G1880</f>
        <v>프레임비렉스 R3 모션베드7서비스프리</v>
      </c>
      <c r="B1880" s="17" t="s">
        <v>487</v>
      </c>
      <c r="C1880" s="18" t="s">
        <v>1120</v>
      </c>
      <c r="D1880" s="19" t="s">
        <v>1133</v>
      </c>
      <c r="E1880" s="19">
        <v>7</v>
      </c>
      <c r="F1880" s="19" t="s">
        <v>0</v>
      </c>
      <c r="G1880" s="20" t="s">
        <v>183</v>
      </c>
      <c r="H1880" s="36">
        <v>59900</v>
      </c>
      <c r="I1880" s="36"/>
      <c r="J1880" s="25">
        <v>350200</v>
      </c>
    </row>
    <row r="1881" spans="1:10" ht="16" x14ac:dyDescent="0.45">
      <c r="A1881" s="153" t="str">
        <f>B1881&amp;C1881&amp;E1881&amp;G1881</f>
        <v>프레임비렉스 R3 모션베드5서비스프리</v>
      </c>
      <c r="B1881" s="17" t="s">
        <v>487</v>
      </c>
      <c r="C1881" s="18" t="s">
        <v>1120</v>
      </c>
      <c r="D1881" s="19" t="s">
        <v>1134</v>
      </c>
      <c r="E1881" s="19">
        <v>5</v>
      </c>
      <c r="F1881" s="19" t="s">
        <v>0</v>
      </c>
      <c r="G1881" s="20" t="s">
        <v>183</v>
      </c>
      <c r="H1881" s="36">
        <v>77900</v>
      </c>
      <c r="I1881" s="36"/>
      <c r="J1881" s="25">
        <v>318400</v>
      </c>
    </row>
    <row r="1882" spans="1:10" ht="16" x14ac:dyDescent="0.45">
      <c r="A1882" s="153" t="str">
        <f>B1882&amp;C1882&amp;E1882&amp;G1882</f>
        <v>프레임비렉스 R3 모션베드7서비스프리</v>
      </c>
      <c r="B1882" s="17" t="s">
        <v>487</v>
      </c>
      <c r="C1882" s="18" t="s">
        <v>1120</v>
      </c>
      <c r="D1882" s="19" t="s">
        <v>1134</v>
      </c>
      <c r="E1882" s="19">
        <v>7</v>
      </c>
      <c r="F1882" s="19" t="s">
        <v>0</v>
      </c>
      <c r="G1882" s="20" t="s">
        <v>183</v>
      </c>
      <c r="H1882" s="36">
        <v>59900</v>
      </c>
      <c r="I1882" s="36"/>
      <c r="J1882" s="25">
        <v>350200</v>
      </c>
    </row>
    <row r="1883" spans="1:10" ht="16" x14ac:dyDescent="0.45">
      <c r="A1883" s="153" t="str">
        <f>B1883&amp;C1883&amp;E1883&amp;G1883</f>
        <v>프레임비렉스 R5 스트레칭베드5서비스프리</v>
      </c>
      <c r="B1883" s="17" t="s">
        <v>487</v>
      </c>
      <c r="C1883" s="18" t="s">
        <v>1118</v>
      </c>
      <c r="D1883" s="19" t="s">
        <v>1128</v>
      </c>
      <c r="E1883" s="19">
        <v>5</v>
      </c>
      <c r="F1883" s="19" t="s">
        <v>0</v>
      </c>
      <c r="G1883" s="20" t="s">
        <v>183</v>
      </c>
      <c r="H1883" s="36">
        <v>81900</v>
      </c>
      <c r="I1883" s="36"/>
      <c r="J1883" s="25">
        <v>329600</v>
      </c>
    </row>
    <row r="1884" spans="1:10" ht="16" x14ac:dyDescent="0.45">
      <c r="A1884" s="153" t="str">
        <f>B1884&amp;C1884&amp;E1884&amp;G1884</f>
        <v>프레임비렉스 R5 스트레칭베드7서비스프리</v>
      </c>
      <c r="B1884" s="17" t="s">
        <v>487</v>
      </c>
      <c r="C1884" s="18" t="s">
        <v>1118</v>
      </c>
      <c r="D1884" s="19" t="s">
        <v>1128</v>
      </c>
      <c r="E1884" s="19">
        <v>7</v>
      </c>
      <c r="F1884" s="19" t="s">
        <v>0</v>
      </c>
      <c r="G1884" s="20" t="s">
        <v>183</v>
      </c>
      <c r="H1884" s="36">
        <v>63900</v>
      </c>
      <c r="I1884" s="36"/>
      <c r="J1884" s="25">
        <v>362600</v>
      </c>
    </row>
    <row r="1885" spans="1:10" ht="16" x14ac:dyDescent="0.45">
      <c r="A1885" s="153" t="str">
        <f>B1885&amp;C1885&amp;E1885&amp;G1885</f>
        <v>프레임비렉스 R5 스트레칭베드5서비스프리</v>
      </c>
      <c r="B1885" s="17" t="s">
        <v>487</v>
      </c>
      <c r="C1885" s="18" t="s">
        <v>1118</v>
      </c>
      <c r="D1885" s="19" t="s">
        <v>1129</v>
      </c>
      <c r="E1885" s="19">
        <v>5</v>
      </c>
      <c r="F1885" s="19" t="s">
        <v>0</v>
      </c>
      <c r="G1885" s="20" t="s">
        <v>183</v>
      </c>
      <c r="H1885" s="36">
        <v>81900</v>
      </c>
      <c r="I1885" s="36"/>
      <c r="J1885" s="25">
        <v>329600</v>
      </c>
    </row>
    <row r="1886" spans="1:10" ht="16" x14ac:dyDescent="0.45">
      <c r="A1886" s="153" t="str">
        <f>B1886&amp;C1886&amp;E1886&amp;G1886</f>
        <v>프레임비렉스 R5 스트레칭베드7서비스프리</v>
      </c>
      <c r="B1886" s="17" t="s">
        <v>487</v>
      </c>
      <c r="C1886" s="18" t="s">
        <v>1118</v>
      </c>
      <c r="D1886" s="19" t="s">
        <v>1129</v>
      </c>
      <c r="E1886" s="19">
        <v>7</v>
      </c>
      <c r="F1886" s="19" t="s">
        <v>0</v>
      </c>
      <c r="G1886" s="20" t="s">
        <v>183</v>
      </c>
      <c r="H1886" s="36">
        <v>63900</v>
      </c>
      <c r="I1886" s="36"/>
      <c r="J1886" s="25">
        <v>362600</v>
      </c>
    </row>
    <row r="1887" spans="1:10" ht="16" x14ac:dyDescent="0.45">
      <c r="A1887" s="153" t="str">
        <f>B1887&amp;C1887&amp;E1887&amp;G1887</f>
        <v>프레임비렉스 R5 스트레칭베드5서비스프리</v>
      </c>
      <c r="B1887" s="17" t="s">
        <v>487</v>
      </c>
      <c r="C1887" s="18" t="s">
        <v>1118</v>
      </c>
      <c r="D1887" s="19" t="s">
        <v>1130</v>
      </c>
      <c r="E1887" s="19">
        <v>5</v>
      </c>
      <c r="F1887" s="19" t="s">
        <v>0</v>
      </c>
      <c r="G1887" s="20" t="s">
        <v>183</v>
      </c>
      <c r="H1887" s="36">
        <v>81900</v>
      </c>
      <c r="I1887" s="36"/>
      <c r="J1887" s="25">
        <v>329600</v>
      </c>
    </row>
    <row r="1888" spans="1:10" ht="16" x14ac:dyDescent="0.45">
      <c r="A1888" s="153" t="str">
        <f>B1888&amp;C1888&amp;E1888&amp;G1888</f>
        <v>프레임비렉스 R5 스트레칭베드7서비스프리</v>
      </c>
      <c r="B1888" s="17" t="s">
        <v>487</v>
      </c>
      <c r="C1888" s="18" t="s">
        <v>1118</v>
      </c>
      <c r="D1888" s="19" t="s">
        <v>1130</v>
      </c>
      <c r="E1888" s="19">
        <v>7</v>
      </c>
      <c r="F1888" s="19" t="s">
        <v>0</v>
      </c>
      <c r="G1888" s="20" t="s">
        <v>183</v>
      </c>
      <c r="H1888" s="36">
        <v>63900</v>
      </c>
      <c r="I1888" s="36"/>
      <c r="J1888" s="25">
        <v>362600</v>
      </c>
    </row>
    <row r="1889" spans="1:10" ht="16" x14ac:dyDescent="0.45">
      <c r="A1889" s="153" t="str">
        <f>B1889&amp;C1889&amp;E1889&amp;G1889</f>
        <v>프레임비렉스 R7 스트레칭 모션베드5서비스프리</v>
      </c>
      <c r="B1889" s="17" t="s">
        <v>487</v>
      </c>
      <c r="C1889" s="18" t="s">
        <v>1117</v>
      </c>
      <c r="D1889" s="19" t="s">
        <v>1125</v>
      </c>
      <c r="E1889" s="19">
        <v>5</v>
      </c>
      <c r="F1889" s="19" t="s">
        <v>0</v>
      </c>
      <c r="G1889" s="20" t="s">
        <v>183</v>
      </c>
      <c r="H1889" s="36">
        <v>97900</v>
      </c>
      <c r="I1889" s="36"/>
      <c r="J1889" s="25">
        <v>363400</v>
      </c>
    </row>
    <row r="1890" spans="1:10" ht="16" x14ac:dyDescent="0.45">
      <c r="A1890" s="153" t="str">
        <f>B1890&amp;C1890&amp;E1890&amp;G1890</f>
        <v>프레임비렉스 R7 스트레칭 모션베드7서비스프리</v>
      </c>
      <c r="B1890" s="17" t="s">
        <v>487</v>
      </c>
      <c r="C1890" s="18" t="s">
        <v>1117</v>
      </c>
      <c r="D1890" s="19" t="s">
        <v>1125</v>
      </c>
      <c r="E1890" s="19">
        <v>7</v>
      </c>
      <c r="F1890" s="19" t="s">
        <v>0</v>
      </c>
      <c r="G1890" s="20" t="s">
        <v>183</v>
      </c>
      <c r="H1890" s="36">
        <v>75900</v>
      </c>
      <c r="I1890" s="36"/>
      <c r="J1890" s="25">
        <v>399700</v>
      </c>
    </row>
    <row r="1891" spans="1:10" ht="16" x14ac:dyDescent="0.45">
      <c r="A1891" s="153" t="str">
        <f>B1891&amp;C1891&amp;E1891&amp;G1891</f>
        <v>프레임비렉스 R7 스트레칭 모션베드5서비스프리</v>
      </c>
      <c r="B1891" s="17" t="s">
        <v>487</v>
      </c>
      <c r="C1891" s="18" t="s">
        <v>1117</v>
      </c>
      <c r="D1891" s="19" t="s">
        <v>1126</v>
      </c>
      <c r="E1891" s="19">
        <v>5</v>
      </c>
      <c r="F1891" s="19" t="s">
        <v>0</v>
      </c>
      <c r="G1891" s="20" t="s">
        <v>183</v>
      </c>
      <c r="H1891" s="36">
        <v>97900</v>
      </c>
      <c r="I1891" s="36"/>
      <c r="J1891" s="25">
        <v>363400</v>
      </c>
    </row>
    <row r="1892" spans="1:10" ht="16" x14ac:dyDescent="0.45">
      <c r="A1892" s="153" t="str">
        <f>B1892&amp;C1892&amp;E1892&amp;G1892</f>
        <v>프레임비렉스 R7 스트레칭 모션베드7서비스프리</v>
      </c>
      <c r="B1892" s="17" t="s">
        <v>487</v>
      </c>
      <c r="C1892" s="18" t="s">
        <v>1117</v>
      </c>
      <c r="D1892" s="19" t="s">
        <v>1126</v>
      </c>
      <c r="E1892" s="19">
        <v>7</v>
      </c>
      <c r="F1892" s="19" t="s">
        <v>0</v>
      </c>
      <c r="G1892" s="20" t="s">
        <v>183</v>
      </c>
      <c r="H1892" s="36">
        <v>75900</v>
      </c>
      <c r="I1892" s="36"/>
      <c r="J1892" s="25">
        <v>399700</v>
      </c>
    </row>
    <row r="1893" spans="1:10" ht="16" x14ac:dyDescent="0.45">
      <c r="A1893" s="153" t="str">
        <f>B1893&amp;C1893&amp;E1893&amp;G1893</f>
        <v>프레임비렉스 R7 스트레칭 모션베드5서비스프리</v>
      </c>
      <c r="B1893" s="17" t="s">
        <v>487</v>
      </c>
      <c r="C1893" s="18" t="s">
        <v>1117</v>
      </c>
      <c r="D1893" s="19" t="s">
        <v>1127</v>
      </c>
      <c r="E1893" s="19">
        <v>5</v>
      </c>
      <c r="F1893" s="19" t="s">
        <v>0</v>
      </c>
      <c r="G1893" s="20" t="s">
        <v>183</v>
      </c>
      <c r="H1893" s="36">
        <v>97900</v>
      </c>
      <c r="I1893" s="36"/>
      <c r="J1893" s="25">
        <v>363400</v>
      </c>
    </row>
    <row r="1894" spans="1:10" ht="16" x14ac:dyDescent="0.45">
      <c r="A1894" s="153" t="str">
        <f>B1894&amp;C1894&amp;E1894&amp;G1894</f>
        <v>프레임비렉스 R7 스트레칭 모션베드7서비스프리</v>
      </c>
      <c r="B1894" s="17" t="s">
        <v>487</v>
      </c>
      <c r="C1894" s="18" t="s">
        <v>1117</v>
      </c>
      <c r="D1894" s="19" t="s">
        <v>1127</v>
      </c>
      <c r="E1894" s="19">
        <v>7</v>
      </c>
      <c r="F1894" s="19" t="s">
        <v>0</v>
      </c>
      <c r="G1894" s="20" t="s">
        <v>183</v>
      </c>
      <c r="H1894" s="36">
        <v>75900</v>
      </c>
      <c r="I1894" s="36"/>
      <c r="J1894" s="25">
        <v>399700</v>
      </c>
    </row>
    <row r="1895" spans="1:10" ht="16" x14ac:dyDescent="0.45">
      <c r="A1895" s="153" t="str">
        <f>B1895&amp;C1895&amp;E1895&amp;G1895</f>
        <v>프레임비렉스 RS 스마트베드5서비스프리</v>
      </c>
      <c r="B1895" s="17" t="s">
        <v>487</v>
      </c>
      <c r="C1895" s="18" t="s">
        <v>1121</v>
      </c>
      <c r="D1895" s="19" t="s">
        <v>1135</v>
      </c>
      <c r="E1895" s="19">
        <v>5</v>
      </c>
      <c r="F1895" s="19" t="s">
        <v>0</v>
      </c>
      <c r="G1895" s="20" t="s">
        <v>183</v>
      </c>
      <c r="H1895" s="36">
        <v>20900</v>
      </c>
      <c r="I1895" s="36"/>
      <c r="J1895" s="25">
        <v>197400</v>
      </c>
    </row>
    <row r="1896" spans="1:10" ht="16" x14ac:dyDescent="0.45">
      <c r="A1896" s="153" t="str">
        <f>B1896&amp;C1896&amp;E1896&amp;G1896</f>
        <v>프레임비렉스 RS 스마트베드7서비스프리</v>
      </c>
      <c r="B1896" s="17" t="s">
        <v>487</v>
      </c>
      <c r="C1896" s="18" t="s">
        <v>1121</v>
      </c>
      <c r="D1896" s="19" t="s">
        <v>1135</v>
      </c>
      <c r="E1896" s="19">
        <v>7</v>
      </c>
      <c r="F1896" s="19" t="s">
        <v>0</v>
      </c>
      <c r="G1896" s="20" t="s">
        <v>183</v>
      </c>
      <c r="H1896" s="36">
        <v>16900</v>
      </c>
      <c r="I1896" s="36"/>
      <c r="J1896" s="25">
        <v>217100</v>
      </c>
    </row>
    <row r="1897" spans="1:10" ht="16" x14ac:dyDescent="0.45">
      <c r="A1897" s="153" t="str">
        <f>B1897&amp;C1897&amp;E1897&amp;G1897</f>
        <v>프레임비렉스M(프레임_솔리드)5서비스프리</v>
      </c>
      <c r="B1897" s="17" t="s">
        <v>487</v>
      </c>
      <c r="C1897" s="18" t="s">
        <v>1288</v>
      </c>
      <c r="D1897" s="19" t="s">
        <v>1310</v>
      </c>
      <c r="E1897" s="19">
        <v>5</v>
      </c>
      <c r="F1897" s="19" t="s">
        <v>0</v>
      </c>
      <c r="G1897" s="20" t="s">
        <v>183</v>
      </c>
      <c r="H1897" s="36">
        <v>48900</v>
      </c>
      <c r="I1897" s="36"/>
      <c r="J1897" s="25">
        <v>273400</v>
      </c>
    </row>
    <row r="1898" spans="1:10" ht="16" x14ac:dyDescent="0.45">
      <c r="A1898" s="153" t="str">
        <f>B1898&amp;C1898&amp;E1898&amp;G1898</f>
        <v>프레임비렉스M(프레임_솔리드)7서비스프리</v>
      </c>
      <c r="B1898" s="17" t="s">
        <v>487</v>
      </c>
      <c r="C1898" s="18" t="s">
        <v>1288</v>
      </c>
      <c r="D1898" s="19" t="s">
        <v>1310</v>
      </c>
      <c r="E1898" s="19">
        <v>7</v>
      </c>
      <c r="F1898" s="19" t="s">
        <v>0</v>
      </c>
      <c r="G1898" s="20" t="s">
        <v>183</v>
      </c>
      <c r="H1898" s="36">
        <v>36900</v>
      </c>
      <c r="I1898" s="36"/>
      <c r="J1898" s="25">
        <v>300700</v>
      </c>
    </row>
    <row r="1899" spans="1:10" ht="16" x14ac:dyDescent="0.45">
      <c r="A1899" s="153" t="str">
        <f>B1899&amp;C1899&amp;E1899&amp;G1899</f>
        <v>프레임비렉스M(프레임_솔리드)5서비스프리</v>
      </c>
      <c r="B1899" s="17" t="s">
        <v>487</v>
      </c>
      <c r="C1899" s="18" t="s">
        <v>1288</v>
      </c>
      <c r="D1899" s="19" t="s">
        <v>1306</v>
      </c>
      <c r="E1899" s="19">
        <v>5</v>
      </c>
      <c r="F1899" s="19" t="s">
        <v>0</v>
      </c>
      <c r="G1899" s="20" t="s">
        <v>183</v>
      </c>
      <c r="H1899" s="36">
        <v>40900</v>
      </c>
      <c r="I1899" s="36"/>
      <c r="J1899" s="25">
        <v>239700</v>
      </c>
    </row>
    <row r="1900" spans="1:10" ht="16" x14ac:dyDescent="0.45">
      <c r="A1900" s="153" t="str">
        <f>B1900&amp;C1900&amp;E1900&amp;G1900</f>
        <v>프레임비렉스M(프레임_솔리드)7서비스프리</v>
      </c>
      <c r="B1900" s="17" t="s">
        <v>487</v>
      </c>
      <c r="C1900" s="18" t="s">
        <v>1288</v>
      </c>
      <c r="D1900" s="19" t="s">
        <v>1306</v>
      </c>
      <c r="E1900" s="19">
        <v>7</v>
      </c>
      <c r="F1900" s="19" t="s">
        <v>0</v>
      </c>
      <c r="G1900" s="20" t="s">
        <v>183</v>
      </c>
      <c r="H1900" s="36">
        <v>28900</v>
      </c>
      <c r="I1900" s="36"/>
      <c r="J1900" s="25">
        <v>263700</v>
      </c>
    </row>
    <row r="1901" spans="1:10" ht="16" x14ac:dyDescent="0.45">
      <c r="A1901" s="153" t="str">
        <f>B1901&amp;C1901&amp;E1901&amp;G1901</f>
        <v>프레임비렉스M(프레임_솔리드)5서비스프리</v>
      </c>
      <c r="B1901" s="17" t="s">
        <v>487</v>
      </c>
      <c r="C1901" s="18" t="s">
        <v>1288</v>
      </c>
      <c r="D1901" s="19" t="s">
        <v>1308</v>
      </c>
      <c r="E1901" s="19">
        <v>5</v>
      </c>
      <c r="F1901" s="19" t="s">
        <v>0</v>
      </c>
      <c r="G1901" s="20" t="s">
        <v>183</v>
      </c>
      <c r="H1901" s="36">
        <v>44900</v>
      </c>
      <c r="I1901" s="36"/>
      <c r="J1901" s="25">
        <v>251000</v>
      </c>
    </row>
    <row r="1902" spans="1:10" ht="16" x14ac:dyDescent="0.45">
      <c r="A1902" s="153" t="str">
        <f>B1902&amp;C1902&amp;E1902&amp;G1902</f>
        <v>프레임비렉스M(프레임_솔리드)7서비스프리</v>
      </c>
      <c r="B1902" s="17" t="s">
        <v>487</v>
      </c>
      <c r="C1902" s="18" t="s">
        <v>1288</v>
      </c>
      <c r="D1902" s="19" t="s">
        <v>1308</v>
      </c>
      <c r="E1902" s="19">
        <v>7</v>
      </c>
      <c r="F1902" s="19" t="s">
        <v>0</v>
      </c>
      <c r="G1902" s="20" t="s">
        <v>183</v>
      </c>
      <c r="H1902" s="36">
        <v>32900</v>
      </c>
      <c r="I1902" s="36"/>
      <c r="J1902" s="25">
        <v>276100</v>
      </c>
    </row>
    <row r="1903" spans="1:10" ht="16" x14ac:dyDescent="0.45">
      <c r="A1903" s="153" t="str">
        <f>B1903&amp;C1903&amp;E1903&amp;G1903</f>
        <v>프레임비렉스M(프레임_솔리드)5서비스프리</v>
      </c>
      <c r="B1903" s="17" t="s">
        <v>487</v>
      </c>
      <c r="C1903" s="18" t="s">
        <v>1288</v>
      </c>
      <c r="D1903" s="19" t="s">
        <v>1304</v>
      </c>
      <c r="E1903" s="19">
        <v>5</v>
      </c>
      <c r="F1903" s="19" t="s">
        <v>0</v>
      </c>
      <c r="G1903" s="20" t="s">
        <v>183</v>
      </c>
      <c r="H1903" s="36">
        <v>36900</v>
      </c>
      <c r="I1903" s="36"/>
      <c r="J1903" s="25">
        <v>219800</v>
      </c>
    </row>
    <row r="1904" spans="1:10" ht="16" x14ac:dyDescent="0.45">
      <c r="A1904" s="153" t="str">
        <f>B1904&amp;C1904&amp;E1904&amp;G1904</f>
        <v>프레임비렉스M(프레임_솔리드)7서비스프리</v>
      </c>
      <c r="B1904" s="17" t="s">
        <v>487</v>
      </c>
      <c r="C1904" s="18" t="s">
        <v>1288</v>
      </c>
      <c r="D1904" s="19" t="s">
        <v>1304</v>
      </c>
      <c r="E1904" s="19">
        <v>7</v>
      </c>
      <c r="F1904" s="19" t="s">
        <v>0</v>
      </c>
      <c r="G1904" s="20" t="s">
        <v>183</v>
      </c>
      <c r="H1904" s="36">
        <v>24900</v>
      </c>
      <c r="I1904" s="36"/>
      <c r="J1904" s="25">
        <v>241800</v>
      </c>
    </row>
    <row r="1905" spans="1:10" ht="16" x14ac:dyDescent="0.45">
      <c r="A1905" s="153" t="str">
        <f>B1905&amp;C1905&amp;E1905&amp;G1905</f>
        <v>프레임비렉스M(프레임_솔리드)5서비스프리</v>
      </c>
      <c r="B1905" s="17" t="s">
        <v>487</v>
      </c>
      <c r="C1905" s="18" t="s">
        <v>1288</v>
      </c>
      <c r="D1905" s="19" t="s">
        <v>1302</v>
      </c>
      <c r="E1905" s="19">
        <v>5</v>
      </c>
      <c r="F1905" s="19" t="s">
        <v>0</v>
      </c>
      <c r="G1905" s="20" t="s">
        <v>183</v>
      </c>
      <c r="H1905" s="36">
        <v>32900</v>
      </c>
      <c r="I1905" s="36"/>
      <c r="J1905" s="25">
        <v>208600</v>
      </c>
    </row>
    <row r="1906" spans="1:10" ht="16" x14ac:dyDescent="0.45">
      <c r="A1906" s="153" t="str">
        <f>B1906&amp;C1906&amp;E1906&amp;G1906</f>
        <v>프레임비렉스M(프레임_솔리드)7서비스프리</v>
      </c>
      <c r="B1906" s="17" t="s">
        <v>487</v>
      </c>
      <c r="C1906" s="18" t="s">
        <v>1288</v>
      </c>
      <c r="D1906" s="19" t="s">
        <v>1302</v>
      </c>
      <c r="E1906" s="19">
        <v>7</v>
      </c>
      <c r="F1906" s="19" t="s">
        <v>0</v>
      </c>
      <c r="G1906" s="20" t="s">
        <v>183</v>
      </c>
      <c r="H1906" s="36">
        <v>20900</v>
      </c>
      <c r="I1906" s="36"/>
      <c r="J1906" s="25">
        <v>229500</v>
      </c>
    </row>
    <row r="1907" spans="1:10" ht="16" x14ac:dyDescent="0.45">
      <c r="A1907" s="153" t="str">
        <f>B1907&amp;C1907&amp;E1907&amp;G1907</f>
        <v>프레임비렉스M(프레임_패턴)5서비스프리</v>
      </c>
      <c r="B1907" s="17" t="s">
        <v>487</v>
      </c>
      <c r="C1907" s="18" t="s">
        <v>1289</v>
      </c>
      <c r="D1907" s="19" t="s">
        <v>1311</v>
      </c>
      <c r="E1907" s="19">
        <v>5</v>
      </c>
      <c r="F1907" s="19" t="s">
        <v>0</v>
      </c>
      <c r="G1907" s="20" t="s">
        <v>183</v>
      </c>
      <c r="H1907" s="36">
        <v>48900</v>
      </c>
      <c r="I1907" s="36"/>
      <c r="J1907" s="25">
        <v>273400</v>
      </c>
    </row>
    <row r="1908" spans="1:10" ht="16" x14ac:dyDescent="0.45">
      <c r="A1908" s="153" t="str">
        <f>B1908&amp;C1908&amp;E1908&amp;G1908</f>
        <v>프레임비렉스M(프레임_패턴)7서비스프리</v>
      </c>
      <c r="B1908" s="17" t="s">
        <v>487</v>
      </c>
      <c r="C1908" s="18" t="s">
        <v>1289</v>
      </c>
      <c r="D1908" s="19" t="s">
        <v>1311</v>
      </c>
      <c r="E1908" s="19">
        <v>7</v>
      </c>
      <c r="F1908" s="19" t="s">
        <v>0</v>
      </c>
      <c r="G1908" s="20" t="s">
        <v>183</v>
      </c>
      <c r="H1908" s="36">
        <v>36900</v>
      </c>
      <c r="I1908" s="36"/>
      <c r="J1908" s="25">
        <v>300700</v>
      </c>
    </row>
    <row r="1909" spans="1:10" ht="16" x14ac:dyDescent="0.45">
      <c r="A1909" s="153" t="str">
        <f>B1909&amp;C1909&amp;E1909&amp;G1909</f>
        <v>프레임비렉스M(프레임_패턴)5서비스프리</v>
      </c>
      <c r="B1909" s="17" t="s">
        <v>487</v>
      </c>
      <c r="C1909" s="18" t="s">
        <v>1289</v>
      </c>
      <c r="D1909" s="19" t="s">
        <v>1307</v>
      </c>
      <c r="E1909" s="19">
        <v>5</v>
      </c>
      <c r="F1909" s="19" t="s">
        <v>0</v>
      </c>
      <c r="G1909" s="20" t="s">
        <v>183</v>
      </c>
      <c r="H1909" s="36">
        <v>40900</v>
      </c>
      <c r="I1909" s="36"/>
      <c r="J1909" s="25">
        <v>239700</v>
      </c>
    </row>
    <row r="1910" spans="1:10" ht="16" x14ac:dyDescent="0.45">
      <c r="A1910" s="153" t="str">
        <f>B1910&amp;C1910&amp;E1910&amp;G1910</f>
        <v>프레임비렉스M(프레임_패턴)7서비스프리</v>
      </c>
      <c r="B1910" s="17" t="s">
        <v>487</v>
      </c>
      <c r="C1910" s="18" t="s">
        <v>1289</v>
      </c>
      <c r="D1910" s="19" t="s">
        <v>1307</v>
      </c>
      <c r="E1910" s="19">
        <v>7</v>
      </c>
      <c r="F1910" s="19" t="s">
        <v>0</v>
      </c>
      <c r="G1910" s="20" t="s">
        <v>183</v>
      </c>
      <c r="H1910" s="36">
        <v>28900</v>
      </c>
      <c r="I1910" s="36"/>
      <c r="J1910" s="25">
        <v>263700</v>
      </c>
    </row>
    <row r="1911" spans="1:10" ht="16" x14ac:dyDescent="0.45">
      <c r="A1911" s="153" t="str">
        <f>B1911&amp;C1911&amp;E1911&amp;G1911</f>
        <v>프레임비렉스M(프레임_패턴)5서비스프리</v>
      </c>
      <c r="B1911" s="17" t="s">
        <v>487</v>
      </c>
      <c r="C1911" s="18" t="s">
        <v>1289</v>
      </c>
      <c r="D1911" s="19" t="s">
        <v>1309</v>
      </c>
      <c r="E1911" s="19">
        <v>5</v>
      </c>
      <c r="F1911" s="19" t="s">
        <v>0</v>
      </c>
      <c r="G1911" s="20" t="s">
        <v>183</v>
      </c>
      <c r="H1911" s="36">
        <v>44900</v>
      </c>
      <c r="I1911" s="36"/>
      <c r="J1911" s="25">
        <v>251000</v>
      </c>
    </row>
    <row r="1912" spans="1:10" ht="16" x14ac:dyDescent="0.45">
      <c r="A1912" s="153" t="str">
        <f>B1912&amp;C1912&amp;E1912&amp;G1912</f>
        <v>프레임비렉스M(프레임_패턴)7서비스프리</v>
      </c>
      <c r="B1912" s="17" t="s">
        <v>487</v>
      </c>
      <c r="C1912" s="18" t="s">
        <v>1289</v>
      </c>
      <c r="D1912" s="19" t="s">
        <v>1309</v>
      </c>
      <c r="E1912" s="19">
        <v>7</v>
      </c>
      <c r="F1912" s="19" t="s">
        <v>0</v>
      </c>
      <c r="G1912" s="20" t="s">
        <v>183</v>
      </c>
      <c r="H1912" s="36">
        <v>32900</v>
      </c>
      <c r="I1912" s="36"/>
      <c r="J1912" s="25">
        <v>276100</v>
      </c>
    </row>
    <row r="1913" spans="1:10" ht="16" x14ac:dyDescent="0.45">
      <c r="A1913" s="153" t="str">
        <f>B1913&amp;C1913&amp;E1913&amp;G1913</f>
        <v>프레임비렉스M(프레임_패턴)5서비스프리</v>
      </c>
      <c r="B1913" s="17" t="s">
        <v>487</v>
      </c>
      <c r="C1913" s="18" t="s">
        <v>1289</v>
      </c>
      <c r="D1913" s="19" t="s">
        <v>1305</v>
      </c>
      <c r="E1913" s="19">
        <v>5</v>
      </c>
      <c r="F1913" s="19" t="s">
        <v>0</v>
      </c>
      <c r="G1913" s="20" t="s">
        <v>183</v>
      </c>
      <c r="H1913" s="36">
        <v>36900</v>
      </c>
      <c r="I1913" s="36"/>
      <c r="J1913" s="25">
        <v>219800</v>
      </c>
    </row>
    <row r="1914" spans="1:10" ht="16" x14ac:dyDescent="0.45">
      <c r="A1914" s="153" t="str">
        <f>B1914&amp;C1914&amp;E1914&amp;G1914</f>
        <v>프레임비렉스M(프레임_패턴)7서비스프리</v>
      </c>
      <c r="B1914" s="17" t="s">
        <v>487</v>
      </c>
      <c r="C1914" s="18" t="s">
        <v>1289</v>
      </c>
      <c r="D1914" s="19" t="s">
        <v>1305</v>
      </c>
      <c r="E1914" s="19">
        <v>7</v>
      </c>
      <c r="F1914" s="19" t="s">
        <v>0</v>
      </c>
      <c r="G1914" s="20" t="s">
        <v>183</v>
      </c>
      <c r="H1914" s="36">
        <v>24900</v>
      </c>
      <c r="I1914" s="36"/>
      <c r="J1914" s="25">
        <v>241800</v>
      </c>
    </row>
    <row r="1915" spans="1:10" ht="16" x14ac:dyDescent="0.45">
      <c r="A1915" s="153" t="str">
        <f>B1915&amp;C1915&amp;E1915&amp;G1915</f>
        <v>프레임비렉스M(프레임_패턴)5서비스프리</v>
      </c>
      <c r="B1915" s="17" t="s">
        <v>487</v>
      </c>
      <c r="C1915" s="18" t="s">
        <v>1289</v>
      </c>
      <c r="D1915" s="19" t="s">
        <v>1303</v>
      </c>
      <c r="E1915" s="19">
        <v>5</v>
      </c>
      <c r="F1915" s="19" t="s">
        <v>0</v>
      </c>
      <c r="G1915" s="20" t="s">
        <v>183</v>
      </c>
      <c r="H1915" s="36">
        <v>32900</v>
      </c>
      <c r="I1915" s="36"/>
      <c r="J1915" s="25">
        <v>208600</v>
      </c>
    </row>
    <row r="1916" spans="1:10" ht="16" x14ac:dyDescent="0.45">
      <c r="A1916" s="153" t="str">
        <f>B1916&amp;C1916&amp;E1916&amp;G1916</f>
        <v>프레임비렉스M(프레임_패턴)7서비스프리</v>
      </c>
      <c r="B1916" s="17" t="s">
        <v>487</v>
      </c>
      <c r="C1916" s="18" t="s">
        <v>1289</v>
      </c>
      <c r="D1916" s="19" t="s">
        <v>1303</v>
      </c>
      <c r="E1916" s="19">
        <v>7</v>
      </c>
      <c r="F1916" s="19" t="s">
        <v>0</v>
      </c>
      <c r="G1916" s="20" t="s">
        <v>183</v>
      </c>
      <c r="H1916" s="36">
        <v>20900</v>
      </c>
      <c r="I1916" s="36"/>
      <c r="J1916" s="25">
        <v>229500</v>
      </c>
    </row>
    <row r="1917" spans="1:10" ht="16" x14ac:dyDescent="0.45">
      <c r="A1917" s="153" t="str">
        <f>B1917&amp;C1917&amp;E1917&amp;G1917</f>
        <v>프레임소프트 쿠션프레임5서비스프리</v>
      </c>
      <c r="B1917" s="17" t="s">
        <v>487</v>
      </c>
      <c r="C1917" s="18" t="s">
        <v>561</v>
      </c>
      <c r="D1917" s="19" t="s">
        <v>716</v>
      </c>
      <c r="E1917" s="19">
        <v>5</v>
      </c>
      <c r="F1917" s="19" t="s">
        <v>0</v>
      </c>
      <c r="G1917" s="20" t="s">
        <v>183</v>
      </c>
      <c r="H1917" s="36">
        <v>40900</v>
      </c>
      <c r="I1917" s="36">
        <v>40900</v>
      </c>
      <c r="J1917" s="25">
        <v>251000</v>
      </c>
    </row>
    <row r="1918" spans="1:10" ht="16" x14ac:dyDescent="0.45">
      <c r="A1918" s="153" t="str">
        <f>B1918&amp;C1918&amp;E1918&amp;G1918</f>
        <v>프레임소프트 쿠션프레임7서비스프리</v>
      </c>
      <c r="B1918" s="17" t="s">
        <v>487</v>
      </c>
      <c r="C1918" s="18" t="s">
        <v>561</v>
      </c>
      <c r="D1918" s="19" t="s">
        <v>716</v>
      </c>
      <c r="E1918" s="19">
        <v>7</v>
      </c>
      <c r="F1918" s="19" t="s">
        <v>0</v>
      </c>
      <c r="G1918" s="20" t="s">
        <v>183</v>
      </c>
      <c r="H1918" s="36">
        <v>31900</v>
      </c>
      <c r="I1918" s="36">
        <v>31900</v>
      </c>
      <c r="J1918" s="25">
        <v>276100</v>
      </c>
    </row>
    <row r="1919" spans="1:10" ht="16" x14ac:dyDescent="0.45">
      <c r="A1919" s="153" t="str">
        <f>B1919&amp;C1919&amp;E1919&amp;G1919</f>
        <v>프레임소프트 쿠션프레임9서비스프리</v>
      </c>
      <c r="B1919" s="17" t="s">
        <v>487</v>
      </c>
      <c r="C1919" s="18" t="s">
        <v>561</v>
      </c>
      <c r="D1919" s="19" t="s">
        <v>716</v>
      </c>
      <c r="E1919" s="19">
        <v>9</v>
      </c>
      <c r="F1919" s="19" t="s">
        <v>0</v>
      </c>
      <c r="G1919" s="20" t="s">
        <v>183</v>
      </c>
      <c r="H1919" s="36">
        <v>26900</v>
      </c>
      <c r="I1919" s="36">
        <v>26900</v>
      </c>
      <c r="J1919" s="25">
        <v>276100</v>
      </c>
    </row>
    <row r="1920" spans="1:10" ht="16" x14ac:dyDescent="0.45">
      <c r="A1920" s="153" t="str">
        <f>B1920&amp;C1920&amp;E1920&amp;G1920</f>
        <v>프레임소프트 쿠션프레임5서비스프리</v>
      </c>
      <c r="B1920" s="17" t="s">
        <v>487</v>
      </c>
      <c r="C1920" s="18" t="s">
        <v>561</v>
      </c>
      <c r="D1920" s="19" t="s">
        <v>715</v>
      </c>
      <c r="E1920" s="19">
        <v>5</v>
      </c>
      <c r="F1920" s="19" t="s">
        <v>0</v>
      </c>
      <c r="G1920" s="20" t="s">
        <v>183</v>
      </c>
      <c r="H1920" s="36">
        <v>38900</v>
      </c>
      <c r="I1920" s="36">
        <v>38900</v>
      </c>
      <c r="J1920" s="25">
        <v>239700</v>
      </c>
    </row>
    <row r="1921" spans="1:10" ht="16" x14ac:dyDescent="0.45">
      <c r="A1921" s="153" t="str">
        <f>B1921&amp;C1921&amp;E1921&amp;G1921</f>
        <v>프레임소프트 쿠션프레임7서비스프리</v>
      </c>
      <c r="B1921" s="17" t="s">
        <v>487</v>
      </c>
      <c r="C1921" s="18" t="s">
        <v>561</v>
      </c>
      <c r="D1921" s="19" t="s">
        <v>715</v>
      </c>
      <c r="E1921" s="19">
        <v>7</v>
      </c>
      <c r="F1921" s="19" t="s">
        <v>0</v>
      </c>
      <c r="G1921" s="20" t="s">
        <v>183</v>
      </c>
      <c r="H1921" s="36">
        <v>29900</v>
      </c>
      <c r="I1921" s="36">
        <v>29900</v>
      </c>
      <c r="J1921" s="25">
        <v>263700</v>
      </c>
    </row>
    <row r="1922" spans="1:10" ht="16" x14ac:dyDescent="0.45">
      <c r="A1922" s="153" t="str">
        <f>B1922&amp;C1922&amp;E1922&amp;G1922</f>
        <v>프레임소프트 쿠션프레임9서비스프리</v>
      </c>
      <c r="B1922" s="17" t="s">
        <v>487</v>
      </c>
      <c r="C1922" s="18" t="s">
        <v>561</v>
      </c>
      <c r="D1922" s="19" t="s">
        <v>715</v>
      </c>
      <c r="E1922" s="19">
        <v>9</v>
      </c>
      <c r="F1922" s="19" t="s">
        <v>0</v>
      </c>
      <c r="G1922" s="20" t="s">
        <v>183</v>
      </c>
      <c r="H1922" s="36">
        <v>24900</v>
      </c>
      <c r="I1922" s="36">
        <v>24900</v>
      </c>
      <c r="J1922" s="25">
        <v>263700</v>
      </c>
    </row>
    <row r="1923" spans="1:10" ht="16" x14ac:dyDescent="0.45">
      <c r="A1923" s="153" t="str">
        <f>B1923&amp;C1923&amp;E1923&amp;G1923</f>
        <v>프레임소프트 쿠션프레임5서비스프리</v>
      </c>
      <c r="B1923" s="17" t="s">
        <v>487</v>
      </c>
      <c r="C1923" s="18" t="s">
        <v>561</v>
      </c>
      <c r="D1923" s="19" t="s">
        <v>714</v>
      </c>
      <c r="E1923" s="19">
        <v>5</v>
      </c>
      <c r="F1923" s="19" t="s">
        <v>0</v>
      </c>
      <c r="G1923" s="20" t="s">
        <v>183</v>
      </c>
      <c r="H1923" s="36">
        <v>34900</v>
      </c>
      <c r="I1923" s="36">
        <v>34900</v>
      </c>
      <c r="J1923" s="25">
        <v>231100</v>
      </c>
    </row>
    <row r="1924" spans="1:10" ht="16" x14ac:dyDescent="0.45">
      <c r="A1924" s="153" t="str">
        <f>B1924&amp;C1924&amp;E1924&amp;G1924</f>
        <v>프레임소프트 쿠션프레임7서비스프리</v>
      </c>
      <c r="B1924" s="17" t="s">
        <v>487</v>
      </c>
      <c r="C1924" s="18" t="s">
        <v>561</v>
      </c>
      <c r="D1924" s="19" t="s">
        <v>714</v>
      </c>
      <c r="E1924" s="19">
        <v>7</v>
      </c>
      <c r="F1924" s="19" t="s">
        <v>0</v>
      </c>
      <c r="G1924" s="20" t="s">
        <v>183</v>
      </c>
      <c r="H1924" s="36">
        <v>25900</v>
      </c>
      <c r="I1924" s="36">
        <v>25900</v>
      </c>
      <c r="J1924" s="25">
        <v>254200</v>
      </c>
    </row>
    <row r="1925" spans="1:10" ht="16" x14ac:dyDescent="0.45">
      <c r="A1925" s="153" t="str">
        <f>B1925&amp;C1925&amp;E1925&amp;G1925</f>
        <v>프레임소프트 쿠션프레임9서비스프리</v>
      </c>
      <c r="B1925" s="17" t="s">
        <v>487</v>
      </c>
      <c r="C1925" s="18" t="s">
        <v>561</v>
      </c>
      <c r="D1925" s="19" t="s">
        <v>714</v>
      </c>
      <c r="E1925" s="19">
        <v>9</v>
      </c>
      <c r="F1925" s="19" t="s">
        <v>0</v>
      </c>
      <c r="G1925" s="20" t="s">
        <v>183</v>
      </c>
      <c r="H1925" s="36">
        <v>21900</v>
      </c>
      <c r="I1925" s="36">
        <v>21900</v>
      </c>
      <c r="J1925" s="25">
        <v>254200</v>
      </c>
    </row>
    <row r="1926" spans="1:10" ht="16" x14ac:dyDescent="0.45">
      <c r="A1926" s="153" t="str">
        <f>B1926&amp;C1926&amp;E1926&amp;G1926</f>
        <v>프레임수납형 프레임5서비스프리</v>
      </c>
      <c r="B1926" s="17" t="s">
        <v>487</v>
      </c>
      <c r="C1926" s="18" t="s">
        <v>562</v>
      </c>
      <c r="D1926" s="19" t="s">
        <v>717</v>
      </c>
      <c r="E1926" s="19">
        <v>5</v>
      </c>
      <c r="F1926" s="19" t="s">
        <v>0</v>
      </c>
      <c r="G1926" s="20" t="s">
        <v>183</v>
      </c>
      <c r="H1926" s="36">
        <v>32900</v>
      </c>
      <c r="I1926" s="36">
        <v>32900</v>
      </c>
      <c r="J1926" s="25">
        <v>231100</v>
      </c>
    </row>
    <row r="1927" spans="1:10" ht="16" x14ac:dyDescent="0.45">
      <c r="A1927" s="153" t="str">
        <f>B1927&amp;C1927&amp;E1927&amp;G1927</f>
        <v>프레임수납형 프레임7서비스프리</v>
      </c>
      <c r="B1927" s="17" t="s">
        <v>487</v>
      </c>
      <c r="C1927" s="18" t="s">
        <v>562</v>
      </c>
      <c r="D1927" s="19" t="s">
        <v>717</v>
      </c>
      <c r="E1927" s="19">
        <v>7</v>
      </c>
      <c r="F1927" s="19" t="s">
        <v>0</v>
      </c>
      <c r="G1927" s="20" t="s">
        <v>183</v>
      </c>
      <c r="H1927" s="36">
        <v>25900</v>
      </c>
      <c r="I1927" s="36">
        <v>25900</v>
      </c>
      <c r="J1927" s="25">
        <v>254200</v>
      </c>
    </row>
    <row r="1928" spans="1:10" ht="16" x14ac:dyDescent="0.45">
      <c r="A1928" s="153" t="str">
        <f>B1928&amp;C1928&amp;E1928&amp;G1928</f>
        <v>프레임수납형 프레임9서비스프리</v>
      </c>
      <c r="B1928" s="17" t="s">
        <v>487</v>
      </c>
      <c r="C1928" s="18" t="s">
        <v>562</v>
      </c>
      <c r="D1928" s="19" t="s">
        <v>717</v>
      </c>
      <c r="E1928" s="19">
        <v>9</v>
      </c>
      <c r="F1928" s="19" t="s">
        <v>0</v>
      </c>
      <c r="G1928" s="20" t="s">
        <v>183</v>
      </c>
      <c r="H1928" s="36">
        <v>22900</v>
      </c>
      <c r="I1928" s="36">
        <v>22900</v>
      </c>
      <c r="J1928" s="25">
        <v>254200</v>
      </c>
    </row>
    <row r="1929" spans="1:10" ht="16" x14ac:dyDescent="0.45">
      <c r="A1929" s="153" t="str">
        <f>B1929&amp;C1929&amp;E1929&amp;G1929</f>
        <v>프레임수납형 프레임5서비스프리</v>
      </c>
      <c r="B1929" s="17" t="s">
        <v>487</v>
      </c>
      <c r="C1929" s="18" t="s">
        <v>562</v>
      </c>
      <c r="D1929" s="19" t="s">
        <v>719</v>
      </c>
      <c r="E1929" s="19">
        <v>5</v>
      </c>
      <c r="F1929" s="19" t="s">
        <v>0</v>
      </c>
      <c r="G1929" s="20" t="s">
        <v>183</v>
      </c>
      <c r="H1929" s="36">
        <v>28900</v>
      </c>
      <c r="I1929" s="36">
        <v>28900</v>
      </c>
      <c r="J1929" s="25">
        <v>208600</v>
      </c>
    </row>
    <row r="1930" spans="1:10" ht="16" x14ac:dyDescent="0.45">
      <c r="A1930" s="153" t="str">
        <f>B1930&amp;C1930&amp;E1930&amp;G1930</f>
        <v>프레임수납형 프레임7서비스프리</v>
      </c>
      <c r="B1930" s="17" t="s">
        <v>487</v>
      </c>
      <c r="C1930" s="18" t="s">
        <v>562</v>
      </c>
      <c r="D1930" s="19" t="s">
        <v>719</v>
      </c>
      <c r="E1930" s="19">
        <v>7</v>
      </c>
      <c r="F1930" s="19" t="s">
        <v>0</v>
      </c>
      <c r="G1930" s="20" t="s">
        <v>183</v>
      </c>
      <c r="H1930" s="36">
        <v>21900</v>
      </c>
      <c r="I1930" s="36">
        <v>21900</v>
      </c>
      <c r="J1930" s="25">
        <v>229500</v>
      </c>
    </row>
    <row r="1931" spans="1:10" ht="16" x14ac:dyDescent="0.45">
      <c r="A1931" s="153" t="str">
        <f>B1931&amp;C1931&amp;E1931&amp;G1931</f>
        <v>프레임수납형 프레임9서비스프리</v>
      </c>
      <c r="B1931" s="17" t="s">
        <v>487</v>
      </c>
      <c r="C1931" s="18" t="s">
        <v>562</v>
      </c>
      <c r="D1931" s="19" t="s">
        <v>719</v>
      </c>
      <c r="E1931" s="19">
        <v>9</v>
      </c>
      <c r="F1931" s="19" t="s">
        <v>0</v>
      </c>
      <c r="G1931" s="20" t="s">
        <v>183</v>
      </c>
      <c r="H1931" s="36">
        <v>18900</v>
      </c>
      <c r="I1931" s="36">
        <v>18900</v>
      </c>
      <c r="J1931" s="25">
        <v>229500</v>
      </c>
    </row>
    <row r="1932" spans="1:10" ht="16" x14ac:dyDescent="0.45">
      <c r="A1932" s="153" t="str">
        <f>B1932&amp;C1932&amp;E1932&amp;G1932</f>
        <v>프레임수납형 프레임5서비스프리</v>
      </c>
      <c r="B1932" s="17" t="s">
        <v>487</v>
      </c>
      <c r="C1932" s="18" t="s">
        <v>562</v>
      </c>
      <c r="D1932" s="19" t="s">
        <v>718</v>
      </c>
      <c r="E1932" s="19">
        <v>5</v>
      </c>
      <c r="F1932" s="19" t="s">
        <v>0</v>
      </c>
      <c r="G1932" s="20" t="s">
        <v>183</v>
      </c>
      <c r="H1932" s="36">
        <v>29900</v>
      </c>
      <c r="I1932" s="36">
        <v>29900</v>
      </c>
      <c r="J1932" s="25">
        <v>208600</v>
      </c>
    </row>
    <row r="1933" spans="1:10" ht="16" x14ac:dyDescent="0.45">
      <c r="A1933" s="153" t="str">
        <f>B1933&amp;C1933&amp;E1933&amp;G1933</f>
        <v>프레임수납형 프레임7서비스프리</v>
      </c>
      <c r="B1933" s="17" t="s">
        <v>487</v>
      </c>
      <c r="C1933" s="18" t="s">
        <v>562</v>
      </c>
      <c r="D1933" s="19" t="s">
        <v>718</v>
      </c>
      <c r="E1933" s="19">
        <v>7</v>
      </c>
      <c r="F1933" s="19" t="s">
        <v>0</v>
      </c>
      <c r="G1933" s="20" t="s">
        <v>183</v>
      </c>
      <c r="H1933" s="36">
        <v>22900</v>
      </c>
      <c r="I1933" s="36">
        <v>22900</v>
      </c>
      <c r="J1933" s="25">
        <v>229500</v>
      </c>
    </row>
    <row r="1934" spans="1:10" ht="16" x14ac:dyDescent="0.45">
      <c r="A1934" s="153" t="str">
        <f>B1934&amp;C1934&amp;E1934&amp;G1934</f>
        <v>프레임수납형 프레임9서비스프리</v>
      </c>
      <c r="B1934" s="17" t="s">
        <v>487</v>
      </c>
      <c r="C1934" s="18" t="s">
        <v>562</v>
      </c>
      <c r="D1934" s="19" t="s">
        <v>718</v>
      </c>
      <c r="E1934" s="19">
        <v>9</v>
      </c>
      <c r="F1934" s="19" t="s">
        <v>0</v>
      </c>
      <c r="G1934" s="20" t="s">
        <v>183</v>
      </c>
      <c r="H1934" s="36">
        <v>19900</v>
      </c>
      <c r="I1934" s="36">
        <v>19900</v>
      </c>
      <c r="J1934" s="25">
        <v>229500</v>
      </c>
    </row>
    <row r="1935" spans="1:10" ht="16" x14ac:dyDescent="0.45">
      <c r="A1935" s="153" t="str">
        <f>B1935&amp;C1935&amp;E1935&amp;G1935</f>
        <v>프레임스위트 호텔형 프레임5서비스프리</v>
      </c>
      <c r="B1935" s="17" t="s">
        <v>1076</v>
      </c>
      <c r="C1935" s="18" t="s">
        <v>1077</v>
      </c>
      <c r="D1935" s="19" t="s">
        <v>1079</v>
      </c>
      <c r="E1935" s="19">
        <v>5</v>
      </c>
      <c r="F1935" s="19" t="s">
        <v>0</v>
      </c>
      <c r="G1935" s="20" t="s">
        <v>183</v>
      </c>
      <c r="H1935" s="36">
        <v>44900</v>
      </c>
      <c r="I1935" s="36"/>
      <c r="J1935" s="25">
        <v>262200</v>
      </c>
    </row>
    <row r="1936" spans="1:10" ht="16" x14ac:dyDescent="0.45">
      <c r="A1936" s="153" t="str">
        <f>B1936&amp;C1936&amp;E1936&amp;G1936</f>
        <v>프레임스위트 호텔형 프레임7서비스프리</v>
      </c>
      <c r="B1936" s="17" t="s">
        <v>1076</v>
      </c>
      <c r="C1936" s="18" t="s">
        <v>1077</v>
      </c>
      <c r="D1936" s="19" t="s">
        <v>1079</v>
      </c>
      <c r="E1936" s="19">
        <v>7</v>
      </c>
      <c r="F1936" s="19" t="s">
        <v>0</v>
      </c>
      <c r="G1936" s="20" t="s">
        <v>183</v>
      </c>
      <c r="H1936" s="36">
        <v>34900</v>
      </c>
      <c r="I1936" s="36"/>
      <c r="J1936" s="25">
        <v>288400</v>
      </c>
    </row>
    <row r="1937" spans="1:10" ht="16" x14ac:dyDescent="0.45">
      <c r="A1937" s="153" t="str">
        <f>B1937&amp;C1937&amp;E1937&amp;G1937</f>
        <v>프레임스위트 호텔형 프레임9서비스프리</v>
      </c>
      <c r="B1937" s="17" t="s">
        <v>1076</v>
      </c>
      <c r="C1937" s="18" t="s">
        <v>1077</v>
      </c>
      <c r="D1937" s="19" t="s">
        <v>1079</v>
      </c>
      <c r="E1937" s="19">
        <v>9</v>
      </c>
      <c r="F1937" s="19" t="s">
        <v>0</v>
      </c>
      <c r="G1937" s="20" t="s">
        <v>183</v>
      </c>
      <c r="H1937" s="36">
        <v>29900</v>
      </c>
      <c r="I1937" s="36"/>
      <c r="J1937" s="25">
        <v>288400</v>
      </c>
    </row>
    <row r="1938" spans="1:10" ht="16" x14ac:dyDescent="0.45">
      <c r="A1938" s="153" t="str">
        <f>B1938&amp;C1938&amp;E1938&amp;G1938</f>
        <v>프레임스위트 호텔형 프레임5서비스프리</v>
      </c>
      <c r="B1938" s="17" t="s">
        <v>1076</v>
      </c>
      <c r="C1938" s="18" t="s">
        <v>1077</v>
      </c>
      <c r="D1938" s="19" t="s">
        <v>1078</v>
      </c>
      <c r="E1938" s="19">
        <v>5</v>
      </c>
      <c r="F1938" s="19" t="s">
        <v>0</v>
      </c>
      <c r="G1938" s="20" t="s">
        <v>183</v>
      </c>
      <c r="H1938" s="36">
        <v>48900</v>
      </c>
      <c r="I1938" s="36"/>
      <c r="J1938" s="25">
        <v>273400</v>
      </c>
    </row>
    <row r="1939" spans="1:10" ht="16" x14ac:dyDescent="0.45">
      <c r="A1939" s="153" t="str">
        <f>B1939&amp;C1939&amp;E1939&amp;G1939</f>
        <v>프레임스위트 호텔형 프레임7서비스프리</v>
      </c>
      <c r="B1939" s="17" t="s">
        <v>1076</v>
      </c>
      <c r="C1939" s="18" t="s">
        <v>1077</v>
      </c>
      <c r="D1939" s="19" t="s">
        <v>1078</v>
      </c>
      <c r="E1939" s="19">
        <v>7</v>
      </c>
      <c r="F1939" s="19" t="s">
        <v>0</v>
      </c>
      <c r="G1939" s="20" t="s">
        <v>183</v>
      </c>
      <c r="H1939" s="36">
        <v>37900</v>
      </c>
      <c r="I1939" s="36"/>
      <c r="J1939" s="25">
        <v>300700</v>
      </c>
    </row>
    <row r="1940" spans="1:10" ht="16" x14ac:dyDescent="0.45">
      <c r="A1940" s="153" t="str">
        <f>B1940&amp;C1940&amp;E1940&amp;G1940</f>
        <v>프레임스위트 호텔형 프레임9서비스프리</v>
      </c>
      <c r="B1940" s="17" t="s">
        <v>1076</v>
      </c>
      <c r="C1940" s="18" t="s">
        <v>1077</v>
      </c>
      <c r="D1940" s="19" t="s">
        <v>1078</v>
      </c>
      <c r="E1940" s="19">
        <v>9</v>
      </c>
      <c r="F1940" s="19" t="s">
        <v>0</v>
      </c>
      <c r="G1940" s="20" t="s">
        <v>183</v>
      </c>
      <c r="H1940" s="36">
        <v>32900</v>
      </c>
      <c r="I1940" s="36"/>
      <c r="J1940" s="25">
        <v>300700</v>
      </c>
    </row>
    <row r="1941" spans="1:10" ht="16" x14ac:dyDescent="0.45">
      <c r="A1941" s="153" t="str">
        <f>B1941&amp;C1941&amp;E1941&amp;G1941</f>
        <v>프레임스위트 호텔형 프레임5서비스프리</v>
      </c>
      <c r="B1941" s="17" t="s">
        <v>1076</v>
      </c>
      <c r="C1941" s="18" t="s">
        <v>1077</v>
      </c>
      <c r="D1941" s="19" t="s">
        <v>1080</v>
      </c>
      <c r="E1941" s="19">
        <v>5</v>
      </c>
      <c r="F1941" s="19" t="s">
        <v>0</v>
      </c>
      <c r="G1941" s="20" t="s">
        <v>183</v>
      </c>
      <c r="H1941" s="36">
        <v>40900</v>
      </c>
      <c r="I1941" s="36"/>
      <c r="J1941" s="25">
        <v>251000</v>
      </c>
    </row>
    <row r="1942" spans="1:10" ht="16" x14ac:dyDescent="0.45">
      <c r="A1942" s="153" t="str">
        <f>B1942&amp;C1942&amp;E1942&amp;G1942</f>
        <v>프레임스위트 호텔형 프레임7서비스프리</v>
      </c>
      <c r="B1942" s="17" t="s">
        <v>1076</v>
      </c>
      <c r="C1942" s="18" t="s">
        <v>1077</v>
      </c>
      <c r="D1942" s="19" t="s">
        <v>1080</v>
      </c>
      <c r="E1942" s="19">
        <v>7</v>
      </c>
      <c r="F1942" s="19" t="s">
        <v>0</v>
      </c>
      <c r="G1942" s="20" t="s">
        <v>183</v>
      </c>
      <c r="H1942" s="36">
        <v>31900</v>
      </c>
      <c r="I1942" s="36"/>
      <c r="J1942" s="25">
        <v>276100</v>
      </c>
    </row>
    <row r="1943" spans="1:10" ht="16" x14ac:dyDescent="0.45">
      <c r="A1943" s="153" t="str">
        <f>B1943&amp;C1943&amp;E1943&amp;G1943</f>
        <v>프레임스위트 호텔형 프레임9서비스프리</v>
      </c>
      <c r="B1943" s="17" t="s">
        <v>1076</v>
      </c>
      <c r="C1943" s="18" t="s">
        <v>1077</v>
      </c>
      <c r="D1943" s="19" t="s">
        <v>1080</v>
      </c>
      <c r="E1943" s="19">
        <v>9</v>
      </c>
      <c r="F1943" s="19" t="s">
        <v>0</v>
      </c>
      <c r="G1943" s="20" t="s">
        <v>183</v>
      </c>
      <c r="H1943" s="36">
        <v>26900</v>
      </c>
      <c r="I1943" s="36"/>
      <c r="J1943" s="25">
        <v>276100</v>
      </c>
    </row>
    <row r="1944" spans="1:10" ht="16" x14ac:dyDescent="0.45">
      <c r="A1944" s="153" t="str">
        <f>B1944&amp;C1944&amp;E1944&amp;G1944</f>
        <v>프레임스위트 호텔형 프레임5서비스프리</v>
      </c>
      <c r="B1944" s="17" t="s">
        <v>1076</v>
      </c>
      <c r="C1944" s="18" t="s">
        <v>1077</v>
      </c>
      <c r="D1944" s="19" t="s">
        <v>1081</v>
      </c>
      <c r="E1944" s="19">
        <v>5</v>
      </c>
      <c r="F1944" s="19" t="s">
        <v>0</v>
      </c>
      <c r="G1944" s="20" t="s">
        <v>183</v>
      </c>
      <c r="H1944" s="36">
        <v>37900</v>
      </c>
      <c r="I1944" s="36"/>
      <c r="J1944" s="25">
        <v>239700</v>
      </c>
    </row>
    <row r="1945" spans="1:10" ht="16" x14ac:dyDescent="0.45">
      <c r="A1945" s="153" t="str">
        <f>B1945&amp;C1945&amp;E1945&amp;G1945</f>
        <v>프레임스위트 호텔형 프레임7서비스프리</v>
      </c>
      <c r="B1945" s="17" t="s">
        <v>1076</v>
      </c>
      <c r="C1945" s="18" t="s">
        <v>1077</v>
      </c>
      <c r="D1945" s="19" t="s">
        <v>1081</v>
      </c>
      <c r="E1945" s="19">
        <v>7</v>
      </c>
      <c r="F1945" s="19" t="s">
        <v>0</v>
      </c>
      <c r="G1945" s="20" t="s">
        <v>183</v>
      </c>
      <c r="H1945" s="36">
        <v>28900</v>
      </c>
      <c r="I1945" s="36"/>
      <c r="J1945" s="25">
        <v>263700</v>
      </c>
    </row>
    <row r="1946" spans="1:10" ht="16" x14ac:dyDescent="0.45">
      <c r="A1946" s="153" t="str">
        <f>B1946&amp;C1946&amp;E1946&amp;G1946</f>
        <v>프레임스위트 호텔형 프레임9서비스프리</v>
      </c>
      <c r="B1946" s="17" t="s">
        <v>1076</v>
      </c>
      <c r="C1946" s="18" t="s">
        <v>1077</v>
      </c>
      <c r="D1946" s="19" t="s">
        <v>1081</v>
      </c>
      <c r="E1946" s="19">
        <v>9</v>
      </c>
      <c r="F1946" s="19" t="s">
        <v>0</v>
      </c>
      <c r="G1946" s="20" t="s">
        <v>183</v>
      </c>
      <c r="H1946" s="36">
        <v>23900</v>
      </c>
      <c r="I1946" s="36"/>
      <c r="J1946" s="25">
        <v>263700</v>
      </c>
    </row>
    <row r="1947" spans="1:10" ht="16" x14ac:dyDescent="0.45">
      <c r="A1947" s="153" t="str">
        <f>B1947&amp;C1947&amp;E1947&amp;G1947</f>
        <v>프레임싱글프레임5서비스프리</v>
      </c>
      <c r="B1947" s="17" t="s">
        <v>487</v>
      </c>
      <c r="C1947" s="18" t="s">
        <v>563</v>
      </c>
      <c r="D1947" s="19" t="s">
        <v>305</v>
      </c>
      <c r="E1947" s="19">
        <v>5</v>
      </c>
      <c r="F1947" s="19" t="s">
        <v>0</v>
      </c>
      <c r="G1947" s="20" t="s">
        <v>183</v>
      </c>
      <c r="H1947" s="36">
        <v>22900</v>
      </c>
      <c r="I1947" s="36">
        <v>22900</v>
      </c>
      <c r="J1947" s="25">
        <v>197400</v>
      </c>
    </row>
    <row r="1948" spans="1:10" ht="16" x14ac:dyDescent="0.45">
      <c r="A1948" s="153" t="str">
        <f>B1948&amp;C1948&amp;E1948&amp;G1948</f>
        <v>프레임싱글프레임6서비스프리</v>
      </c>
      <c r="B1948" s="17" t="s">
        <v>487</v>
      </c>
      <c r="C1948" s="18" t="s">
        <v>563</v>
      </c>
      <c r="D1948" s="19" t="s">
        <v>305</v>
      </c>
      <c r="E1948" s="19">
        <v>6</v>
      </c>
      <c r="F1948" s="19" t="s">
        <v>0</v>
      </c>
      <c r="G1948" s="20" t="s">
        <v>183</v>
      </c>
      <c r="H1948" s="36">
        <v>19900</v>
      </c>
      <c r="I1948" s="36">
        <v>19900</v>
      </c>
      <c r="J1948" s="25">
        <v>197400</v>
      </c>
    </row>
    <row r="1949" spans="1:10" ht="16" x14ac:dyDescent="0.45">
      <c r="A1949" s="153" t="str">
        <f>B1949&amp;C1949&amp;E1949&amp;G1949</f>
        <v>프레임싱글프레임7서비스프리</v>
      </c>
      <c r="B1949" s="17" t="s">
        <v>487</v>
      </c>
      <c r="C1949" s="18" t="s">
        <v>563</v>
      </c>
      <c r="D1949" s="19" t="s">
        <v>305</v>
      </c>
      <c r="E1949" s="19">
        <v>7</v>
      </c>
      <c r="F1949" s="19" t="s">
        <v>0</v>
      </c>
      <c r="G1949" s="20" t="s">
        <v>183</v>
      </c>
      <c r="H1949" s="36">
        <v>17900</v>
      </c>
      <c r="I1949" s="36">
        <v>17900</v>
      </c>
      <c r="J1949" s="25">
        <v>217100</v>
      </c>
    </row>
    <row r="1950" spans="1:10" ht="16" x14ac:dyDescent="0.45">
      <c r="A1950" s="153" t="str">
        <f>B1950&amp;C1950&amp;E1950&amp;G1950</f>
        <v>프레임싱글프레임9서비스프리</v>
      </c>
      <c r="B1950" s="17" t="s">
        <v>487</v>
      </c>
      <c r="C1950" s="18" t="s">
        <v>563</v>
      </c>
      <c r="D1950" s="19" t="s">
        <v>305</v>
      </c>
      <c r="E1950" s="19">
        <v>9</v>
      </c>
      <c r="F1950" s="19" t="s">
        <v>0</v>
      </c>
      <c r="G1950" s="20" t="s">
        <v>183</v>
      </c>
      <c r="H1950" s="36">
        <v>14900</v>
      </c>
      <c r="I1950" s="36">
        <v>14900</v>
      </c>
      <c r="J1950" s="25">
        <v>217100</v>
      </c>
    </row>
    <row r="1951" spans="1:10" ht="16" x14ac:dyDescent="0.45">
      <c r="A1951" s="153" t="str">
        <f>B1951&amp;C1951&amp;E1951&amp;G1951</f>
        <v>프레임우디 프레임5서비스프리</v>
      </c>
      <c r="B1951" s="17" t="s">
        <v>487</v>
      </c>
      <c r="C1951" s="18" t="s">
        <v>564</v>
      </c>
      <c r="D1951" s="19" t="s">
        <v>705</v>
      </c>
      <c r="E1951" s="19">
        <v>5</v>
      </c>
      <c r="F1951" s="19" t="s">
        <v>0</v>
      </c>
      <c r="G1951" s="20" t="s">
        <v>183</v>
      </c>
      <c r="H1951" s="36">
        <v>28900</v>
      </c>
      <c r="I1951" s="36">
        <v>28900</v>
      </c>
      <c r="J1951" s="25">
        <v>208600</v>
      </c>
    </row>
    <row r="1952" spans="1:10" ht="16" x14ac:dyDescent="0.45">
      <c r="A1952" s="153" t="str">
        <f>B1952&amp;C1952&amp;E1952&amp;G1952</f>
        <v>프레임우디 프레임7서비스프리</v>
      </c>
      <c r="B1952" s="17" t="s">
        <v>487</v>
      </c>
      <c r="C1952" s="18" t="s">
        <v>564</v>
      </c>
      <c r="D1952" s="19" t="s">
        <v>705</v>
      </c>
      <c r="E1952" s="19">
        <v>7</v>
      </c>
      <c r="F1952" s="19" t="s">
        <v>0</v>
      </c>
      <c r="G1952" s="20" t="s">
        <v>183</v>
      </c>
      <c r="H1952" s="36">
        <v>22900</v>
      </c>
      <c r="I1952" s="36">
        <v>22900</v>
      </c>
      <c r="J1952" s="25">
        <v>229500</v>
      </c>
    </row>
    <row r="1953" spans="1:10" ht="16" x14ac:dyDescent="0.45">
      <c r="A1953" s="153" t="str">
        <f>B1953&amp;C1953&amp;E1953&amp;G1953</f>
        <v>프레임우디 프레임9서비스프리</v>
      </c>
      <c r="B1953" s="17" t="s">
        <v>487</v>
      </c>
      <c r="C1953" s="18" t="s">
        <v>564</v>
      </c>
      <c r="D1953" s="19" t="s">
        <v>705</v>
      </c>
      <c r="E1953" s="19">
        <v>9</v>
      </c>
      <c r="F1953" s="19" t="s">
        <v>0</v>
      </c>
      <c r="G1953" s="20" t="s">
        <v>183</v>
      </c>
      <c r="H1953" s="36">
        <v>19900</v>
      </c>
      <c r="I1953" s="36">
        <v>19900</v>
      </c>
      <c r="J1953" s="25">
        <v>229500</v>
      </c>
    </row>
    <row r="1954" spans="1:10" ht="16" x14ac:dyDescent="0.45">
      <c r="A1954" s="153" t="str">
        <f>B1954&amp;C1954&amp;E1954&amp;G1954</f>
        <v>프레임우디 프레임5서비스프리</v>
      </c>
      <c r="B1954" s="17" t="s">
        <v>487</v>
      </c>
      <c r="C1954" s="18" t="s">
        <v>564</v>
      </c>
      <c r="D1954" s="19" t="s">
        <v>704</v>
      </c>
      <c r="E1954" s="19">
        <v>5</v>
      </c>
      <c r="F1954" s="19" t="s">
        <v>0</v>
      </c>
      <c r="G1954" s="20" t="s">
        <v>183</v>
      </c>
      <c r="H1954" s="36">
        <v>26900</v>
      </c>
      <c r="I1954" s="36">
        <v>26900</v>
      </c>
      <c r="J1954" s="25">
        <v>208600</v>
      </c>
    </row>
    <row r="1955" spans="1:10" ht="16" x14ac:dyDescent="0.45">
      <c r="A1955" s="153" t="str">
        <f>B1955&amp;C1955&amp;E1955&amp;G1955</f>
        <v>프레임우디 프레임7서비스프리</v>
      </c>
      <c r="B1955" s="17" t="s">
        <v>487</v>
      </c>
      <c r="C1955" s="18" t="s">
        <v>564</v>
      </c>
      <c r="D1955" s="19" t="s">
        <v>704</v>
      </c>
      <c r="E1955" s="19">
        <v>7</v>
      </c>
      <c r="F1955" s="19" t="s">
        <v>0</v>
      </c>
      <c r="G1955" s="20" t="s">
        <v>183</v>
      </c>
      <c r="H1955" s="36">
        <v>20900</v>
      </c>
      <c r="I1955" s="36">
        <v>20900</v>
      </c>
      <c r="J1955" s="25">
        <v>229500</v>
      </c>
    </row>
    <row r="1956" spans="1:10" ht="16" x14ac:dyDescent="0.45">
      <c r="A1956" s="153" t="str">
        <f>B1956&amp;C1956&amp;E1956&amp;G1956</f>
        <v>프레임우디 프레임9서비스프리</v>
      </c>
      <c r="B1956" s="17" t="s">
        <v>487</v>
      </c>
      <c r="C1956" s="18" t="s">
        <v>564</v>
      </c>
      <c r="D1956" s="19" t="s">
        <v>704</v>
      </c>
      <c r="E1956" s="19">
        <v>9</v>
      </c>
      <c r="F1956" s="19" t="s">
        <v>0</v>
      </c>
      <c r="G1956" s="20" t="s">
        <v>183</v>
      </c>
      <c r="H1956" s="36">
        <v>17900</v>
      </c>
      <c r="I1956" s="36">
        <v>17900</v>
      </c>
      <c r="J1956" s="25">
        <v>229500</v>
      </c>
    </row>
    <row r="1957" spans="1:10" ht="16" x14ac:dyDescent="0.45">
      <c r="A1957" s="153" t="str">
        <f>B1957&amp;C1957&amp;E1957&amp;G1957</f>
        <v>프레임우디 프레임5서비스프리</v>
      </c>
      <c r="B1957" s="17" t="s">
        <v>487</v>
      </c>
      <c r="C1957" s="18" t="s">
        <v>564</v>
      </c>
      <c r="D1957" s="19" t="s">
        <v>703</v>
      </c>
      <c r="E1957" s="19">
        <v>5</v>
      </c>
      <c r="F1957" s="19" t="s">
        <v>0</v>
      </c>
      <c r="G1957" s="20" t="s">
        <v>183</v>
      </c>
      <c r="H1957" s="36">
        <v>24900</v>
      </c>
      <c r="I1957" s="36">
        <v>24900</v>
      </c>
      <c r="J1957" s="25">
        <v>197400</v>
      </c>
    </row>
    <row r="1958" spans="1:10" ht="16" x14ac:dyDescent="0.45">
      <c r="A1958" s="153" t="str">
        <f>B1958&amp;C1958&amp;E1958&amp;G1958</f>
        <v>프레임우디 프레임7서비스프리</v>
      </c>
      <c r="B1958" s="17" t="s">
        <v>487</v>
      </c>
      <c r="C1958" s="18" t="s">
        <v>564</v>
      </c>
      <c r="D1958" s="19" t="s">
        <v>703</v>
      </c>
      <c r="E1958" s="19">
        <v>7</v>
      </c>
      <c r="F1958" s="19" t="s">
        <v>0</v>
      </c>
      <c r="G1958" s="20" t="s">
        <v>183</v>
      </c>
      <c r="H1958" s="36">
        <v>18900</v>
      </c>
      <c r="I1958" s="36">
        <v>18900</v>
      </c>
      <c r="J1958" s="25">
        <v>217100</v>
      </c>
    </row>
    <row r="1959" spans="1:10" ht="16" x14ac:dyDescent="0.45">
      <c r="A1959" s="153" t="str">
        <f>B1959&amp;C1959&amp;E1959&amp;G1959</f>
        <v>프레임우디 프레임9서비스프리</v>
      </c>
      <c r="B1959" s="17" t="s">
        <v>487</v>
      </c>
      <c r="C1959" s="18" t="s">
        <v>564</v>
      </c>
      <c r="D1959" s="19" t="s">
        <v>703</v>
      </c>
      <c r="E1959" s="19">
        <v>9</v>
      </c>
      <c r="F1959" s="19" t="s">
        <v>0</v>
      </c>
      <c r="G1959" s="20" t="s">
        <v>183</v>
      </c>
      <c r="H1959" s="36">
        <v>15900</v>
      </c>
      <c r="I1959" s="36">
        <v>15900</v>
      </c>
      <c r="J1959" s="25">
        <v>217100</v>
      </c>
    </row>
    <row r="1960" spans="1:10" ht="16" x14ac:dyDescent="0.45">
      <c r="A1960" s="153" t="str">
        <f>B1960&amp;C1960&amp;E1960&amp;G1960</f>
        <v>프레임원목 쿠션 프레임5서비스프리</v>
      </c>
      <c r="B1960" s="17" t="s">
        <v>487</v>
      </c>
      <c r="C1960" s="18" t="s">
        <v>565</v>
      </c>
      <c r="D1960" s="19" t="s">
        <v>321</v>
      </c>
      <c r="E1960" s="19">
        <v>5</v>
      </c>
      <c r="F1960" s="19" t="s">
        <v>0</v>
      </c>
      <c r="G1960" s="20" t="s">
        <v>183</v>
      </c>
      <c r="H1960" s="36">
        <v>29900</v>
      </c>
      <c r="I1960" s="36">
        <v>29900</v>
      </c>
      <c r="J1960" s="25">
        <v>219800</v>
      </c>
    </row>
    <row r="1961" spans="1:10" ht="16" x14ac:dyDescent="0.45">
      <c r="A1961" s="153" t="str">
        <f>B1961&amp;C1961&amp;E1961&amp;G1961</f>
        <v>프레임원목 쿠션 프레임6서비스프리</v>
      </c>
      <c r="B1961" s="17" t="s">
        <v>487</v>
      </c>
      <c r="C1961" s="18" t="s">
        <v>565</v>
      </c>
      <c r="D1961" s="19" t="s">
        <v>321</v>
      </c>
      <c r="E1961" s="19">
        <v>6</v>
      </c>
      <c r="F1961" s="19" t="s">
        <v>0</v>
      </c>
      <c r="G1961" s="20" t="s">
        <v>183</v>
      </c>
      <c r="H1961" s="36">
        <v>26900</v>
      </c>
      <c r="I1961" s="36">
        <v>26900</v>
      </c>
      <c r="J1961" s="25">
        <v>219800</v>
      </c>
    </row>
    <row r="1962" spans="1:10" ht="16" x14ac:dyDescent="0.45">
      <c r="A1962" s="153" t="str">
        <f>B1962&amp;C1962&amp;E1962&amp;G1962</f>
        <v>프레임원목 쿠션 프레임7서비스프리</v>
      </c>
      <c r="B1962" s="17" t="s">
        <v>487</v>
      </c>
      <c r="C1962" s="18" t="s">
        <v>565</v>
      </c>
      <c r="D1962" s="19" t="s">
        <v>321</v>
      </c>
      <c r="E1962" s="19">
        <v>7</v>
      </c>
      <c r="F1962" s="19" t="s">
        <v>0</v>
      </c>
      <c r="G1962" s="20" t="s">
        <v>183</v>
      </c>
      <c r="H1962" s="36">
        <v>23900</v>
      </c>
      <c r="I1962" s="36">
        <v>23900</v>
      </c>
      <c r="J1962" s="25">
        <v>241800</v>
      </c>
    </row>
    <row r="1963" spans="1:10" ht="16" x14ac:dyDescent="0.45">
      <c r="A1963" s="153" t="str">
        <f>B1963&amp;C1963&amp;E1963&amp;G1963</f>
        <v>프레임원목 쿠션 프레임9서비스프리</v>
      </c>
      <c r="B1963" s="17" t="s">
        <v>487</v>
      </c>
      <c r="C1963" s="18" t="s">
        <v>565</v>
      </c>
      <c r="D1963" s="19" t="s">
        <v>321</v>
      </c>
      <c r="E1963" s="19">
        <v>9</v>
      </c>
      <c r="F1963" s="19" t="s">
        <v>0</v>
      </c>
      <c r="G1963" s="20" t="s">
        <v>183</v>
      </c>
      <c r="H1963" s="36">
        <v>20900</v>
      </c>
      <c r="I1963" s="36">
        <v>20900</v>
      </c>
      <c r="J1963" s="25">
        <v>241800</v>
      </c>
    </row>
    <row r="1964" spans="1:10" ht="16" x14ac:dyDescent="0.45">
      <c r="A1964" s="153" t="str">
        <f>B1964&amp;C1964&amp;E1964&amp;G1964</f>
        <v>프레임원목 쿠션 프레임5서비스프리</v>
      </c>
      <c r="B1964" s="17" t="s">
        <v>487</v>
      </c>
      <c r="C1964" s="18" t="s">
        <v>565</v>
      </c>
      <c r="D1964" s="19" t="s">
        <v>322</v>
      </c>
      <c r="E1964" s="19">
        <v>5</v>
      </c>
      <c r="F1964" s="19" t="s">
        <v>0</v>
      </c>
      <c r="G1964" s="20" t="s">
        <v>183</v>
      </c>
      <c r="H1964" s="36">
        <v>29900</v>
      </c>
      <c r="I1964" s="36">
        <v>29900</v>
      </c>
      <c r="J1964" s="25">
        <v>219800</v>
      </c>
    </row>
    <row r="1965" spans="1:10" ht="16" x14ac:dyDescent="0.45">
      <c r="A1965" s="153" t="str">
        <f>B1965&amp;C1965&amp;E1965&amp;G1965</f>
        <v>프레임원목 쿠션 프레임6서비스프리</v>
      </c>
      <c r="B1965" s="17" t="s">
        <v>487</v>
      </c>
      <c r="C1965" s="18" t="s">
        <v>565</v>
      </c>
      <c r="D1965" s="19" t="s">
        <v>322</v>
      </c>
      <c r="E1965" s="19">
        <v>6</v>
      </c>
      <c r="F1965" s="19" t="s">
        <v>0</v>
      </c>
      <c r="G1965" s="20" t="s">
        <v>183</v>
      </c>
      <c r="H1965" s="36">
        <v>26900</v>
      </c>
      <c r="I1965" s="36">
        <v>26900</v>
      </c>
      <c r="J1965" s="25">
        <v>219800</v>
      </c>
    </row>
    <row r="1966" spans="1:10" ht="16" x14ac:dyDescent="0.45">
      <c r="A1966" s="153" t="str">
        <f>B1966&amp;C1966&amp;E1966&amp;G1966</f>
        <v>프레임원목 쿠션 프레임7서비스프리</v>
      </c>
      <c r="B1966" s="17" t="s">
        <v>487</v>
      </c>
      <c r="C1966" s="18" t="s">
        <v>565</v>
      </c>
      <c r="D1966" s="19" t="s">
        <v>322</v>
      </c>
      <c r="E1966" s="19">
        <v>7</v>
      </c>
      <c r="F1966" s="19" t="s">
        <v>0</v>
      </c>
      <c r="G1966" s="20" t="s">
        <v>183</v>
      </c>
      <c r="H1966" s="36">
        <v>23900</v>
      </c>
      <c r="I1966" s="36">
        <v>23900</v>
      </c>
      <c r="J1966" s="25">
        <v>241800</v>
      </c>
    </row>
    <row r="1967" spans="1:10" ht="16" x14ac:dyDescent="0.45">
      <c r="A1967" s="153" t="str">
        <f>B1967&amp;C1967&amp;E1967&amp;G1967</f>
        <v>프레임원목 쿠션 프레임9서비스프리</v>
      </c>
      <c r="B1967" s="17" t="s">
        <v>487</v>
      </c>
      <c r="C1967" s="18" t="s">
        <v>565</v>
      </c>
      <c r="D1967" s="19" t="s">
        <v>322</v>
      </c>
      <c r="E1967" s="19">
        <v>9</v>
      </c>
      <c r="F1967" s="19" t="s">
        <v>0</v>
      </c>
      <c r="G1967" s="20" t="s">
        <v>183</v>
      </c>
      <c r="H1967" s="36">
        <v>20900</v>
      </c>
      <c r="I1967" s="36">
        <v>20900</v>
      </c>
      <c r="J1967" s="25">
        <v>241800</v>
      </c>
    </row>
    <row r="1968" spans="1:10" ht="16" x14ac:dyDescent="0.45">
      <c r="A1968" s="153" t="str">
        <f>B1968&amp;C1968&amp;E1968&amp;G1968</f>
        <v>프레임원목 쿠션 프레임5서비스프리</v>
      </c>
      <c r="B1968" s="17" t="s">
        <v>487</v>
      </c>
      <c r="C1968" s="18" t="s">
        <v>565</v>
      </c>
      <c r="D1968" s="19" t="s">
        <v>333</v>
      </c>
      <c r="E1968" s="19">
        <v>5</v>
      </c>
      <c r="F1968" s="19" t="s">
        <v>0</v>
      </c>
      <c r="G1968" s="20" t="s">
        <v>183</v>
      </c>
      <c r="H1968" s="36">
        <v>36900</v>
      </c>
      <c r="I1968" s="36">
        <v>36900</v>
      </c>
      <c r="J1968" s="25">
        <v>231100</v>
      </c>
    </row>
    <row r="1969" spans="1:10" ht="16" x14ac:dyDescent="0.45">
      <c r="A1969" s="153" t="str">
        <f>B1969&amp;C1969&amp;E1969&amp;G1969</f>
        <v>프레임원목 쿠션 프레임6서비스프리</v>
      </c>
      <c r="B1969" s="17" t="s">
        <v>487</v>
      </c>
      <c r="C1969" s="18" t="s">
        <v>565</v>
      </c>
      <c r="D1969" s="19" t="s">
        <v>333</v>
      </c>
      <c r="E1969" s="19">
        <v>6</v>
      </c>
      <c r="F1969" s="19" t="s">
        <v>0</v>
      </c>
      <c r="G1969" s="20" t="s">
        <v>183</v>
      </c>
      <c r="H1969" s="36">
        <v>31900</v>
      </c>
      <c r="I1969" s="36">
        <v>31900</v>
      </c>
      <c r="J1969" s="25">
        <v>231100</v>
      </c>
    </row>
    <row r="1970" spans="1:10" ht="16" x14ac:dyDescent="0.45">
      <c r="A1970" s="153" t="str">
        <f>B1970&amp;C1970&amp;E1970&amp;G1970</f>
        <v>프레임원목 쿠션 프레임7서비스프리</v>
      </c>
      <c r="B1970" s="17" t="s">
        <v>487</v>
      </c>
      <c r="C1970" s="18" t="s">
        <v>565</v>
      </c>
      <c r="D1970" s="19" t="s">
        <v>333</v>
      </c>
      <c r="E1970" s="19">
        <v>7</v>
      </c>
      <c r="F1970" s="19" t="s">
        <v>0</v>
      </c>
      <c r="G1970" s="20" t="s">
        <v>183</v>
      </c>
      <c r="H1970" s="36">
        <v>26900</v>
      </c>
      <c r="I1970" s="36">
        <v>26900</v>
      </c>
      <c r="J1970" s="25">
        <v>254200</v>
      </c>
    </row>
    <row r="1971" spans="1:10" ht="16" x14ac:dyDescent="0.45">
      <c r="A1971" s="153" t="str">
        <f>B1971&amp;C1971&amp;E1971&amp;G1971</f>
        <v>프레임원목 쿠션 프레임9서비스프리</v>
      </c>
      <c r="B1971" s="17" t="s">
        <v>487</v>
      </c>
      <c r="C1971" s="18" t="s">
        <v>565</v>
      </c>
      <c r="D1971" s="19" t="s">
        <v>333</v>
      </c>
      <c r="E1971" s="19">
        <v>9</v>
      </c>
      <c r="F1971" s="19" t="s">
        <v>0</v>
      </c>
      <c r="G1971" s="20" t="s">
        <v>183</v>
      </c>
      <c r="H1971" s="36">
        <v>21900</v>
      </c>
      <c r="I1971" s="36">
        <v>21900</v>
      </c>
      <c r="J1971" s="25">
        <v>254200</v>
      </c>
    </row>
    <row r="1972" spans="1:10" ht="16" x14ac:dyDescent="0.45">
      <c r="A1972" s="153" t="str">
        <f>B1972&amp;C1972&amp;E1972&amp;G1972</f>
        <v>프레임원목 쿠션 프레임5서비스프리</v>
      </c>
      <c r="B1972" s="17" t="s">
        <v>487</v>
      </c>
      <c r="C1972" s="18" t="s">
        <v>565</v>
      </c>
      <c r="D1972" s="19" t="s">
        <v>670</v>
      </c>
      <c r="E1972" s="19">
        <v>5</v>
      </c>
      <c r="F1972" s="19" t="s">
        <v>0</v>
      </c>
      <c r="G1972" s="20" t="s">
        <v>183</v>
      </c>
      <c r="H1972" s="36">
        <v>27900</v>
      </c>
      <c r="I1972" s="36">
        <v>27900</v>
      </c>
      <c r="J1972" s="25">
        <v>208600</v>
      </c>
    </row>
    <row r="1973" spans="1:10" ht="16" x14ac:dyDescent="0.45">
      <c r="A1973" s="153" t="str">
        <f>B1973&amp;C1973&amp;E1973&amp;G1973</f>
        <v>프레임원목 쿠션 프레임6서비스프리</v>
      </c>
      <c r="B1973" s="17" t="s">
        <v>487</v>
      </c>
      <c r="C1973" s="18" t="s">
        <v>565</v>
      </c>
      <c r="D1973" s="19" t="s">
        <v>670</v>
      </c>
      <c r="E1973" s="19">
        <v>6</v>
      </c>
      <c r="F1973" s="19" t="s">
        <v>0</v>
      </c>
      <c r="G1973" s="20" t="s">
        <v>183</v>
      </c>
      <c r="H1973" s="36">
        <v>24900</v>
      </c>
      <c r="I1973" s="36">
        <v>24900</v>
      </c>
      <c r="J1973" s="25">
        <v>208600</v>
      </c>
    </row>
    <row r="1974" spans="1:10" ht="16" x14ac:dyDescent="0.45">
      <c r="A1974" s="153" t="str">
        <f>B1974&amp;C1974&amp;E1974&amp;G1974</f>
        <v>프레임원목 쿠션 프레임7서비스프리</v>
      </c>
      <c r="B1974" s="17" t="s">
        <v>487</v>
      </c>
      <c r="C1974" s="18" t="s">
        <v>565</v>
      </c>
      <c r="D1974" s="19" t="s">
        <v>670</v>
      </c>
      <c r="E1974" s="19">
        <v>7</v>
      </c>
      <c r="F1974" s="19" t="s">
        <v>0</v>
      </c>
      <c r="G1974" s="20" t="s">
        <v>183</v>
      </c>
      <c r="H1974" s="36">
        <v>21900</v>
      </c>
      <c r="I1974" s="36">
        <v>21900</v>
      </c>
      <c r="J1974" s="25">
        <v>229500</v>
      </c>
    </row>
    <row r="1975" spans="1:10" ht="16" x14ac:dyDescent="0.45">
      <c r="A1975" s="153" t="str">
        <f>B1975&amp;C1975&amp;E1975&amp;G1975</f>
        <v>프레임원목 쿠션 프레임9서비스프리</v>
      </c>
      <c r="B1975" s="17" t="s">
        <v>487</v>
      </c>
      <c r="C1975" s="18" t="s">
        <v>565</v>
      </c>
      <c r="D1975" s="19" t="s">
        <v>670</v>
      </c>
      <c r="E1975" s="19">
        <v>9</v>
      </c>
      <c r="F1975" s="19" t="s">
        <v>0</v>
      </c>
      <c r="G1975" s="20" t="s">
        <v>183</v>
      </c>
      <c r="H1975" s="36">
        <v>18900</v>
      </c>
      <c r="I1975" s="36">
        <v>18900</v>
      </c>
      <c r="J1975" s="25">
        <v>229500</v>
      </c>
    </row>
    <row r="1976" spans="1:10" ht="16" x14ac:dyDescent="0.45">
      <c r="A1976" s="153" t="str">
        <f>B1976&amp;C1976&amp;E1976&amp;G1976</f>
        <v>프레임원목 쿠션 프레임5서비스프리</v>
      </c>
      <c r="B1976" s="17" t="s">
        <v>487</v>
      </c>
      <c r="C1976" s="18" t="s">
        <v>565</v>
      </c>
      <c r="D1976" s="19" t="s">
        <v>673</v>
      </c>
      <c r="E1976" s="19">
        <v>5</v>
      </c>
      <c r="F1976" s="19" t="s">
        <v>0</v>
      </c>
      <c r="G1976" s="20" t="s">
        <v>183</v>
      </c>
      <c r="H1976" s="36">
        <v>25900</v>
      </c>
      <c r="I1976" s="36">
        <v>25900</v>
      </c>
      <c r="J1976" s="25">
        <v>197400</v>
      </c>
    </row>
    <row r="1977" spans="1:10" ht="16" x14ac:dyDescent="0.45">
      <c r="A1977" s="153" t="str">
        <f>B1977&amp;C1977&amp;E1977&amp;G1977</f>
        <v>프레임원목 쿠션 프레임6서비스프리</v>
      </c>
      <c r="B1977" s="17" t="s">
        <v>487</v>
      </c>
      <c r="C1977" s="18" t="s">
        <v>565</v>
      </c>
      <c r="D1977" s="19" t="s">
        <v>673</v>
      </c>
      <c r="E1977" s="19">
        <v>6</v>
      </c>
      <c r="F1977" s="19" t="s">
        <v>0</v>
      </c>
      <c r="G1977" s="20" t="s">
        <v>183</v>
      </c>
      <c r="H1977" s="36">
        <v>22900</v>
      </c>
      <c r="I1977" s="36">
        <v>22900</v>
      </c>
      <c r="J1977" s="25">
        <v>197400</v>
      </c>
    </row>
    <row r="1978" spans="1:10" ht="16" x14ac:dyDescent="0.45">
      <c r="A1978" s="153" t="str">
        <f>B1978&amp;C1978&amp;E1978&amp;G1978</f>
        <v>프레임원목 쿠션 프레임7서비스프리</v>
      </c>
      <c r="B1978" s="17" t="s">
        <v>487</v>
      </c>
      <c r="C1978" s="18" t="s">
        <v>565</v>
      </c>
      <c r="D1978" s="19" t="s">
        <v>673</v>
      </c>
      <c r="E1978" s="19">
        <v>7</v>
      </c>
      <c r="F1978" s="19" t="s">
        <v>0</v>
      </c>
      <c r="G1978" s="20" t="s">
        <v>183</v>
      </c>
      <c r="H1978" s="36">
        <v>19900</v>
      </c>
      <c r="I1978" s="36">
        <v>19900</v>
      </c>
      <c r="J1978" s="25">
        <v>217100</v>
      </c>
    </row>
    <row r="1979" spans="1:10" ht="16" x14ac:dyDescent="0.45">
      <c r="A1979" s="153" t="str">
        <f>B1979&amp;C1979&amp;E1979&amp;G1979</f>
        <v>프레임원목 쿠션 프레임9서비스프리</v>
      </c>
      <c r="B1979" s="17" t="s">
        <v>487</v>
      </c>
      <c r="C1979" s="18" t="s">
        <v>565</v>
      </c>
      <c r="D1979" s="19" t="s">
        <v>673</v>
      </c>
      <c r="E1979" s="19">
        <v>9</v>
      </c>
      <c r="F1979" s="19" t="s">
        <v>0</v>
      </c>
      <c r="G1979" s="20" t="s">
        <v>183</v>
      </c>
      <c r="H1979" s="36">
        <v>16900</v>
      </c>
      <c r="I1979" s="36">
        <v>16900</v>
      </c>
      <c r="J1979" s="25">
        <v>217100</v>
      </c>
    </row>
    <row r="1980" spans="1:10" ht="16" x14ac:dyDescent="0.45">
      <c r="A1980" s="153" t="str">
        <f>B1980&amp;C1980&amp;E1980&amp;G1980</f>
        <v>프레임원목 프레임5서비스프리</v>
      </c>
      <c r="B1980" s="17" t="s">
        <v>487</v>
      </c>
      <c r="C1980" s="18" t="s">
        <v>566</v>
      </c>
      <c r="D1980" s="19" t="s">
        <v>671</v>
      </c>
      <c r="E1980" s="19">
        <v>5</v>
      </c>
      <c r="F1980" s="19" t="s">
        <v>0</v>
      </c>
      <c r="G1980" s="20" t="s">
        <v>183</v>
      </c>
      <c r="H1980" s="36">
        <v>28900</v>
      </c>
      <c r="I1980" s="36">
        <v>28900</v>
      </c>
      <c r="J1980" s="25">
        <v>208600</v>
      </c>
    </row>
    <row r="1981" spans="1:10" ht="16" x14ac:dyDescent="0.45">
      <c r="A1981" s="153" t="str">
        <f>B1981&amp;C1981&amp;E1981&amp;G1981</f>
        <v>프레임원목 프레임6서비스프리</v>
      </c>
      <c r="B1981" s="17" t="s">
        <v>487</v>
      </c>
      <c r="C1981" s="18" t="s">
        <v>566</v>
      </c>
      <c r="D1981" s="19" t="s">
        <v>671</v>
      </c>
      <c r="E1981" s="19">
        <v>6</v>
      </c>
      <c r="F1981" s="19" t="s">
        <v>0</v>
      </c>
      <c r="G1981" s="20" t="s">
        <v>183</v>
      </c>
      <c r="H1981" s="36">
        <v>25900</v>
      </c>
      <c r="I1981" s="36">
        <v>25900</v>
      </c>
      <c r="J1981" s="25">
        <v>208600</v>
      </c>
    </row>
    <row r="1982" spans="1:10" ht="16" x14ac:dyDescent="0.45">
      <c r="A1982" s="153" t="str">
        <f>B1982&amp;C1982&amp;E1982&amp;G1982</f>
        <v>프레임원목 프레임7서비스프리</v>
      </c>
      <c r="B1982" s="17" t="s">
        <v>487</v>
      </c>
      <c r="C1982" s="18" t="s">
        <v>566</v>
      </c>
      <c r="D1982" s="19" t="s">
        <v>671</v>
      </c>
      <c r="E1982" s="19">
        <v>7</v>
      </c>
      <c r="F1982" s="19" t="s">
        <v>0</v>
      </c>
      <c r="G1982" s="20" t="s">
        <v>183</v>
      </c>
      <c r="H1982" s="36">
        <v>22900</v>
      </c>
      <c r="I1982" s="36">
        <v>22900</v>
      </c>
      <c r="J1982" s="25">
        <v>229500</v>
      </c>
    </row>
    <row r="1983" spans="1:10" ht="16" x14ac:dyDescent="0.45">
      <c r="A1983" s="153" t="str">
        <f>B1983&amp;C1983&amp;E1983&amp;G1983</f>
        <v>프레임원목 프레임9서비스프리</v>
      </c>
      <c r="B1983" s="17" t="s">
        <v>487</v>
      </c>
      <c r="C1983" s="18" t="s">
        <v>566</v>
      </c>
      <c r="D1983" s="19" t="s">
        <v>671</v>
      </c>
      <c r="E1983" s="19">
        <v>9</v>
      </c>
      <c r="F1983" s="19" t="s">
        <v>0</v>
      </c>
      <c r="G1983" s="20" t="s">
        <v>183</v>
      </c>
      <c r="H1983" s="36">
        <v>19900</v>
      </c>
      <c r="I1983" s="36">
        <v>19900</v>
      </c>
      <c r="J1983" s="25">
        <v>229500</v>
      </c>
    </row>
    <row r="1984" spans="1:10" ht="16" x14ac:dyDescent="0.45">
      <c r="A1984" s="153" t="str">
        <f>B1984&amp;C1984&amp;E1984&amp;G1984</f>
        <v>프레임원목 프레임5서비스프리</v>
      </c>
      <c r="B1984" s="17" t="s">
        <v>487</v>
      </c>
      <c r="C1984" s="18" t="s">
        <v>566</v>
      </c>
      <c r="D1984" s="19" t="s">
        <v>672</v>
      </c>
      <c r="E1984" s="19">
        <v>5</v>
      </c>
      <c r="F1984" s="19" t="s">
        <v>0</v>
      </c>
      <c r="G1984" s="20" t="s">
        <v>183</v>
      </c>
      <c r="H1984" s="36">
        <v>26900</v>
      </c>
      <c r="I1984" s="36">
        <v>26900</v>
      </c>
      <c r="J1984" s="25">
        <v>208600</v>
      </c>
    </row>
    <row r="1985" spans="1:10" ht="16" x14ac:dyDescent="0.45">
      <c r="A1985" s="153" t="str">
        <f>B1985&amp;C1985&amp;E1985&amp;G1985</f>
        <v>프레임원목 프레임6서비스프리</v>
      </c>
      <c r="B1985" s="17" t="s">
        <v>487</v>
      </c>
      <c r="C1985" s="18" t="s">
        <v>566</v>
      </c>
      <c r="D1985" s="19" t="s">
        <v>672</v>
      </c>
      <c r="E1985" s="19">
        <v>6</v>
      </c>
      <c r="F1985" s="19" t="s">
        <v>0</v>
      </c>
      <c r="G1985" s="20" t="s">
        <v>183</v>
      </c>
      <c r="H1985" s="36">
        <v>23900</v>
      </c>
      <c r="I1985" s="36">
        <v>23900</v>
      </c>
      <c r="J1985" s="25">
        <v>208600</v>
      </c>
    </row>
    <row r="1986" spans="1:10" ht="16" x14ac:dyDescent="0.45">
      <c r="A1986" s="153" t="str">
        <f>B1986&amp;C1986&amp;E1986&amp;G1986</f>
        <v>프레임원목 프레임7서비스프리</v>
      </c>
      <c r="B1986" s="17" t="s">
        <v>487</v>
      </c>
      <c r="C1986" s="18" t="s">
        <v>566</v>
      </c>
      <c r="D1986" s="19" t="s">
        <v>672</v>
      </c>
      <c r="E1986" s="19">
        <v>7</v>
      </c>
      <c r="F1986" s="19" t="s">
        <v>0</v>
      </c>
      <c r="G1986" s="20" t="s">
        <v>183</v>
      </c>
      <c r="H1986" s="36">
        <v>20900</v>
      </c>
      <c r="I1986" s="36">
        <v>20900</v>
      </c>
      <c r="J1986" s="25">
        <v>229500</v>
      </c>
    </row>
    <row r="1987" spans="1:10" ht="16" x14ac:dyDescent="0.45">
      <c r="A1987" s="153" t="str">
        <f>B1987&amp;C1987&amp;E1987&amp;G1987</f>
        <v>프레임원목 프레임9서비스프리</v>
      </c>
      <c r="B1987" s="17" t="s">
        <v>487</v>
      </c>
      <c r="C1987" s="18" t="s">
        <v>566</v>
      </c>
      <c r="D1987" s="19" t="s">
        <v>672</v>
      </c>
      <c r="E1987" s="19">
        <v>9</v>
      </c>
      <c r="F1987" s="19" t="s">
        <v>0</v>
      </c>
      <c r="G1987" s="20" t="s">
        <v>183</v>
      </c>
      <c r="H1987" s="36">
        <v>17900</v>
      </c>
      <c r="I1987" s="36">
        <v>17900</v>
      </c>
      <c r="J1987" s="25">
        <v>229500</v>
      </c>
    </row>
    <row r="1988" spans="1:10" ht="16" x14ac:dyDescent="0.45">
      <c r="A1988" s="153" t="str">
        <f>B1988&amp;C1988&amp;E1988&amp;G1988</f>
        <v>프레임원목 프레임5서비스프리</v>
      </c>
      <c r="B1988" s="17" t="s">
        <v>487</v>
      </c>
      <c r="C1988" s="18" t="s">
        <v>566</v>
      </c>
      <c r="D1988" s="19" t="s">
        <v>674</v>
      </c>
      <c r="E1988" s="19">
        <v>5</v>
      </c>
      <c r="F1988" s="19" t="s">
        <v>0</v>
      </c>
      <c r="G1988" s="20" t="s">
        <v>183</v>
      </c>
      <c r="H1988" s="36">
        <v>24900</v>
      </c>
      <c r="I1988" s="36">
        <v>24900</v>
      </c>
      <c r="J1988" s="25">
        <v>197400</v>
      </c>
    </row>
    <row r="1989" spans="1:10" ht="16" x14ac:dyDescent="0.45">
      <c r="A1989" s="153" t="str">
        <f>B1989&amp;C1989&amp;E1989&amp;G1989</f>
        <v>프레임원목 프레임6서비스프리</v>
      </c>
      <c r="B1989" s="17" t="s">
        <v>487</v>
      </c>
      <c r="C1989" s="18" t="s">
        <v>566</v>
      </c>
      <c r="D1989" s="19" t="s">
        <v>674</v>
      </c>
      <c r="E1989" s="19">
        <v>6</v>
      </c>
      <c r="F1989" s="19" t="s">
        <v>0</v>
      </c>
      <c r="G1989" s="20" t="s">
        <v>183</v>
      </c>
      <c r="H1989" s="36">
        <v>21900</v>
      </c>
      <c r="I1989" s="36">
        <v>21900</v>
      </c>
      <c r="J1989" s="25">
        <v>197400</v>
      </c>
    </row>
    <row r="1990" spans="1:10" ht="16" x14ac:dyDescent="0.45">
      <c r="A1990" s="153" t="str">
        <f>B1990&amp;C1990&amp;E1990&amp;G1990</f>
        <v>프레임원목 프레임7서비스프리</v>
      </c>
      <c r="B1990" s="17" t="s">
        <v>487</v>
      </c>
      <c r="C1990" s="18" t="s">
        <v>566</v>
      </c>
      <c r="D1990" s="19" t="s">
        <v>674</v>
      </c>
      <c r="E1990" s="19">
        <v>7</v>
      </c>
      <c r="F1990" s="19" t="s">
        <v>0</v>
      </c>
      <c r="G1990" s="20" t="s">
        <v>183</v>
      </c>
      <c r="H1990" s="36">
        <v>18900</v>
      </c>
      <c r="I1990" s="36">
        <v>18900</v>
      </c>
      <c r="J1990" s="25">
        <v>217100</v>
      </c>
    </row>
    <row r="1991" spans="1:10" ht="16" x14ac:dyDescent="0.45">
      <c r="A1991" s="153" t="str">
        <f>B1991&amp;C1991&amp;E1991&amp;G1991</f>
        <v>프레임원목 프레임9서비스프리</v>
      </c>
      <c r="B1991" s="17" t="s">
        <v>487</v>
      </c>
      <c r="C1991" s="18" t="s">
        <v>566</v>
      </c>
      <c r="D1991" s="19" t="s">
        <v>674</v>
      </c>
      <c r="E1991" s="19">
        <v>9</v>
      </c>
      <c r="F1991" s="19" t="s">
        <v>0</v>
      </c>
      <c r="G1991" s="20" t="s">
        <v>183</v>
      </c>
      <c r="H1991" s="36">
        <v>15900</v>
      </c>
      <c r="I1991" s="36">
        <v>15900</v>
      </c>
      <c r="J1991" s="25">
        <v>217100</v>
      </c>
    </row>
    <row r="1992" spans="1:10" ht="16" x14ac:dyDescent="0.45">
      <c r="A1992" s="153" t="str">
        <f>B1992&amp;C1992&amp;E1992&amp;G1992</f>
        <v>프레임저상형 싱글 프레임5서비스프리</v>
      </c>
      <c r="B1992" s="17" t="s">
        <v>487</v>
      </c>
      <c r="C1992" s="18" t="s">
        <v>567</v>
      </c>
      <c r="D1992" s="19" t="s">
        <v>317</v>
      </c>
      <c r="E1992" s="19">
        <v>5</v>
      </c>
      <c r="F1992" s="19" t="s">
        <v>0</v>
      </c>
      <c r="G1992" s="20" t="s">
        <v>183</v>
      </c>
      <c r="H1992" s="36">
        <v>23900</v>
      </c>
      <c r="I1992" s="36">
        <v>23900</v>
      </c>
      <c r="J1992" s="25">
        <v>197400</v>
      </c>
    </row>
    <row r="1993" spans="1:10" ht="16" x14ac:dyDescent="0.45">
      <c r="A1993" s="153" t="str">
        <f>B1993&amp;C1993&amp;E1993&amp;G1993</f>
        <v>프레임저상형 싱글 프레임6서비스프리</v>
      </c>
      <c r="B1993" s="17" t="s">
        <v>487</v>
      </c>
      <c r="C1993" s="18" t="s">
        <v>567</v>
      </c>
      <c r="D1993" s="19" t="s">
        <v>317</v>
      </c>
      <c r="E1993" s="19">
        <v>6</v>
      </c>
      <c r="F1993" s="19" t="s">
        <v>0</v>
      </c>
      <c r="G1993" s="20" t="s">
        <v>183</v>
      </c>
      <c r="H1993" s="36">
        <v>20900</v>
      </c>
      <c r="I1993" s="36">
        <v>20900</v>
      </c>
      <c r="J1993" s="25">
        <v>197400</v>
      </c>
    </row>
    <row r="1994" spans="1:10" ht="16" x14ac:dyDescent="0.45">
      <c r="A1994" s="153" t="str">
        <f>B1994&amp;C1994&amp;E1994&amp;G1994</f>
        <v>프레임저상형 싱글 프레임7서비스프리</v>
      </c>
      <c r="B1994" s="17" t="s">
        <v>487</v>
      </c>
      <c r="C1994" s="18" t="s">
        <v>567</v>
      </c>
      <c r="D1994" s="19" t="s">
        <v>317</v>
      </c>
      <c r="E1994" s="19">
        <v>7</v>
      </c>
      <c r="F1994" s="19" t="s">
        <v>0</v>
      </c>
      <c r="G1994" s="20" t="s">
        <v>183</v>
      </c>
      <c r="H1994" s="36">
        <v>18900</v>
      </c>
      <c r="I1994" s="36">
        <v>18900</v>
      </c>
      <c r="J1994" s="25">
        <v>217100</v>
      </c>
    </row>
    <row r="1995" spans="1:10" ht="16" x14ac:dyDescent="0.45">
      <c r="A1995" s="153" t="str">
        <f>B1995&amp;C1995&amp;E1995&amp;G1995</f>
        <v>프레임저상형 싱글 프레임9서비스프리</v>
      </c>
      <c r="B1995" s="17" t="s">
        <v>487</v>
      </c>
      <c r="C1995" s="18" t="s">
        <v>567</v>
      </c>
      <c r="D1995" s="19" t="s">
        <v>317</v>
      </c>
      <c r="E1995" s="19">
        <v>9</v>
      </c>
      <c r="F1995" s="19" t="s">
        <v>0</v>
      </c>
      <c r="G1995" s="20" t="s">
        <v>183</v>
      </c>
      <c r="H1995" s="36">
        <v>15900</v>
      </c>
      <c r="I1995" s="36">
        <v>15900</v>
      </c>
      <c r="J1995" s="25">
        <v>217100</v>
      </c>
    </row>
    <row r="1996" spans="1:10" ht="16" x14ac:dyDescent="0.45">
      <c r="A1996" s="153" t="str">
        <f>B1996&amp;C1996&amp;E1996&amp;G1996</f>
        <v>프레임컴포트 프레임5서비스프리</v>
      </c>
      <c r="B1996" s="17" t="s">
        <v>487</v>
      </c>
      <c r="C1996" s="18" t="s">
        <v>568</v>
      </c>
      <c r="D1996" s="19" t="s">
        <v>702</v>
      </c>
      <c r="E1996" s="19">
        <v>5</v>
      </c>
      <c r="F1996" s="19" t="s">
        <v>0</v>
      </c>
      <c r="G1996" s="20" t="s">
        <v>183</v>
      </c>
      <c r="H1996" s="36">
        <v>45900</v>
      </c>
      <c r="I1996" s="36">
        <v>45900</v>
      </c>
      <c r="J1996" s="25">
        <v>273400</v>
      </c>
    </row>
    <row r="1997" spans="1:10" ht="16" x14ac:dyDescent="0.45">
      <c r="A1997" s="153" t="str">
        <f>B1997&amp;C1997&amp;E1997&amp;G1997</f>
        <v>프레임컴포트 프레임7서비스프리</v>
      </c>
      <c r="B1997" s="17" t="s">
        <v>487</v>
      </c>
      <c r="C1997" s="18" t="s">
        <v>568</v>
      </c>
      <c r="D1997" s="19" t="s">
        <v>702</v>
      </c>
      <c r="E1997" s="19">
        <v>7</v>
      </c>
      <c r="F1997" s="19" t="s">
        <v>0</v>
      </c>
      <c r="G1997" s="20" t="s">
        <v>183</v>
      </c>
      <c r="H1997" s="36">
        <v>35900</v>
      </c>
      <c r="I1997" s="36">
        <v>35900</v>
      </c>
      <c r="J1997" s="25">
        <v>300700</v>
      </c>
    </row>
    <row r="1998" spans="1:10" ht="16" x14ac:dyDescent="0.45">
      <c r="A1998" s="153" t="str">
        <f>B1998&amp;C1998&amp;E1998&amp;G1998</f>
        <v>프레임컴포트 프레임9서비스프리</v>
      </c>
      <c r="B1998" s="17" t="s">
        <v>487</v>
      </c>
      <c r="C1998" s="18" t="s">
        <v>568</v>
      </c>
      <c r="D1998" s="19" t="s">
        <v>702</v>
      </c>
      <c r="E1998" s="19">
        <v>9</v>
      </c>
      <c r="F1998" s="19" t="s">
        <v>0</v>
      </c>
      <c r="G1998" s="20" t="s">
        <v>183</v>
      </c>
      <c r="H1998" s="36">
        <v>30900</v>
      </c>
      <c r="I1998" s="36">
        <v>30900</v>
      </c>
      <c r="J1998" s="25">
        <v>300700</v>
      </c>
    </row>
    <row r="1999" spans="1:10" ht="16" x14ac:dyDescent="0.45">
      <c r="A1999" s="153" t="str">
        <f>B1999&amp;C1999&amp;E1999&amp;G1999</f>
        <v>프레임컴포트 프레임5서비스프리</v>
      </c>
      <c r="B1999" s="17" t="s">
        <v>487</v>
      </c>
      <c r="C1999" s="18" t="s">
        <v>568</v>
      </c>
      <c r="D1999" s="19" t="s">
        <v>701</v>
      </c>
      <c r="E1999" s="19">
        <v>5</v>
      </c>
      <c r="F1999" s="19" t="s">
        <v>0</v>
      </c>
      <c r="G1999" s="20" t="s">
        <v>183</v>
      </c>
      <c r="H1999" s="36">
        <v>42900</v>
      </c>
      <c r="I1999" s="36">
        <v>42900</v>
      </c>
      <c r="J1999" s="25">
        <v>251000</v>
      </c>
    </row>
    <row r="2000" spans="1:10" ht="16" x14ac:dyDescent="0.45">
      <c r="A2000" s="153" t="str">
        <f>B2000&amp;C2000&amp;E2000&amp;G2000</f>
        <v>프레임컴포트 프레임7서비스프리</v>
      </c>
      <c r="B2000" s="17" t="s">
        <v>487</v>
      </c>
      <c r="C2000" s="18" t="s">
        <v>568</v>
      </c>
      <c r="D2000" s="19" t="s">
        <v>701</v>
      </c>
      <c r="E2000" s="19">
        <v>7</v>
      </c>
      <c r="F2000" s="19" t="s">
        <v>0</v>
      </c>
      <c r="G2000" s="20" t="s">
        <v>183</v>
      </c>
      <c r="H2000" s="36">
        <v>32900</v>
      </c>
      <c r="I2000" s="36">
        <v>32900</v>
      </c>
      <c r="J2000" s="25">
        <v>276100</v>
      </c>
    </row>
    <row r="2001" spans="1:10" ht="16" x14ac:dyDescent="0.45">
      <c r="A2001" s="153" t="str">
        <f>B2001&amp;C2001&amp;E2001&amp;G2001</f>
        <v>프레임컴포트 프레임9서비스프리</v>
      </c>
      <c r="B2001" s="17" t="s">
        <v>487</v>
      </c>
      <c r="C2001" s="18" t="s">
        <v>568</v>
      </c>
      <c r="D2001" s="19" t="s">
        <v>701</v>
      </c>
      <c r="E2001" s="19">
        <v>9</v>
      </c>
      <c r="F2001" s="19" t="s">
        <v>0</v>
      </c>
      <c r="G2001" s="20" t="s">
        <v>183</v>
      </c>
      <c r="H2001" s="36">
        <v>27900</v>
      </c>
      <c r="I2001" s="36">
        <v>27900</v>
      </c>
      <c r="J2001" s="25">
        <v>276100</v>
      </c>
    </row>
    <row r="2002" spans="1:10" ht="16" x14ac:dyDescent="0.45">
      <c r="A2002" s="153" t="str">
        <f>B2002&amp;C2002&amp;E2002&amp;G2002</f>
        <v>프레임컴포트 프레임5서비스프리</v>
      </c>
      <c r="B2002" s="17" t="s">
        <v>487</v>
      </c>
      <c r="C2002" s="18" t="s">
        <v>568</v>
      </c>
      <c r="D2002" s="19" t="s">
        <v>700</v>
      </c>
      <c r="E2002" s="19">
        <v>5</v>
      </c>
      <c r="F2002" s="19" t="s">
        <v>0</v>
      </c>
      <c r="G2002" s="20" t="s">
        <v>183</v>
      </c>
      <c r="H2002" s="36">
        <v>38900</v>
      </c>
      <c r="I2002" s="36">
        <v>38900</v>
      </c>
      <c r="J2002" s="25">
        <v>239700</v>
      </c>
    </row>
    <row r="2003" spans="1:10" ht="16" x14ac:dyDescent="0.45">
      <c r="A2003" s="153" t="str">
        <f>B2003&amp;C2003&amp;E2003&amp;G2003</f>
        <v>프레임컴포트 프레임7서비스프리</v>
      </c>
      <c r="B2003" s="17" t="s">
        <v>487</v>
      </c>
      <c r="C2003" s="18" t="s">
        <v>568</v>
      </c>
      <c r="D2003" s="19" t="s">
        <v>700</v>
      </c>
      <c r="E2003" s="19">
        <v>7</v>
      </c>
      <c r="F2003" s="19" t="s">
        <v>0</v>
      </c>
      <c r="G2003" s="20" t="s">
        <v>183</v>
      </c>
      <c r="H2003" s="36">
        <v>28900</v>
      </c>
      <c r="I2003" s="36">
        <v>28900</v>
      </c>
      <c r="J2003" s="25">
        <v>263700</v>
      </c>
    </row>
    <row r="2004" spans="1:10" ht="16" x14ac:dyDescent="0.45">
      <c r="A2004" s="153" t="str">
        <f>B2004&amp;C2004&amp;E2004&amp;G2004</f>
        <v>프레임컴포트 프레임9서비스프리</v>
      </c>
      <c r="B2004" s="17" t="s">
        <v>487</v>
      </c>
      <c r="C2004" s="18" t="s">
        <v>568</v>
      </c>
      <c r="D2004" s="19" t="s">
        <v>700</v>
      </c>
      <c r="E2004" s="19">
        <v>9</v>
      </c>
      <c r="F2004" s="19" t="s">
        <v>0</v>
      </c>
      <c r="G2004" s="20" t="s">
        <v>183</v>
      </c>
      <c r="H2004" s="36">
        <v>23900</v>
      </c>
      <c r="I2004" s="36">
        <v>23900</v>
      </c>
      <c r="J2004" s="25">
        <v>263700</v>
      </c>
    </row>
    <row r="2005" spans="1:10" ht="16" x14ac:dyDescent="0.45">
      <c r="A2005" s="153" t="str">
        <f>B2005&amp;C2005&amp;E2005&amp;G2005</f>
        <v>프레임코지 프레임5서비스프리</v>
      </c>
      <c r="B2005" s="17" t="s">
        <v>487</v>
      </c>
      <c r="C2005" s="18" t="s">
        <v>991</v>
      </c>
      <c r="D2005" s="19" t="s">
        <v>993</v>
      </c>
      <c r="E2005" s="19">
        <v>5</v>
      </c>
      <c r="F2005" s="19" t="s">
        <v>0</v>
      </c>
      <c r="G2005" s="20" t="s">
        <v>183</v>
      </c>
      <c r="H2005" s="36">
        <v>30900</v>
      </c>
      <c r="I2005" s="36">
        <v>30900</v>
      </c>
      <c r="J2005" s="25">
        <v>219800</v>
      </c>
    </row>
    <row r="2006" spans="1:10" ht="16" x14ac:dyDescent="0.45">
      <c r="A2006" s="153" t="str">
        <f>B2006&amp;C2006&amp;E2006&amp;G2006</f>
        <v>프레임코지 프레임7서비스프리</v>
      </c>
      <c r="B2006" s="17" t="s">
        <v>487</v>
      </c>
      <c r="C2006" s="18" t="s">
        <v>991</v>
      </c>
      <c r="D2006" s="19" t="s">
        <v>993</v>
      </c>
      <c r="E2006" s="19">
        <v>7</v>
      </c>
      <c r="F2006" s="19" t="s">
        <v>0</v>
      </c>
      <c r="G2006" s="20" t="s">
        <v>183</v>
      </c>
      <c r="H2006" s="36">
        <v>23900</v>
      </c>
      <c r="I2006" s="36">
        <v>23900</v>
      </c>
      <c r="J2006" s="25">
        <v>241800</v>
      </c>
    </row>
    <row r="2007" spans="1:10" ht="16" x14ac:dyDescent="0.45">
      <c r="A2007" s="153" t="str">
        <f>B2007&amp;C2007&amp;E2007&amp;G2007</f>
        <v>프레임코지 프레임9서비스프리</v>
      </c>
      <c r="B2007" s="17" t="s">
        <v>487</v>
      </c>
      <c r="C2007" s="18" t="s">
        <v>991</v>
      </c>
      <c r="D2007" s="19" t="s">
        <v>993</v>
      </c>
      <c r="E2007" s="19">
        <v>9</v>
      </c>
      <c r="F2007" s="19" t="s">
        <v>0</v>
      </c>
      <c r="G2007" s="20" t="s">
        <v>183</v>
      </c>
      <c r="H2007" s="36">
        <v>20900</v>
      </c>
      <c r="I2007" s="36">
        <v>20900</v>
      </c>
      <c r="J2007" s="25">
        <v>241800</v>
      </c>
    </row>
    <row r="2008" spans="1:10" ht="16" x14ac:dyDescent="0.45">
      <c r="A2008" s="153" t="str">
        <f>B2008&amp;C2008&amp;E2008&amp;G2008</f>
        <v>프레임코지 프레임5서비스프리</v>
      </c>
      <c r="B2008" s="17" t="s">
        <v>487</v>
      </c>
      <c r="C2008" s="18" t="s">
        <v>991</v>
      </c>
      <c r="D2008" s="19" t="s">
        <v>992</v>
      </c>
      <c r="E2008" s="19">
        <v>5</v>
      </c>
      <c r="F2008" s="19" t="s">
        <v>0</v>
      </c>
      <c r="G2008" s="20" t="s">
        <v>183</v>
      </c>
      <c r="H2008" s="36">
        <v>36900</v>
      </c>
      <c r="I2008" s="36">
        <v>36900</v>
      </c>
      <c r="J2008" s="25">
        <v>231100</v>
      </c>
    </row>
    <row r="2009" spans="1:10" ht="16" x14ac:dyDescent="0.45">
      <c r="A2009" s="153" t="str">
        <f>B2009&amp;C2009&amp;E2009&amp;G2009</f>
        <v>프레임코지 프레임7서비스프리</v>
      </c>
      <c r="B2009" s="17" t="s">
        <v>487</v>
      </c>
      <c r="C2009" s="18" t="s">
        <v>991</v>
      </c>
      <c r="D2009" s="19" t="s">
        <v>992</v>
      </c>
      <c r="E2009" s="19">
        <v>7</v>
      </c>
      <c r="F2009" s="19" t="s">
        <v>0</v>
      </c>
      <c r="G2009" s="20" t="s">
        <v>183</v>
      </c>
      <c r="H2009" s="36">
        <v>26900</v>
      </c>
      <c r="I2009" s="36">
        <v>26900</v>
      </c>
      <c r="J2009" s="25">
        <v>254200</v>
      </c>
    </row>
    <row r="2010" spans="1:10" ht="16" x14ac:dyDescent="0.45">
      <c r="A2010" s="153" t="str">
        <f>B2010&amp;C2010&amp;E2010&amp;G2010</f>
        <v>프레임코지 프레임9서비스프리</v>
      </c>
      <c r="B2010" s="17" t="s">
        <v>487</v>
      </c>
      <c r="C2010" s="18" t="s">
        <v>991</v>
      </c>
      <c r="D2010" s="19" t="s">
        <v>992</v>
      </c>
      <c r="E2010" s="19">
        <v>9</v>
      </c>
      <c r="F2010" s="19" t="s">
        <v>0</v>
      </c>
      <c r="G2010" s="20" t="s">
        <v>183</v>
      </c>
      <c r="H2010" s="36">
        <v>21900</v>
      </c>
      <c r="I2010" s="36">
        <v>21900</v>
      </c>
      <c r="J2010" s="25">
        <v>254200</v>
      </c>
    </row>
    <row r="2011" spans="1:10" ht="16" x14ac:dyDescent="0.45">
      <c r="A2011" s="153" t="str">
        <f>B2011&amp;C2011&amp;E2011&amp;G2011</f>
        <v>프레임코지 프레임5서비스프리</v>
      </c>
      <c r="B2011" s="17" t="s">
        <v>487</v>
      </c>
      <c r="C2011" s="18" t="s">
        <v>991</v>
      </c>
      <c r="D2011" s="19" t="s">
        <v>994</v>
      </c>
      <c r="E2011" s="19">
        <v>5</v>
      </c>
      <c r="F2011" s="19" t="s">
        <v>0</v>
      </c>
      <c r="G2011" s="20" t="s">
        <v>183</v>
      </c>
      <c r="H2011" s="36">
        <v>28900</v>
      </c>
      <c r="I2011" s="36">
        <v>28900</v>
      </c>
      <c r="J2011" s="25">
        <v>208600</v>
      </c>
    </row>
    <row r="2012" spans="1:10" ht="16" x14ac:dyDescent="0.45">
      <c r="A2012" s="153" t="str">
        <f>B2012&amp;C2012&amp;E2012&amp;G2012</f>
        <v>프레임코지 프레임7서비스프리</v>
      </c>
      <c r="B2012" s="17" t="s">
        <v>487</v>
      </c>
      <c r="C2012" s="18" t="s">
        <v>991</v>
      </c>
      <c r="D2012" s="19" t="s">
        <v>994</v>
      </c>
      <c r="E2012" s="19">
        <v>7</v>
      </c>
      <c r="F2012" s="19" t="s">
        <v>0</v>
      </c>
      <c r="G2012" s="20" t="s">
        <v>183</v>
      </c>
      <c r="H2012" s="36">
        <v>21900</v>
      </c>
      <c r="I2012" s="36">
        <v>21900</v>
      </c>
      <c r="J2012" s="25">
        <v>229500</v>
      </c>
    </row>
    <row r="2013" spans="1:10" ht="16" x14ac:dyDescent="0.45">
      <c r="A2013" s="153" t="str">
        <f>B2013&amp;C2013&amp;E2013&amp;G2013</f>
        <v>프레임코지 프레임9서비스프리</v>
      </c>
      <c r="B2013" s="17" t="s">
        <v>487</v>
      </c>
      <c r="C2013" s="18" t="s">
        <v>991</v>
      </c>
      <c r="D2013" s="19" t="s">
        <v>994</v>
      </c>
      <c r="E2013" s="19">
        <v>9</v>
      </c>
      <c r="F2013" s="19" t="s">
        <v>0</v>
      </c>
      <c r="G2013" s="20" t="s">
        <v>183</v>
      </c>
      <c r="H2013" s="36">
        <v>18900</v>
      </c>
      <c r="I2013" s="36">
        <v>18900</v>
      </c>
      <c r="J2013" s="25">
        <v>229500</v>
      </c>
    </row>
    <row r="2014" spans="1:10" ht="16" x14ac:dyDescent="0.45">
      <c r="A2014" s="153" t="str">
        <f>B2014&amp;C2014&amp;E2014&amp;G2014</f>
        <v>프레임코지 프레임5서비스프리</v>
      </c>
      <c r="B2014" s="17" t="s">
        <v>487</v>
      </c>
      <c r="C2014" s="18" t="s">
        <v>991</v>
      </c>
      <c r="D2014" s="19" t="s">
        <v>995</v>
      </c>
      <c r="E2014" s="19">
        <v>5</v>
      </c>
      <c r="F2014" s="19" t="s">
        <v>0</v>
      </c>
      <c r="G2014" s="20" t="s">
        <v>183</v>
      </c>
      <c r="H2014" s="36">
        <v>26900</v>
      </c>
      <c r="I2014" s="36">
        <v>26900</v>
      </c>
      <c r="J2014" s="25">
        <v>208600</v>
      </c>
    </row>
    <row r="2015" spans="1:10" ht="16" x14ac:dyDescent="0.45">
      <c r="A2015" s="153" t="str">
        <f>B2015&amp;C2015&amp;E2015&amp;G2015</f>
        <v>프레임코지 프레임7서비스프리</v>
      </c>
      <c r="B2015" s="17" t="s">
        <v>487</v>
      </c>
      <c r="C2015" s="18" t="s">
        <v>991</v>
      </c>
      <c r="D2015" s="19" t="s">
        <v>995</v>
      </c>
      <c r="E2015" s="19">
        <v>7</v>
      </c>
      <c r="F2015" s="19" t="s">
        <v>0</v>
      </c>
      <c r="G2015" s="20" t="s">
        <v>183</v>
      </c>
      <c r="H2015" s="36">
        <v>20900</v>
      </c>
      <c r="I2015" s="36">
        <v>20900</v>
      </c>
      <c r="J2015" s="25">
        <v>229500</v>
      </c>
    </row>
    <row r="2016" spans="1:10" ht="16" x14ac:dyDescent="0.45">
      <c r="A2016" s="153" t="str">
        <f>B2016&amp;C2016&amp;E2016&amp;G2016</f>
        <v>프레임코지 프레임9서비스프리</v>
      </c>
      <c r="B2016" s="17" t="s">
        <v>487</v>
      </c>
      <c r="C2016" s="18" t="s">
        <v>991</v>
      </c>
      <c r="D2016" s="19" t="s">
        <v>995</v>
      </c>
      <c r="E2016" s="19">
        <v>9</v>
      </c>
      <c r="F2016" s="19" t="s">
        <v>0</v>
      </c>
      <c r="G2016" s="20" t="s">
        <v>183</v>
      </c>
      <c r="H2016" s="36">
        <v>17900</v>
      </c>
      <c r="I2016" s="36">
        <v>17900</v>
      </c>
      <c r="J2016" s="25">
        <v>229500</v>
      </c>
    </row>
    <row r="2017" spans="1:10" ht="16" x14ac:dyDescent="0.45">
      <c r="A2017" s="153" t="str">
        <f>B2017&amp;C2017&amp;E2017&amp;G2017</f>
        <v>프레임파운데이션5서비스프리</v>
      </c>
      <c r="B2017" s="17" t="s">
        <v>487</v>
      </c>
      <c r="C2017" s="18" t="s">
        <v>569</v>
      </c>
      <c r="D2017" s="19" t="s">
        <v>669</v>
      </c>
      <c r="E2017" s="19">
        <v>5</v>
      </c>
      <c r="F2017" s="19" t="s">
        <v>0</v>
      </c>
      <c r="G2017" s="20" t="s">
        <v>183</v>
      </c>
      <c r="H2017" s="36">
        <v>17900</v>
      </c>
      <c r="I2017" s="36">
        <v>17900</v>
      </c>
      <c r="J2017" s="25">
        <v>197400</v>
      </c>
    </row>
    <row r="2018" spans="1:10" ht="16" x14ac:dyDescent="0.45">
      <c r="A2018" s="153" t="str">
        <f>B2018&amp;C2018&amp;E2018&amp;G2018</f>
        <v>프레임파운데이션6서비스프리</v>
      </c>
      <c r="B2018" s="17" t="s">
        <v>487</v>
      </c>
      <c r="C2018" s="18" t="s">
        <v>569</v>
      </c>
      <c r="D2018" s="19" t="s">
        <v>669</v>
      </c>
      <c r="E2018" s="19">
        <v>6</v>
      </c>
      <c r="F2018" s="19" t="s">
        <v>0</v>
      </c>
      <c r="G2018" s="20" t="s">
        <v>183</v>
      </c>
      <c r="H2018" s="36">
        <v>16900</v>
      </c>
      <c r="I2018" s="36">
        <v>16900</v>
      </c>
      <c r="J2018" s="25">
        <v>197400</v>
      </c>
    </row>
    <row r="2019" spans="1:10" ht="16" x14ac:dyDescent="0.45">
      <c r="A2019" s="153" t="str">
        <f>B2019&amp;C2019&amp;E2019&amp;G2019</f>
        <v>프레임파운데이션7서비스프리</v>
      </c>
      <c r="B2019" s="17" t="s">
        <v>487</v>
      </c>
      <c r="C2019" s="18" t="s">
        <v>569</v>
      </c>
      <c r="D2019" s="19" t="s">
        <v>669</v>
      </c>
      <c r="E2019" s="19">
        <v>7</v>
      </c>
      <c r="F2019" s="19" t="s">
        <v>0</v>
      </c>
      <c r="G2019" s="20" t="s">
        <v>183</v>
      </c>
      <c r="H2019" s="36">
        <v>15900</v>
      </c>
      <c r="I2019" s="36">
        <v>15900</v>
      </c>
      <c r="J2019" s="25">
        <v>217100</v>
      </c>
    </row>
    <row r="2020" spans="1:10" ht="16" x14ac:dyDescent="0.45">
      <c r="A2020" s="153" t="str">
        <f>B2020&amp;C2020&amp;E2020&amp;G2020</f>
        <v>프레임파운데이션9서비스프리</v>
      </c>
      <c r="B2020" s="17" t="s">
        <v>487</v>
      </c>
      <c r="C2020" s="18" t="s">
        <v>569</v>
      </c>
      <c r="D2020" s="19" t="s">
        <v>669</v>
      </c>
      <c r="E2020" s="19">
        <v>9</v>
      </c>
      <c r="F2020" s="19" t="s">
        <v>0</v>
      </c>
      <c r="G2020" s="20" t="s">
        <v>183</v>
      </c>
      <c r="H2020" s="36">
        <v>14900</v>
      </c>
      <c r="I2020" s="36">
        <v>14900</v>
      </c>
      <c r="J2020" s="25">
        <v>217100</v>
      </c>
    </row>
    <row r="2021" spans="1:10" ht="16" x14ac:dyDescent="0.45">
      <c r="A2021" s="153" t="str">
        <f>B2021&amp;C2021&amp;E2021&amp;G2021</f>
        <v>프레임파운데이션5서비스프리</v>
      </c>
      <c r="B2021" s="17" t="s">
        <v>487</v>
      </c>
      <c r="C2021" s="18" t="s">
        <v>569</v>
      </c>
      <c r="D2021" s="19" t="s">
        <v>318</v>
      </c>
      <c r="E2021" s="19">
        <v>5</v>
      </c>
      <c r="F2021" s="19" t="s">
        <v>0</v>
      </c>
      <c r="G2021" s="20" t="s">
        <v>183</v>
      </c>
      <c r="H2021" s="36">
        <v>17900</v>
      </c>
      <c r="I2021" s="36">
        <v>17900</v>
      </c>
      <c r="J2021" s="25">
        <v>197400</v>
      </c>
    </row>
    <row r="2022" spans="1:10" ht="16" x14ac:dyDescent="0.45">
      <c r="A2022" s="153" t="str">
        <f>B2022&amp;C2022&amp;E2022&amp;G2022</f>
        <v>프레임파운데이션6서비스프리</v>
      </c>
      <c r="B2022" s="17" t="s">
        <v>487</v>
      </c>
      <c r="C2022" s="18" t="s">
        <v>569</v>
      </c>
      <c r="D2022" s="19" t="s">
        <v>318</v>
      </c>
      <c r="E2022" s="19">
        <v>6</v>
      </c>
      <c r="F2022" s="19" t="s">
        <v>0</v>
      </c>
      <c r="G2022" s="20" t="s">
        <v>183</v>
      </c>
      <c r="H2022" s="36">
        <v>16900</v>
      </c>
      <c r="I2022" s="36">
        <v>16900</v>
      </c>
      <c r="J2022" s="25">
        <v>197400</v>
      </c>
    </row>
    <row r="2023" spans="1:10" ht="16" x14ac:dyDescent="0.45">
      <c r="A2023" s="153" t="str">
        <f>B2023&amp;C2023&amp;E2023&amp;G2023</f>
        <v>프레임파운데이션7서비스프리</v>
      </c>
      <c r="B2023" s="17" t="s">
        <v>487</v>
      </c>
      <c r="C2023" s="18" t="s">
        <v>569</v>
      </c>
      <c r="D2023" s="19" t="s">
        <v>318</v>
      </c>
      <c r="E2023" s="19">
        <v>7</v>
      </c>
      <c r="F2023" s="19" t="s">
        <v>0</v>
      </c>
      <c r="G2023" s="20" t="s">
        <v>183</v>
      </c>
      <c r="H2023" s="36">
        <v>15900</v>
      </c>
      <c r="I2023" s="36">
        <v>15900</v>
      </c>
      <c r="J2023" s="25">
        <v>217100</v>
      </c>
    </row>
    <row r="2024" spans="1:10" ht="16" x14ac:dyDescent="0.45">
      <c r="A2024" s="153" t="str">
        <f>B2024&amp;C2024&amp;E2024&amp;G2024</f>
        <v>프레임파운데이션9서비스프리</v>
      </c>
      <c r="B2024" s="17" t="s">
        <v>487</v>
      </c>
      <c r="C2024" s="18" t="s">
        <v>569</v>
      </c>
      <c r="D2024" s="19" t="s">
        <v>318</v>
      </c>
      <c r="E2024" s="19">
        <v>9</v>
      </c>
      <c r="F2024" s="19" t="s">
        <v>0</v>
      </c>
      <c r="G2024" s="20" t="s">
        <v>183</v>
      </c>
      <c r="H2024" s="36">
        <v>14900</v>
      </c>
      <c r="I2024" s="36">
        <v>14900</v>
      </c>
      <c r="J2024" s="25">
        <v>217100</v>
      </c>
    </row>
    <row r="2025" spans="1:10" ht="16" x14ac:dyDescent="0.45">
      <c r="A2025" s="153" t="str">
        <f>B2025&amp;C2025&amp;E2025&amp;G2025</f>
        <v>프레임파운데이션5서비스프리</v>
      </c>
      <c r="B2025" s="17" t="s">
        <v>487</v>
      </c>
      <c r="C2025" s="18" t="s">
        <v>569</v>
      </c>
      <c r="D2025" s="19" t="s">
        <v>708</v>
      </c>
      <c r="E2025" s="19">
        <v>5</v>
      </c>
      <c r="F2025" s="19" t="s">
        <v>0</v>
      </c>
      <c r="G2025" s="20" t="s">
        <v>183</v>
      </c>
      <c r="H2025" s="36">
        <v>17900</v>
      </c>
      <c r="I2025" s="36">
        <v>17900</v>
      </c>
      <c r="J2025" s="25">
        <v>197400</v>
      </c>
    </row>
    <row r="2026" spans="1:10" ht="16" x14ac:dyDescent="0.45">
      <c r="A2026" s="153" t="str">
        <f>B2026&amp;C2026&amp;E2026&amp;G2026</f>
        <v>프레임파운데이션7서비스프리</v>
      </c>
      <c r="B2026" s="17" t="s">
        <v>487</v>
      </c>
      <c r="C2026" s="18" t="s">
        <v>569</v>
      </c>
      <c r="D2026" s="19" t="s">
        <v>708</v>
      </c>
      <c r="E2026" s="19">
        <v>7</v>
      </c>
      <c r="F2026" s="19" t="s">
        <v>0</v>
      </c>
      <c r="G2026" s="20" t="s">
        <v>183</v>
      </c>
      <c r="H2026" s="36">
        <v>15900</v>
      </c>
      <c r="I2026" s="36">
        <v>15900</v>
      </c>
      <c r="J2026" s="25">
        <v>217100</v>
      </c>
    </row>
    <row r="2027" spans="1:10" ht="16" x14ac:dyDescent="0.45">
      <c r="A2027" s="153" t="str">
        <f>B2027&amp;C2027&amp;E2027&amp;G2027</f>
        <v>프레임파운데이션9서비스프리</v>
      </c>
      <c r="B2027" s="17" t="s">
        <v>487</v>
      </c>
      <c r="C2027" s="18" t="s">
        <v>569</v>
      </c>
      <c r="D2027" s="19" t="s">
        <v>708</v>
      </c>
      <c r="E2027" s="19">
        <v>9</v>
      </c>
      <c r="F2027" s="19" t="s">
        <v>0</v>
      </c>
      <c r="G2027" s="20" t="s">
        <v>183</v>
      </c>
      <c r="H2027" s="36">
        <v>14900</v>
      </c>
      <c r="I2027" s="36">
        <v>14900</v>
      </c>
      <c r="J2027" s="25">
        <v>217100</v>
      </c>
    </row>
    <row r="2028" spans="1:10" ht="16" x14ac:dyDescent="0.45">
      <c r="A2028" s="153" t="str">
        <f>B2028&amp;C2028&amp;E2028&amp;G2028</f>
        <v>프레임파운데이션5서비스프리</v>
      </c>
      <c r="B2028" s="17" t="s">
        <v>487</v>
      </c>
      <c r="C2028" s="18" t="s">
        <v>569</v>
      </c>
      <c r="D2028" s="19" t="s">
        <v>332</v>
      </c>
      <c r="E2028" s="19">
        <v>5</v>
      </c>
      <c r="F2028" s="19" t="s">
        <v>0</v>
      </c>
      <c r="G2028" s="20" t="s">
        <v>183</v>
      </c>
      <c r="H2028" s="36">
        <v>18900</v>
      </c>
      <c r="I2028" s="36">
        <v>18900</v>
      </c>
      <c r="J2028" s="25">
        <v>197400</v>
      </c>
    </row>
    <row r="2029" spans="1:10" ht="16" x14ac:dyDescent="0.45">
      <c r="A2029" s="153" t="str">
        <f>B2029&amp;C2029&amp;E2029&amp;G2029</f>
        <v>프레임파운데이션6서비스프리</v>
      </c>
      <c r="B2029" s="17" t="s">
        <v>487</v>
      </c>
      <c r="C2029" s="18" t="s">
        <v>569</v>
      </c>
      <c r="D2029" s="19" t="s">
        <v>332</v>
      </c>
      <c r="E2029" s="19">
        <v>6</v>
      </c>
      <c r="F2029" s="19" t="s">
        <v>0</v>
      </c>
      <c r="G2029" s="20" t="s">
        <v>183</v>
      </c>
      <c r="H2029" s="36">
        <v>17900</v>
      </c>
      <c r="I2029" s="36">
        <v>17900</v>
      </c>
      <c r="J2029" s="25">
        <v>197400</v>
      </c>
    </row>
    <row r="2030" spans="1:10" ht="16" x14ac:dyDescent="0.45">
      <c r="A2030" s="153" t="str">
        <f>B2030&amp;C2030&amp;E2030&amp;G2030</f>
        <v>프레임파운데이션7서비스프리</v>
      </c>
      <c r="B2030" s="17" t="s">
        <v>487</v>
      </c>
      <c r="C2030" s="18" t="s">
        <v>569</v>
      </c>
      <c r="D2030" s="19" t="s">
        <v>332</v>
      </c>
      <c r="E2030" s="19">
        <v>7</v>
      </c>
      <c r="F2030" s="19" t="s">
        <v>0</v>
      </c>
      <c r="G2030" s="20" t="s">
        <v>183</v>
      </c>
      <c r="H2030" s="36">
        <v>16900</v>
      </c>
      <c r="I2030" s="36">
        <v>16900</v>
      </c>
      <c r="J2030" s="25">
        <v>217100</v>
      </c>
    </row>
    <row r="2031" spans="1:10" ht="16" x14ac:dyDescent="0.45">
      <c r="A2031" s="153" t="str">
        <f>B2031&amp;C2031&amp;E2031&amp;G2031</f>
        <v>프레임파운데이션9서비스프리</v>
      </c>
      <c r="B2031" s="17" t="s">
        <v>487</v>
      </c>
      <c r="C2031" s="18" t="s">
        <v>569</v>
      </c>
      <c r="D2031" s="19" t="s">
        <v>332</v>
      </c>
      <c r="E2031" s="19">
        <v>9</v>
      </c>
      <c r="F2031" s="19" t="s">
        <v>0</v>
      </c>
      <c r="G2031" s="20" t="s">
        <v>183</v>
      </c>
      <c r="H2031" s="36">
        <v>15900</v>
      </c>
      <c r="I2031" s="36">
        <v>15900</v>
      </c>
      <c r="J2031" s="25">
        <v>217100</v>
      </c>
    </row>
    <row r="2032" spans="1:10" ht="16" x14ac:dyDescent="0.45">
      <c r="A2032" s="153" t="str">
        <f>B2032&amp;C2032&amp;E2032&amp;G2032</f>
        <v>프레임파운데이션5서비스프리</v>
      </c>
      <c r="B2032" s="17" t="s">
        <v>487</v>
      </c>
      <c r="C2032" s="18" t="s">
        <v>569</v>
      </c>
      <c r="D2032" s="19" t="s">
        <v>709</v>
      </c>
      <c r="E2032" s="19">
        <v>5</v>
      </c>
      <c r="F2032" s="19" t="s">
        <v>0</v>
      </c>
      <c r="G2032" s="20" t="s">
        <v>183</v>
      </c>
      <c r="H2032" s="36">
        <v>18900</v>
      </c>
      <c r="I2032" s="36">
        <v>18900</v>
      </c>
      <c r="J2032" s="25">
        <v>197400</v>
      </c>
    </row>
    <row r="2033" spans="1:10" ht="16" x14ac:dyDescent="0.45">
      <c r="A2033" s="153" t="str">
        <f>B2033&amp;C2033&amp;E2033&amp;G2033</f>
        <v>프레임파운데이션7서비스프리</v>
      </c>
      <c r="B2033" s="17" t="s">
        <v>487</v>
      </c>
      <c r="C2033" s="18" t="s">
        <v>569</v>
      </c>
      <c r="D2033" s="19" t="s">
        <v>709</v>
      </c>
      <c r="E2033" s="19">
        <v>7</v>
      </c>
      <c r="F2033" s="19" t="s">
        <v>0</v>
      </c>
      <c r="G2033" s="20" t="s">
        <v>183</v>
      </c>
      <c r="H2033" s="36">
        <v>16900</v>
      </c>
      <c r="I2033" s="36">
        <v>16900</v>
      </c>
      <c r="J2033" s="25">
        <v>217100</v>
      </c>
    </row>
    <row r="2034" spans="1:10" ht="16" x14ac:dyDescent="0.45">
      <c r="A2034" s="153" t="str">
        <f>B2034&amp;C2034&amp;E2034&amp;G2034</f>
        <v>프레임파운데이션9서비스프리</v>
      </c>
      <c r="B2034" s="17" t="s">
        <v>487</v>
      </c>
      <c r="C2034" s="18" t="s">
        <v>569</v>
      </c>
      <c r="D2034" s="19" t="s">
        <v>709</v>
      </c>
      <c r="E2034" s="19">
        <v>9</v>
      </c>
      <c r="F2034" s="19" t="s">
        <v>0</v>
      </c>
      <c r="G2034" s="20" t="s">
        <v>183</v>
      </c>
      <c r="H2034" s="36">
        <v>15900</v>
      </c>
      <c r="I2034" s="36">
        <v>15900</v>
      </c>
      <c r="J2034" s="25">
        <v>217100</v>
      </c>
    </row>
    <row r="2035" spans="1:10" ht="16" x14ac:dyDescent="0.45">
      <c r="A2035" s="153" t="str">
        <f>B2035&amp;C2035&amp;E2035&amp;G2035</f>
        <v>프레임파운데이션5서비스프리</v>
      </c>
      <c r="B2035" s="17" t="s">
        <v>487</v>
      </c>
      <c r="C2035" s="18" t="s">
        <v>569</v>
      </c>
      <c r="D2035" s="19" t="s">
        <v>306</v>
      </c>
      <c r="E2035" s="19">
        <v>5</v>
      </c>
      <c r="F2035" s="19" t="s">
        <v>0</v>
      </c>
      <c r="G2035" s="20" t="s">
        <v>183</v>
      </c>
      <c r="H2035" s="36">
        <v>16900</v>
      </c>
      <c r="I2035" s="36">
        <v>16900</v>
      </c>
      <c r="J2035" s="25">
        <v>197400</v>
      </c>
    </row>
    <row r="2036" spans="1:10" ht="16" x14ac:dyDescent="0.45">
      <c r="A2036" s="153" t="str">
        <f>B2036&amp;C2036&amp;E2036&amp;G2036</f>
        <v>프레임파운데이션6서비스프리</v>
      </c>
      <c r="B2036" s="17" t="s">
        <v>487</v>
      </c>
      <c r="C2036" s="18" t="s">
        <v>569</v>
      </c>
      <c r="D2036" s="19" t="s">
        <v>306</v>
      </c>
      <c r="E2036" s="19">
        <v>6</v>
      </c>
      <c r="F2036" s="19" t="s">
        <v>0</v>
      </c>
      <c r="G2036" s="20" t="s">
        <v>183</v>
      </c>
      <c r="H2036" s="36">
        <v>15900</v>
      </c>
      <c r="I2036" s="36">
        <v>15900</v>
      </c>
      <c r="J2036" s="25">
        <v>197400</v>
      </c>
    </row>
    <row r="2037" spans="1:10" ht="16" x14ac:dyDescent="0.45">
      <c r="A2037" s="153" t="str">
        <f>B2037&amp;C2037&amp;E2037&amp;G2037</f>
        <v>프레임파운데이션7서비스프리</v>
      </c>
      <c r="B2037" s="17" t="s">
        <v>487</v>
      </c>
      <c r="C2037" s="18" t="s">
        <v>569</v>
      </c>
      <c r="D2037" s="19" t="s">
        <v>306</v>
      </c>
      <c r="E2037" s="19">
        <v>7</v>
      </c>
      <c r="F2037" s="19" t="s">
        <v>0</v>
      </c>
      <c r="G2037" s="20" t="s">
        <v>183</v>
      </c>
      <c r="H2037" s="36">
        <v>14900</v>
      </c>
      <c r="I2037" s="36">
        <v>14900</v>
      </c>
      <c r="J2037" s="25">
        <v>217100</v>
      </c>
    </row>
    <row r="2038" spans="1:10" ht="16" x14ac:dyDescent="0.45">
      <c r="A2038" s="153" t="str">
        <f>B2038&amp;C2038&amp;E2038&amp;G2038</f>
        <v>프레임파운데이션9서비스프리</v>
      </c>
      <c r="B2038" s="17" t="s">
        <v>487</v>
      </c>
      <c r="C2038" s="18" t="s">
        <v>569</v>
      </c>
      <c r="D2038" s="19" t="s">
        <v>306</v>
      </c>
      <c r="E2038" s="19">
        <v>9</v>
      </c>
      <c r="F2038" s="19" t="s">
        <v>0</v>
      </c>
      <c r="G2038" s="20" t="s">
        <v>183</v>
      </c>
      <c r="H2038" s="36">
        <v>13900</v>
      </c>
      <c r="I2038" s="36">
        <v>13900</v>
      </c>
      <c r="J2038" s="25">
        <v>217100</v>
      </c>
    </row>
    <row r="2039" spans="1:10" ht="16" x14ac:dyDescent="0.45">
      <c r="A2039" s="153" t="str">
        <f>B2039&amp;C2039&amp;E2039&amp;G2039</f>
        <v>프레임파운데이션5서비스프리</v>
      </c>
      <c r="B2039" s="17" t="s">
        <v>487</v>
      </c>
      <c r="C2039" s="18" t="s">
        <v>569</v>
      </c>
      <c r="D2039" s="19" t="s">
        <v>319</v>
      </c>
      <c r="E2039" s="19">
        <v>5</v>
      </c>
      <c r="F2039" s="19" t="s">
        <v>0</v>
      </c>
      <c r="G2039" s="20" t="s">
        <v>183</v>
      </c>
      <c r="H2039" s="36">
        <v>16900</v>
      </c>
      <c r="I2039" s="36">
        <v>16900</v>
      </c>
      <c r="J2039" s="25">
        <v>197400</v>
      </c>
    </row>
    <row r="2040" spans="1:10" ht="16" x14ac:dyDescent="0.45">
      <c r="A2040" s="153" t="str">
        <f>B2040&amp;C2040&amp;E2040&amp;G2040</f>
        <v>프레임파운데이션6서비스프리</v>
      </c>
      <c r="B2040" s="17" t="s">
        <v>487</v>
      </c>
      <c r="C2040" s="18" t="s">
        <v>569</v>
      </c>
      <c r="D2040" s="19" t="s">
        <v>319</v>
      </c>
      <c r="E2040" s="19">
        <v>6</v>
      </c>
      <c r="F2040" s="19" t="s">
        <v>0</v>
      </c>
      <c r="G2040" s="20" t="s">
        <v>183</v>
      </c>
      <c r="H2040" s="36">
        <v>15900</v>
      </c>
      <c r="I2040" s="36">
        <v>15900</v>
      </c>
      <c r="J2040" s="25">
        <v>197400</v>
      </c>
    </row>
    <row r="2041" spans="1:10" ht="16" x14ac:dyDescent="0.45">
      <c r="A2041" s="153" t="str">
        <f>B2041&amp;C2041&amp;E2041&amp;G2041</f>
        <v>프레임파운데이션7서비스프리</v>
      </c>
      <c r="B2041" s="17" t="s">
        <v>487</v>
      </c>
      <c r="C2041" s="18" t="s">
        <v>569</v>
      </c>
      <c r="D2041" s="19" t="s">
        <v>319</v>
      </c>
      <c r="E2041" s="19">
        <v>7</v>
      </c>
      <c r="F2041" s="19" t="s">
        <v>0</v>
      </c>
      <c r="G2041" s="20" t="s">
        <v>183</v>
      </c>
      <c r="H2041" s="36">
        <v>14900</v>
      </c>
      <c r="I2041" s="36">
        <v>14900</v>
      </c>
      <c r="J2041" s="25">
        <v>217100</v>
      </c>
    </row>
    <row r="2042" spans="1:10" ht="16" x14ac:dyDescent="0.45">
      <c r="A2042" s="153" t="str">
        <f>B2042&amp;C2042&amp;E2042&amp;G2042</f>
        <v>프레임파운데이션9서비스프리</v>
      </c>
      <c r="B2042" s="17" t="s">
        <v>487</v>
      </c>
      <c r="C2042" s="18" t="s">
        <v>569</v>
      </c>
      <c r="D2042" s="19" t="s">
        <v>319</v>
      </c>
      <c r="E2042" s="19">
        <v>9</v>
      </c>
      <c r="F2042" s="19" t="s">
        <v>0</v>
      </c>
      <c r="G2042" s="20" t="s">
        <v>183</v>
      </c>
      <c r="H2042" s="36">
        <v>13900</v>
      </c>
      <c r="I2042" s="36">
        <v>13900</v>
      </c>
      <c r="J2042" s="25">
        <v>217100</v>
      </c>
    </row>
    <row r="2043" spans="1:10" ht="16" x14ac:dyDescent="0.45">
      <c r="A2043" s="153" t="str">
        <f>B2043&amp;C2043&amp;E2043&amp;G2043</f>
        <v>프레임파운데이션5서비스프리</v>
      </c>
      <c r="B2043" s="17" t="s">
        <v>487</v>
      </c>
      <c r="C2043" s="18" t="s">
        <v>569</v>
      </c>
      <c r="D2043" s="19" t="s">
        <v>707</v>
      </c>
      <c r="E2043" s="19">
        <v>5</v>
      </c>
      <c r="F2043" s="19" t="s">
        <v>0</v>
      </c>
      <c r="G2043" s="20" t="s">
        <v>183</v>
      </c>
      <c r="H2043" s="36">
        <v>16900</v>
      </c>
      <c r="I2043" s="36">
        <v>16900</v>
      </c>
      <c r="J2043" s="25">
        <v>197400</v>
      </c>
    </row>
    <row r="2044" spans="1:10" ht="16" x14ac:dyDescent="0.45">
      <c r="A2044" s="153" t="str">
        <f>B2044&amp;C2044&amp;E2044&amp;G2044</f>
        <v>프레임파운데이션7서비스프리</v>
      </c>
      <c r="B2044" s="17" t="s">
        <v>487</v>
      </c>
      <c r="C2044" s="18" t="s">
        <v>569</v>
      </c>
      <c r="D2044" s="19" t="s">
        <v>707</v>
      </c>
      <c r="E2044" s="19">
        <v>7</v>
      </c>
      <c r="F2044" s="19" t="s">
        <v>0</v>
      </c>
      <c r="G2044" s="20" t="s">
        <v>183</v>
      </c>
      <c r="H2044" s="36">
        <v>14900</v>
      </c>
      <c r="I2044" s="36">
        <v>14900</v>
      </c>
      <c r="J2044" s="25">
        <v>217100</v>
      </c>
    </row>
    <row r="2045" spans="1:10" ht="16" x14ac:dyDescent="0.45">
      <c r="A2045" s="153" t="str">
        <f>B2045&amp;C2045&amp;E2045&amp;G2045</f>
        <v>프레임파운데이션9서비스프리</v>
      </c>
      <c r="B2045" s="17" t="s">
        <v>487</v>
      </c>
      <c r="C2045" s="18" t="s">
        <v>569</v>
      </c>
      <c r="D2045" s="19" t="s">
        <v>707</v>
      </c>
      <c r="E2045" s="19">
        <v>9</v>
      </c>
      <c r="F2045" s="19" t="s">
        <v>0</v>
      </c>
      <c r="G2045" s="20" t="s">
        <v>183</v>
      </c>
      <c r="H2045" s="36">
        <v>13900</v>
      </c>
      <c r="I2045" s="36">
        <v>13900</v>
      </c>
      <c r="J2045" s="25">
        <v>217100</v>
      </c>
    </row>
    <row r="2046" spans="1:10" ht="16" x14ac:dyDescent="0.45">
      <c r="A2046" s="153" t="str">
        <f>B2046&amp;C2046&amp;E2046&amp;G2046</f>
        <v>프레임파운데이션5서비스프리</v>
      </c>
      <c r="B2046" s="17" t="s">
        <v>487</v>
      </c>
      <c r="C2046" s="18" t="s">
        <v>569</v>
      </c>
      <c r="D2046" s="19" t="s">
        <v>307</v>
      </c>
      <c r="E2046" s="19">
        <v>5</v>
      </c>
      <c r="F2046" s="19" t="s">
        <v>0</v>
      </c>
      <c r="G2046" s="20" t="s">
        <v>183</v>
      </c>
      <c r="H2046" s="36">
        <v>15900</v>
      </c>
      <c r="I2046" s="36">
        <v>15900</v>
      </c>
      <c r="J2046" s="25">
        <v>197400</v>
      </c>
    </row>
    <row r="2047" spans="1:10" ht="16" x14ac:dyDescent="0.45">
      <c r="A2047" s="153" t="str">
        <f>B2047&amp;C2047&amp;E2047&amp;G2047</f>
        <v>프레임파운데이션6서비스프리</v>
      </c>
      <c r="B2047" s="17" t="s">
        <v>487</v>
      </c>
      <c r="C2047" s="18" t="s">
        <v>569</v>
      </c>
      <c r="D2047" s="19" t="s">
        <v>307</v>
      </c>
      <c r="E2047" s="19">
        <v>6</v>
      </c>
      <c r="F2047" s="19" t="s">
        <v>0</v>
      </c>
      <c r="G2047" s="20" t="s">
        <v>183</v>
      </c>
      <c r="H2047" s="36">
        <v>14900</v>
      </c>
      <c r="I2047" s="36">
        <v>14900</v>
      </c>
      <c r="J2047" s="25">
        <v>197400</v>
      </c>
    </row>
    <row r="2048" spans="1:10" ht="16" x14ac:dyDescent="0.45">
      <c r="A2048" s="153" t="str">
        <f>B2048&amp;C2048&amp;E2048&amp;G2048</f>
        <v>프레임파운데이션7서비스프리</v>
      </c>
      <c r="B2048" s="17" t="s">
        <v>487</v>
      </c>
      <c r="C2048" s="18" t="s">
        <v>569</v>
      </c>
      <c r="D2048" s="19" t="s">
        <v>307</v>
      </c>
      <c r="E2048" s="19">
        <v>7</v>
      </c>
      <c r="F2048" s="19" t="s">
        <v>0</v>
      </c>
      <c r="G2048" s="20" t="s">
        <v>183</v>
      </c>
      <c r="H2048" s="36">
        <v>13900</v>
      </c>
      <c r="I2048" s="36">
        <v>13900</v>
      </c>
      <c r="J2048" s="25">
        <v>217100</v>
      </c>
    </row>
    <row r="2049" spans="1:10" ht="16" x14ac:dyDescent="0.45">
      <c r="A2049" s="153" t="str">
        <f>B2049&amp;C2049&amp;E2049&amp;G2049</f>
        <v>프레임파운데이션9서비스프리</v>
      </c>
      <c r="B2049" s="17" t="s">
        <v>487</v>
      </c>
      <c r="C2049" s="18" t="s">
        <v>569</v>
      </c>
      <c r="D2049" s="19" t="s">
        <v>307</v>
      </c>
      <c r="E2049" s="19">
        <v>9</v>
      </c>
      <c r="F2049" s="19" t="s">
        <v>0</v>
      </c>
      <c r="G2049" s="20" t="s">
        <v>183</v>
      </c>
      <c r="H2049" s="36">
        <v>12900</v>
      </c>
      <c r="I2049" s="36">
        <v>12900</v>
      </c>
      <c r="J2049" s="25">
        <v>217100</v>
      </c>
    </row>
    <row r="2050" spans="1:10" ht="16" x14ac:dyDescent="0.45">
      <c r="A2050" s="153" t="str">
        <f>B2050&amp;C2050&amp;E2050&amp;G2050</f>
        <v>프레임파운데이션5서비스프리</v>
      </c>
      <c r="B2050" s="17" t="s">
        <v>487</v>
      </c>
      <c r="C2050" s="18" t="s">
        <v>569</v>
      </c>
      <c r="D2050" s="19" t="s">
        <v>320</v>
      </c>
      <c r="E2050" s="19">
        <v>5</v>
      </c>
      <c r="F2050" s="19" t="s">
        <v>0</v>
      </c>
      <c r="G2050" s="20" t="s">
        <v>183</v>
      </c>
      <c r="H2050" s="36">
        <v>15900</v>
      </c>
      <c r="I2050" s="36">
        <v>15900</v>
      </c>
      <c r="J2050" s="25">
        <v>197400</v>
      </c>
    </row>
    <row r="2051" spans="1:10" ht="16" x14ac:dyDescent="0.45">
      <c r="A2051" s="153" t="str">
        <f>B2051&amp;C2051&amp;E2051&amp;G2051</f>
        <v>프레임파운데이션6서비스프리</v>
      </c>
      <c r="B2051" s="17" t="s">
        <v>487</v>
      </c>
      <c r="C2051" s="18" t="s">
        <v>569</v>
      </c>
      <c r="D2051" s="19" t="s">
        <v>320</v>
      </c>
      <c r="E2051" s="19">
        <v>6</v>
      </c>
      <c r="F2051" s="19" t="s">
        <v>0</v>
      </c>
      <c r="G2051" s="20" t="s">
        <v>183</v>
      </c>
      <c r="H2051" s="36">
        <v>14900</v>
      </c>
      <c r="I2051" s="36">
        <v>14900</v>
      </c>
      <c r="J2051" s="25">
        <v>197400</v>
      </c>
    </row>
    <row r="2052" spans="1:10" ht="16" x14ac:dyDescent="0.45">
      <c r="A2052" s="153" t="str">
        <f>B2052&amp;C2052&amp;E2052&amp;G2052</f>
        <v>프레임파운데이션7서비스프리</v>
      </c>
      <c r="B2052" s="17" t="s">
        <v>487</v>
      </c>
      <c r="C2052" s="18" t="s">
        <v>569</v>
      </c>
      <c r="D2052" s="19" t="s">
        <v>320</v>
      </c>
      <c r="E2052" s="19">
        <v>7</v>
      </c>
      <c r="F2052" s="19" t="s">
        <v>0</v>
      </c>
      <c r="G2052" s="20" t="s">
        <v>183</v>
      </c>
      <c r="H2052" s="36">
        <v>13900</v>
      </c>
      <c r="I2052" s="36">
        <v>13900</v>
      </c>
      <c r="J2052" s="25">
        <v>217100</v>
      </c>
    </row>
    <row r="2053" spans="1:10" ht="16" x14ac:dyDescent="0.45">
      <c r="A2053" s="153" t="str">
        <f>B2053&amp;C2053&amp;E2053&amp;G2053</f>
        <v>프레임파운데이션9서비스프리</v>
      </c>
      <c r="B2053" s="17" t="s">
        <v>487</v>
      </c>
      <c r="C2053" s="18" t="s">
        <v>569</v>
      </c>
      <c r="D2053" s="19" t="s">
        <v>320</v>
      </c>
      <c r="E2053" s="19">
        <v>9</v>
      </c>
      <c r="F2053" s="19" t="s">
        <v>0</v>
      </c>
      <c r="G2053" s="20" t="s">
        <v>183</v>
      </c>
      <c r="H2053" s="36">
        <v>12900</v>
      </c>
      <c r="I2053" s="36">
        <v>12900</v>
      </c>
      <c r="J2053" s="25">
        <v>217100</v>
      </c>
    </row>
    <row r="2054" spans="1:10" ht="16" x14ac:dyDescent="0.45">
      <c r="A2054" s="153" t="str">
        <f>B2054&amp;C2054&amp;E2054&amp;G2054</f>
        <v>프레임파운데이션5서비스프리</v>
      </c>
      <c r="B2054" s="17" t="s">
        <v>487</v>
      </c>
      <c r="C2054" s="18" t="s">
        <v>569</v>
      </c>
      <c r="D2054" s="19" t="s">
        <v>706</v>
      </c>
      <c r="E2054" s="19">
        <v>5</v>
      </c>
      <c r="F2054" s="19" t="s">
        <v>0</v>
      </c>
      <c r="G2054" s="20" t="s">
        <v>183</v>
      </c>
      <c r="H2054" s="36">
        <v>15900</v>
      </c>
      <c r="I2054" s="36">
        <v>15900</v>
      </c>
      <c r="J2054" s="25">
        <v>197400</v>
      </c>
    </row>
    <row r="2055" spans="1:10" ht="16" x14ac:dyDescent="0.45">
      <c r="A2055" s="153" t="str">
        <f>B2055&amp;C2055&amp;E2055&amp;G2055</f>
        <v>프레임파운데이션7서비스프리</v>
      </c>
      <c r="B2055" s="17" t="s">
        <v>487</v>
      </c>
      <c r="C2055" s="18" t="s">
        <v>569</v>
      </c>
      <c r="D2055" s="19" t="s">
        <v>706</v>
      </c>
      <c r="E2055" s="19">
        <v>7</v>
      </c>
      <c r="F2055" s="19" t="s">
        <v>0</v>
      </c>
      <c r="G2055" s="20" t="s">
        <v>183</v>
      </c>
      <c r="H2055" s="36">
        <v>13900</v>
      </c>
      <c r="I2055" s="36">
        <v>13900</v>
      </c>
      <c r="J2055" s="25">
        <v>217100</v>
      </c>
    </row>
    <row r="2056" spans="1:10" ht="16" x14ac:dyDescent="0.45">
      <c r="A2056" s="153" t="str">
        <f>B2056&amp;C2056&amp;E2056&amp;G2056</f>
        <v>프레임파운데이션9서비스프리</v>
      </c>
      <c r="B2056" s="17" t="s">
        <v>487</v>
      </c>
      <c r="C2056" s="18" t="s">
        <v>569</v>
      </c>
      <c r="D2056" s="19" t="s">
        <v>706</v>
      </c>
      <c r="E2056" s="19">
        <v>9</v>
      </c>
      <c r="F2056" s="19" t="s">
        <v>0</v>
      </c>
      <c r="G2056" s="20" t="s">
        <v>183</v>
      </c>
      <c r="H2056" s="36">
        <v>12900</v>
      </c>
      <c r="I2056" s="36">
        <v>12900</v>
      </c>
      <c r="J2056" s="25">
        <v>217100</v>
      </c>
    </row>
    <row r="2057" spans="1:10" ht="16" x14ac:dyDescent="0.45">
      <c r="A2057" s="153" t="str">
        <f>B2057&amp;C2057&amp;E2057&amp;G2057</f>
        <v>프레임패밀리프레임5서비스프리</v>
      </c>
      <c r="B2057" s="17" t="s">
        <v>487</v>
      </c>
      <c r="C2057" s="18" t="s">
        <v>570</v>
      </c>
      <c r="D2057" s="19" t="s">
        <v>313</v>
      </c>
      <c r="E2057" s="19">
        <v>5</v>
      </c>
      <c r="F2057" s="19" t="s">
        <v>0</v>
      </c>
      <c r="G2057" s="20" t="s">
        <v>183</v>
      </c>
      <c r="H2057" s="36">
        <v>35900</v>
      </c>
      <c r="I2057" s="36">
        <v>35900</v>
      </c>
      <c r="J2057" s="25">
        <v>231100</v>
      </c>
    </row>
    <row r="2058" spans="1:10" ht="16" x14ac:dyDescent="0.45">
      <c r="A2058" s="153" t="str">
        <f>B2058&amp;C2058&amp;E2058&amp;G2058</f>
        <v>프레임패밀리프레임6서비스프리</v>
      </c>
      <c r="B2058" s="17" t="s">
        <v>487</v>
      </c>
      <c r="C2058" s="18" t="s">
        <v>570</v>
      </c>
      <c r="D2058" s="19" t="s">
        <v>313</v>
      </c>
      <c r="E2058" s="19">
        <v>6</v>
      </c>
      <c r="F2058" s="19" t="s">
        <v>0</v>
      </c>
      <c r="G2058" s="20" t="s">
        <v>183</v>
      </c>
      <c r="H2058" s="36">
        <v>30900</v>
      </c>
      <c r="I2058" s="36">
        <v>30900</v>
      </c>
      <c r="J2058" s="25">
        <v>231100</v>
      </c>
    </row>
    <row r="2059" spans="1:10" ht="16" x14ac:dyDescent="0.45">
      <c r="A2059" s="153" t="str">
        <f>B2059&amp;C2059&amp;E2059&amp;G2059</f>
        <v>프레임패밀리프레임7서비스프리</v>
      </c>
      <c r="B2059" s="17" t="s">
        <v>487</v>
      </c>
      <c r="C2059" s="18" t="s">
        <v>570</v>
      </c>
      <c r="D2059" s="19" t="s">
        <v>313</v>
      </c>
      <c r="E2059" s="19">
        <v>7</v>
      </c>
      <c r="F2059" s="19" t="s">
        <v>0</v>
      </c>
      <c r="G2059" s="20" t="s">
        <v>183</v>
      </c>
      <c r="H2059" s="36">
        <v>25900</v>
      </c>
      <c r="I2059" s="36">
        <v>25900</v>
      </c>
      <c r="J2059" s="25">
        <v>254200</v>
      </c>
    </row>
    <row r="2060" spans="1:10" ht="16" x14ac:dyDescent="0.45">
      <c r="A2060" s="153" t="str">
        <f>B2060&amp;C2060&amp;E2060&amp;G2060</f>
        <v>프레임패밀리프레임5서비스프리</v>
      </c>
      <c r="B2060" s="17" t="s">
        <v>487</v>
      </c>
      <c r="C2060" s="18" t="s">
        <v>570</v>
      </c>
      <c r="D2060" s="19" t="s">
        <v>315</v>
      </c>
      <c r="E2060" s="19">
        <v>5</v>
      </c>
      <c r="F2060" s="19" t="s">
        <v>0</v>
      </c>
      <c r="G2060" s="20" t="s">
        <v>183</v>
      </c>
      <c r="H2060" s="36">
        <v>35900</v>
      </c>
      <c r="I2060" s="36">
        <v>35900</v>
      </c>
      <c r="J2060" s="25">
        <v>231100</v>
      </c>
    </row>
    <row r="2061" spans="1:10" ht="16" x14ac:dyDescent="0.45">
      <c r="A2061" s="153" t="str">
        <f>B2061&amp;C2061&amp;E2061&amp;G2061</f>
        <v>프레임패밀리프레임6서비스프리</v>
      </c>
      <c r="B2061" s="17" t="s">
        <v>487</v>
      </c>
      <c r="C2061" s="18" t="s">
        <v>570</v>
      </c>
      <c r="D2061" s="19" t="s">
        <v>315</v>
      </c>
      <c r="E2061" s="19">
        <v>6</v>
      </c>
      <c r="F2061" s="19" t="s">
        <v>0</v>
      </c>
      <c r="G2061" s="20" t="s">
        <v>183</v>
      </c>
      <c r="H2061" s="36">
        <v>30900</v>
      </c>
      <c r="I2061" s="36">
        <v>30900</v>
      </c>
      <c r="J2061" s="25">
        <v>231100</v>
      </c>
    </row>
    <row r="2062" spans="1:10" ht="16" x14ac:dyDescent="0.45">
      <c r="A2062" s="153" t="str">
        <f>B2062&amp;C2062&amp;E2062&amp;G2062</f>
        <v>프레임패밀리프레임7서비스프리</v>
      </c>
      <c r="B2062" s="17" t="s">
        <v>487</v>
      </c>
      <c r="C2062" s="18" t="s">
        <v>570</v>
      </c>
      <c r="D2062" s="19" t="s">
        <v>315</v>
      </c>
      <c r="E2062" s="19">
        <v>7</v>
      </c>
      <c r="F2062" s="19" t="s">
        <v>0</v>
      </c>
      <c r="G2062" s="20" t="s">
        <v>183</v>
      </c>
      <c r="H2062" s="36">
        <v>25900</v>
      </c>
      <c r="I2062" s="36">
        <v>25900</v>
      </c>
      <c r="J2062" s="25">
        <v>254200</v>
      </c>
    </row>
    <row r="2063" spans="1:10" ht="16" x14ac:dyDescent="0.45">
      <c r="A2063" s="153" t="str">
        <f>B2063&amp;C2063&amp;E2063&amp;G2063</f>
        <v>프레임패밀리프레임5서비스프리</v>
      </c>
      <c r="B2063" s="17" t="s">
        <v>487</v>
      </c>
      <c r="C2063" s="18" t="s">
        <v>570</v>
      </c>
      <c r="D2063" s="19" t="s">
        <v>314</v>
      </c>
      <c r="E2063" s="19">
        <v>5</v>
      </c>
      <c r="F2063" s="19" t="s">
        <v>0</v>
      </c>
      <c r="G2063" s="20" t="s">
        <v>183</v>
      </c>
      <c r="H2063" s="36">
        <v>32900</v>
      </c>
      <c r="I2063" s="36">
        <v>32900</v>
      </c>
      <c r="J2063" s="25">
        <v>219800</v>
      </c>
    </row>
    <row r="2064" spans="1:10" ht="16" x14ac:dyDescent="0.45">
      <c r="A2064" s="153" t="str">
        <f>B2064&amp;C2064&amp;E2064&amp;G2064</f>
        <v>프레임패밀리프레임6서비스프리</v>
      </c>
      <c r="B2064" s="17" t="s">
        <v>487</v>
      </c>
      <c r="C2064" s="18" t="s">
        <v>570</v>
      </c>
      <c r="D2064" s="19" t="s">
        <v>314</v>
      </c>
      <c r="E2064" s="19">
        <v>6</v>
      </c>
      <c r="F2064" s="19" t="s">
        <v>0</v>
      </c>
      <c r="G2064" s="20" t="s">
        <v>183</v>
      </c>
      <c r="H2064" s="36">
        <v>28900</v>
      </c>
      <c r="I2064" s="36">
        <v>28900</v>
      </c>
      <c r="J2064" s="25">
        <v>219800</v>
      </c>
    </row>
    <row r="2065" spans="1:10" ht="16" x14ac:dyDescent="0.45">
      <c r="A2065" s="153" t="str">
        <f>B2065&amp;C2065&amp;E2065&amp;G2065</f>
        <v>프레임패밀리프레임7서비스프리</v>
      </c>
      <c r="B2065" s="17" t="s">
        <v>487</v>
      </c>
      <c r="C2065" s="18" t="s">
        <v>570</v>
      </c>
      <c r="D2065" s="19" t="s">
        <v>314</v>
      </c>
      <c r="E2065" s="19">
        <v>7</v>
      </c>
      <c r="F2065" s="19" t="s">
        <v>0</v>
      </c>
      <c r="G2065" s="20" t="s">
        <v>183</v>
      </c>
      <c r="H2065" s="36">
        <v>24900</v>
      </c>
      <c r="I2065" s="36">
        <v>24900</v>
      </c>
      <c r="J2065" s="25">
        <v>241800</v>
      </c>
    </row>
    <row r="2066" spans="1:10" ht="16" x14ac:dyDescent="0.45">
      <c r="A2066" s="153" t="str">
        <f>B2066&amp;C2066&amp;E2066&amp;G2066</f>
        <v>프레임패밀리프레임5서비스프리</v>
      </c>
      <c r="B2066" s="17" t="s">
        <v>487</v>
      </c>
      <c r="C2066" s="18" t="s">
        <v>570</v>
      </c>
      <c r="D2066" s="19" t="s">
        <v>316</v>
      </c>
      <c r="E2066" s="19">
        <v>5</v>
      </c>
      <c r="F2066" s="19" t="s">
        <v>0</v>
      </c>
      <c r="G2066" s="20" t="s">
        <v>183</v>
      </c>
      <c r="H2066" s="36">
        <v>32900</v>
      </c>
      <c r="I2066" s="36">
        <v>32900</v>
      </c>
      <c r="J2066" s="25">
        <v>219800</v>
      </c>
    </row>
    <row r="2067" spans="1:10" ht="16" x14ac:dyDescent="0.45">
      <c r="A2067" s="153" t="str">
        <f>B2067&amp;C2067&amp;E2067&amp;G2067</f>
        <v>프레임패밀리프레임6서비스프리</v>
      </c>
      <c r="B2067" s="17" t="s">
        <v>487</v>
      </c>
      <c r="C2067" s="18" t="s">
        <v>570</v>
      </c>
      <c r="D2067" s="19" t="s">
        <v>316</v>
      </c>
      <c r="E2067" s="19">
        <v>6</v>
      </c>
      <c r="F2067" s="19" t="s">
        <v>0</v>
      </c>
      <c r="G2067" s="20" t="s">
        <v>183</v>
      </c>
      <c r="H2067" s="36">
        <v>28900</v>
      </c>
      <c r="I2067" s="36">
        <v>28900</v>
      </c>
      <c r="J2067" s="25">
        <v>219800</v>
      </c>
    </row>
    <row r="2068" spans="1:10" ht="16" x14ac:dyDescent="0.45">
      <c r="A2068" s="153" t="str">
        <f>B2068&amp;C2068&amp;E2068&amp;G2068</f>
        <v>프레임패밀리프레임7서비스프리</v>
      </c>
      <c r="B2068" s="17" t="s">
        <v>487</v>
      </c>
      <c r="C2068" s="18" t="s">
        <v>570</v>
      </c>
      <c r="D2068" s="19" t="s">
        <v>316</v>
      </c>
      <c r="E2068" s="19">
        <v>7</v>
      </c>
      <c r="F2068" s="19" t="s">
        <v>0</v>
      </c>
      <c r="G2068" s="20" t="s">
        <v>183</v>
      </c>
      <c r="H2068" s="36">
        <v>24900</v>
      </c>
      <c r="I2068" s="36">
        <v>24900</v>
      </c>
      <c r="J2068" s="25">
        <v>241800</v>
      </c>
    </row>
    <row r="2069" spans="1:10" ht="16" x14ac:dyDescent="0.45">
      <c r="A2069" s="153" t="str">
        <f>B2069&amp;C2069&amp;E2069&amp;G2069</f>
        <v>에어컨벽걸이에어컨06평형1등급51회서비스</v>
      </c>
      <c r="B2069" s="17" t="s">
        <v>1169</v>
      </c>
      <c r="C2069" s="18" t="s">
        <v>1170</v>
      </c>
      <c r="D2069" s="19" t="s">
        <v>1186</v>
      </c>
      <c r="E2069" s="19">
        <v>5</v>
      </c>
      <c r="F2069" s="19" t="s">
        <v>0</v>
      </c>
      <c r="G2069" s="20" t="s">
        <v>457</v>
      </c>
      <c r="H2069" s="36">
        <v>32900</v>
      </c>
      <c r="I2069" s="36">
        <v>30900</v>
      </c>
      <c r="J2069" s="25">
        <v>251500</v>
      </c>
    </row>
    <row r="2070" spans="1:10" ht="16" x14ac:dyDescent="0.45">
      <c r="A2070" s="153" t="str">
        <f>B2070&amp;C2070&amp;E2070&amp;G2070</f>
        <v>에어컨벽걸이에어컨06평형1등급61회서비스</v>
      </c>
      <c r="B2070" s="17" t="s">
        <v>1169</v>
      </c>
      <c r="C2070" s="18" t="s">
        <v>1170</v>
      </c>
      <c r="D2070" s="19" t="s">
        <v>1171</v>
      </c>
      <c r="E2070" s="19">
        <v>6</v>
      </c>
      <c r="F2070" s="19" t="s">
        <v>0</v>
      </c>
      <c r="G2070" s="20" t="s">
        <v>457</v>
      </c>
      <c r="H2070" s="36">
        <v>29900</v>
      </c>
      <c r="I2070" s="36">
        <v>27900</v>
      </c>
      <c r="J2070" s="25">
        <v>289200</v>
      </c>
    </row>
    <row r="2071" spans="1:10" ht="16" x14ac:dyDescent="0.45">
      <c r="A2071" s="153" t="str">
        <f>B2071&amp;C2071&amp;E2071&amp;G2071</f>
        <v>에어컨벽걸이에어컨06평형1등급5방문관리(선택)</v>
      </c>
      <c r="B2071" s="17" t="s">
        <v>1169</v>
      </c>
      <c r="C2071" s="18" t="s">
        <v>1170</v>
      </c>
      <c r="D2071" s="19" t="s">
        <v>1171</v>
      </c>
      <c r="E2071" s="19">
        <v>5</v>
      </c>
      <c r="F2071" s="19" t="s">
        <v>0</v>
      </c>
      <c r="G2071" s="20" t="s">
        <v>596</v>
      </c>
      <c r="H2071" s="36">
        <v>30900</v>
      </c>
      <c r="I2071" s="36">
        <v>28900</v>
      </c>
      <c r="J2071" s="25">
        <v>240200</v>
      </c>
    </row>
    <row r="2072" spans="1:10" ht="16" x14ac:dyDescent="0.45">
      <c r="A2072" s="153" t="str">
        <f>B2072&amp;C2072&amp;E2072&amp;G2072</f>
        <v>에어컨벽걸이에어컨06평형1등급6방문관리(선택)</v>
      </c>
      <c r="B2072" s="17" t="s">
        <v>1169</v>
      </c>
      <c r="C2072" s="18" t="s">
        <v>1170</v>
      </c>
      <c r="D2072" s="19" t="s">
        <v>1171</v>
      </c>
      <c r="E2072" s="19">
        <v>6</v>
      </c>
      <c r="F2072" s="19" t="s">
        <v>0</v>
      </c>
      <c r="G2072" s="20" t="s">
        <v>596</v>
      </c>
      <c r="H2072" s="36">
        <v>27900</v>
      </c>
      <c r="I2072" s="36">
        <v>25900</v>
      </c>
      <c r="J2072" s="25">
        <v>276200</v>
      </c>
    </row>
    <row r="2073" spans="1:10" ht="16" x14ac:dyDescent="0.45">
      <c r="A2073" s="153" t="str">
        <f>B2073&amp;C2073&amp;E2073&amp;G2073</f>
        <v>에어컨벽걸이에어컨06평형1등급5서비스프리</v>
      </c>
      <c r="B2073" s="17" t="s">
        <v>1169</v>
      </c>
      <c r="C2073" s="18" t="s">
        <v>1170</v>
      </c>
      <c r="D2073" s="19" t="s">
        <v>1171</v>
      </c>
      <c r="E2073" s="19">
        <v>5</v>
      </c>
      <c r="F2073" s="19" t="s">
        <v>0</v>
      </c>
      <c r="G2073" s="20" t="s">
        <v>183</v>
      </c>
      <c r="H2073" s="36">
        <v>28900</v>
      </c>
      <c r="I2073" s="36">
        <v>26900</v>
      </c>
      <c r="J2073" s="25">
        <v>231600</v>
      </c>
    </row>
    <row r="2074" spans="1:10" ht="16" x14ac:dyDescent="0.45">
      <c r="A2074" s="153" t="str">
        <f>B2074&amp;C2074&amp;E2074&amp;G2074</f>
        <v>에어컨벽걸이에어컨06평형1등급6서비스프리</v>
      </c>
      <c r="B2074" s="17" t="s">
        <v>1169</v>
      </c>
      <c r="C2074" s="18" t="s">
        <v>1170</v>
      </c>
      <c r="D2074" s="19" t="s">
        <v>1171</v>
      </c>
      <c r="E2074" s="19">
        <v>6</v>
      </c>
      <c r="F2074" s="19" t="s">
        <v>0</v>
      </c>
      <c r="G2074" s="20" t="s">
        <v>183</v>
      </c>
      <c r="H2074" s="36">
        <v>25900</v>
      </c>
      <c r="I2074" s="36">
        <v>23900</v>
      </c>
      <c r="J2074" s="25">
        <v>266300</v>
      </c>
    </row>
    <row r="2075" spans="1:10" ht="16" x14ac:dyDescent="0.45">
      <c r="A2075" s="153" t="str">
        <f>B2075&amp;C2075&amp;E2075&amp;G2075</f>
        <v>에어컨벽걸이에어컨06평형1등급5토탈케어(분해+기본)</v>
      </c>
      <c r="B2075" s="17" t="s">
        <v>1169</v>
      </c>
      <c r="C2075" s="18" t="s">
        <v>1170</v>
      </c>
      <c r="D2075" s="19" t="s">
        <v>1171</v>
      </c>
      <c r="E2075" s="19">
        <v>5</v>
      </c>
      <c r="F2075" s="19" t="s">
        <v>0</v>
      </c>
      <c r="G2075" s="20" t="s">
        <v>1178</v>
      </c>
      <c r="H2075" s="36">
        <v>34900</v>
      </c>
      <c r="I2075" s="36">
        <v>32900</v>
      </c>
      <c r="J2075" s="25">
        <v>251500</v>
      </c>
    </row>
    <row r="2076" spans="1:10" ht="16" x14ac:dyDescent="0.45">
      <c r="A2076" s="153" t="str">
        <f>B2076&amp;C2076&amp;E2076&amp;G2076</f>
        <v>에어컨벽걸이에어컨06평형1등급6토탈케어(분해+기본)</v>
      </c>
      <c r="B2076" s="17" t="s">
        <v>1169</v>
      </c>
      <c r="C2076" s="18" t="s">
        <v>1170</v>
      </c>
      <c r="D2076" s="19" t="s">
        <v>1171</v>
      </c>
      <c r="E2076" s="19">
        <v>6</v>
      </c>
      <c r="F2076" s="19" t="s">
        <v>0</v>
      </c>
      <c r="G2076" s="20" t="s">
        <v>1178</v>
      </c>
      <c r="H2076" s="36">
        <v>31900</v>
      </c>
      <c r="I2076" s="36">
        <v>29900</v>
      </c>
      <c r="J2076" s="25">
        <v>289200</v>
      </c>
    </row>
    <row r="2077" spans="1:10" ht="16" x14ac:dyDescent="0.45">
      <c r="A2077" s="153" t="str">
        <f>B2077&amp;C2077&amp;E2077&amp;G2077</f>
        <v>에어컨벽걸이에어컨06평형5등급51회서비스</v>
      </c>
      <c r="B2077" s="17" t="s">
        <v>1169</v>
      </c>
      <c r="C2077" s="18" t="s">
        <v>1172</v>
      </c>
      <c r="D2077" s="19" t="s">
        <v>1191</v>
      </c>
      <c r="E2077" s="19">
        <v>5</v>
      </c>
      <c r="F2077" s="19" t="s">
        <v>0</v>
      </c>
      <c r="G2077" s="20" t="s">
        <v>457</v>
      </c>
      <c r="H2077" s="36">
        <v>25900</v>
      </c>
      <c r="I2077" s="36">
        <v>23900</v>
      </c>
      <c r="J2077" s="25">
        <v>176240</v>
      </c>
    </row>
    <row r="2078" spans="1:10" ht="16" x14ac:dyDescent="0.45">
      <c r="A2078" s="153" t="str">
        <f>B2078&amp;C2078&amp;E2078&amp;G2078</f>
        <v>에어컨벽걸이에어컨06평형5등급61회서비스</v>
      </c>
      <c r="B2078" s="17" t="s">
        <v>1169</v>
      </c>
      <c r="C2078" s="18" t="s">
        <v>1172</v>
      </c>
      <c r="D2078" s="19" t="s">
        <v>1173</v>
      </c>
      <c r="E2078" s="19">
        <v>6</v>
      </c>
      <c r="F2078" s="19" t="s">
        <v>0</v>
      </c>
      <c r="G2078" s="20" t="s">
        <v>457</v>
      </c>
      <c r="H2078" s="36">
        <v>23900</v>
      </c>
      <c r="I2078" s="36">
        <v>21900</v>
      </c>
      <c r="J2078" s="25">
        <v>202640</v>
      </c>
    </row>
    <row r="2079" spans="1:10" ht="16" x14ac:dyDescent="0.45">
      <c r="A2079" s="153" t="str">
        <f>B2079&amp;C2079&amp;E2079&amp;G2079</f>
        <v>에어컨벽걸이에어컨06평형5등급5방문관리(선택)</v>
      </c>
      <c r="B2079" s="17" t="s">
        <v>1169</v>
      </c>
      <c r="C2079" s="18" t="s">
        <v>1172</v>
      </c>
      <c r="D2079" s="19" t="s">
        <v>1173</v>
      </c>
      <c r="E2079" s="19">
        <v>5</v>
      </c>
      <c r="F2079" s="19" t="s">
        <v>0</v>
      </c>
      <c r="G2079" s="20" t="s">
        <v>596</v>
      </c>
      <c r="H2079" s="36">
        <v>23900</v>
      </c>
      <c r="I2079" s="36">
        <v>21900</v>
      </c>
      <c r="J2079" s="25">
        <v>167280</v>
      </c>
    </row>
    <row r="2080" spans="1:10" ht="16" x14ac:dyDescent="0.45">
      <c r="A2080" s="153" t="str">
        <f>B2080&amp;C2080&amp;E2080&amp;G2080</f>
        <v>에어컨벽걸이에어컨06평형5등급6방문관리(선택)</v>
      </c>
      <c r="B2080" s="17" t="s">
        <v>1169</v>
      </c>
      <c r="C2080" s="18" t="s">
        <v>1172</v>
      </c>
      <c r="D2080" s="19" t="s">
        <v>1173</v>
      </c>
      <c r="E2080" s="19">
        <v>6</v>
      </c>
      <c r="F2080" s="19" t="s">
        <v>0</v>
      </c>
      <c r="G2080" s="20" t="s">
        <v>596</v>
      </c>
      <c r="H2080" s="36">
        <v>21900</v>
      </c>
      <c r="I2080" s="36">
        <v>19900</v>
      </c>
      <c r="J2080" s="25">
        <v>192400</v>
      </c>
    </row>
    <row r="2081" spans="1:10" ht="16" x14ac:dyDescent="0.45">
      <c r="A2081" s="153" t="str">
        <f>B2081&amp;C2081&amp;E2081&amp;G2081</f>
        <v>에어컨벽걸이에어컨06평형5등급5서비스프리</v>
      </c>
      <c r="B2081" s="17" t="s">
        <v>1169</v>
      </c>
      <c r="C2081" s="18" t="s">
        <v>1172</v>
      </c>
      <c r="D2081" s="19" t="s">
        <v>1173</v>
      </c>
      <c r="E2081" s="19">
        <v>5</v>
      </c>
      <c r="F2081" s="19" t="s">
        <v>0</v>
      </c>
      <c r="G2081" s="20" t="s">
        <v>183</v>
      </c>
      <c r="H2081" s="36">
        <v>21900</v>
      </c>
      <c r="I2081" s="36">
        <v>19900</v>
      </c>
      <c r="J2081" s="25">
        <v>158320</v>
      </c>
    </row>
    <row r="2082" spans="1:10" ht="16" x14ac:dyDescent="0.45">
      <c r="A2082" s="153" t="str">
        <f>B2082&amp;C2082&amp;E2082&amp;G2082</f>
        <v>에어컨벽걸이에어컨06평형5등급6서비스프리</v>
      </c>
      <c r="B2082" s="17" t="s">
        <v>1169</v>
      </c>
      <c r="C2082" s="18" t="s">
        <v>1172</v>
      </c>
      <c r="D2082" s="19" t="s">
        <v>1173</v>
      </c>
      <c r="E2082" s="19">
        <v>6</v>
      </c>
      <c r="F2082" s="19" t="s">
        <v>0</v>
      </c>
      <c r="G2082" s="20" t="s">
        <v>183</v>
      </c>
      <c r="H2082" s="36">
        <v>19900</v>
      </c>
      <c r="I2082" s="36">
        <v>17900</v>
      </c>
      <c r="J2082" s="25">
        <v>182080</v>
      </c>
    </row>
    <row r="2083" spans="1:10" ht="16" x14ac:dyDescent="0.45">
      <c r="A2083" s="153" t="str">
        <f>B2083&amp;C2083&amp;E2083&amp;G2083</f>
        <v>에어컨벽걸이에어컨06평형5등급5토탈케어(분해+기본)</v>
      </c>
      <c r="B2083" s="17" t="s">
        <v>1169</v>
      </c>
      <c r="C2083" s="18" t="s">
        <v>1172</v>
      </c>
      <c r="D2083" s="19" t="s">
        <v>1173</v>
      </c>
      <c r="E2083" s="19">
        <v>5</v>
      </c>
      <c r="F2083" s="19" t="s">
        <v>0</v>
      </c>
      <c r="G2083" s="20" t="s">
        <v>1178</v>
      </c>
      <c r="H2083" s="36">
        <v>27900</v>
      </c>
      <c r="I2083" s="36">
        <v>25900</v>
      </c>
      <c r="J2083" s="25">
        <v>185280</v>
      </c>
    </row>
    <row r="2084" spans="1:10" ht="16" x14ac:dyDescent="0.45">
      <c r="A2084" s="153" t="str">
        <f>B2084&amp;C2084&amp;E2084&amp;G2084</f>
        <v>에어컨벽걸이에어컨06평형5등급6토탈케어(분해+기본)</v>
      </c>
      <c r="B2084" s="17" t="s">
        <v>1169</v>
      </c>
      <c r="C2084" s="18" t="s">
        <v>1172</v>
      </c>
      <c r="D2084" s="19" t="s">
        <v>1173</v>
      </c>
      <c r="E2084" s="19">
        <v>6</v>
      </c>
      <c r="F2084" s="19" t="s">
        <v>0</v>
      </c>
      <c r="G2084" s="20" t="s">
        <v>1178</v>
      </c>
      <c r="H2084" s="36">
        <v>25900</v>
      </c>
      <c r="I2084" s="36">
        <v>23900</v>
      </c>
      <c r="J2084" s="25">
        <v>213040</v>
      </c>
    </row>
    <row r="2085" spans="1:10" ht="16" x14ac:dyDescent="0.45">
      <c r="A2085" s="153" t="str">
        <f>B2085&amp;C2085&amp;E2085&amp;G2085</f>
        <v>에어컨벽걸이에어컨08평형5등급51회서비스</v>
      </c>
      <c r="B2085" s="17" t="s">
        <v>1169</v>
      </c>
      <c r="C2085" s="18" t="s">
        <v>1174</v>
      </c>
      <c r="D2085" s="19" t="s">
        <v>1193</v>
      </c>
      <c r="E2085" s="19">
        <v>5</v>
      </c>
      <c r="F2085" s="19" t="s">
        <v>0</v>
      </c>
      <c r="G2085" s="20" t="s">
        <v>457</v>
      </c>
      <c r="H2085" s="36">
        <v>31900</v>
      </c>
      <c r="I2085" s="36">
        <v>29900</v>
      </c>
      <c r="J2085" s="25">
        <v>240200</v>
      </c>
    </row>
    <row r="2086" spans="1:10" ht="16" x14ac:dyDescent="0.45">
      <c r="A2086" s="153" t="str">
        <f>B2086&amp;C2086&amp;E2086&amp;G2086</f>
        <v>에어컨벽걸이에어컨08평형5등급61회서비스</v>
      </c>
      <c r="B2086" s="17" t="s">
        <v>1169</v>
      </c>
      <c r="C2086" s="18" t="s">
        <v>1174</v>
      </c>
      <c r="D2086" s="19" t="s">
        <v>1175</v>
      </c>
      <c r="E2086" s="19">
        <v>6</v>
      </c>
      <c r="F2086" s="19" t="s">
        <v>0</v>
      </c>
      <c r="G2086" s="20" t="s">
        <v>457</v>
      </c>
      <c r="H2086" s="36">
        <v>28900</v>
      </c>
      <c r="I2086" s="36">
        <v>26900</v>
      </c>
      <c r="J2086" s="25">
        <v>276200</v>
      </c>
    </row>
    <row r="2087" spans="1:10" ht="16" x14ac:dyDescent="0.45">
      <c r="A2087" s="153" t="str">
        <f>B2087&amp;C2087&amp;E2087&amp;G2087</f>
        <v>에어컨벽걸이에어컨08평형5등급5방문관리(선택)</v>
      </c>
      <c r="B2087" s="17" t="s">
        <v>1169</v>
      </c>
      <c r="C2087" s="18" t="s">
        <v>1174</v>
      </c>
      <c r="D2087" s="19" t="s">
        <v>1175</v>
      </c>
      <c r="E2087" s="19">
        <v>5</v>
      </c>
      <c r="F2087" s="19" t="s">
        <v>0</v>
      </c>
      <c r="G2087" s="20" t="s">
        <v>596</v>
      </c>
      <c r="H2087" s="36">
        <v>29900</v>
      </c>
      <c r="I2087" s="36">
        <v>27900</v>
      </c>
      <c r="J2087" s="25">
        <v>231600</v>
      </c>
    </row>
    <row r="2088" spans="1:10" ht="16" x14ac:dyDescent="0.45">
      <c r="A2088" s="153" t="str">
        <f>B2088&amp;C2088&amp;E2088&amp;G2088</f>
        <v>에어컨벽걸이에어컨08평형5등급6방문관리(선택)</v>
      </c>
      <c r="B2088" s="17" t="s">
        <v>1169</v>
      </c>
      <c r="C2088" s="18" t="s">
        <v>1174</v>
      </c>
      <c r="D2088" s="19" t="s">
        <v>1175</v>
      </c>
      <c r="E2088" s="19">
        <v>6</v>
      </c>
      <c r="F2088" s="19" t="s">
        <v>0</v>
      </c>
      <c r="G2088" s="20" t="s">
        <v>596</v>
      </c>
      <c r="H2088" s="36">
        <v>26900</v>
      </c>
      <c r="I2088" s="36">
        <v>24900</v>
      </c>
      <c r="J2088" s="25">
        <v>266300</v>
      </c>
    </row>
    <row r="2089" spans="1:10" ht="16" x14ac:dyDescent="0.45">
      <c r="A2089" s="153" t="str">
        <f>B2089&amp;C2089&amp;E2089&amp;G2089</f>
        <v>에어컨벽걸이에어컨08평형5등급5서비스프리</v>
      </c>
      <c r="B2089" s="17" t="s">
        <v>1169</v>
      </c>
      <c r="C2089" s="18" t="s">
        <v>1174</v>
      </c>
      <c r="D2089" s="19" t="s">
        <v>1175</v>
      </c>
      <c r="E2089" s="19">
        <v>5</v>
      </c>
      <c r="F2089" s="19" t="s">
        <v>0</v>
      </c>
      <c r="G2089" s="20" t="s">
        <v>183</v>
      </c>
      <c r="H2089" s="36">
        <v>27900</v>
      </c>
      <c r="I2089" s="36">
        <v>25900</v>
      </c>
      <c r="J2089" s="25">
        <v>231600</v>
      </c>
    </row>
    <row r="2090" spans="1:10" ht="16" x14ac:dyDescent="0.45">
      <c r="A2090" s="153" t="str">
        <f>B2090&amp;C2090&amp;E2090&amp;G2090</f>
        <v>에어컨벽걸이에어컨08평형5등급6서비스프리</v>
      </c>
      <c r="B2090" s="17" t="s">
        <v>1169</v>
      </c>
      <c r="C2090" s="18" t="s">
        <v>1174</v>
      </c>
      <c r="D2090" s="19" t="s">
        <v>1175</v>
      </c>
      <c r="E2090" s="19">
        <v>6</v>
      </c>
      <c r="F2090" s="19" t="s">
        <v>0</v>
      </c>
      <c r="G2090" s="20" t="s">
        <v>183</v>
      </c>
      <c r="H2090" s="36">
        <v>24900</v>
      </c>
      <c r="I2090" s="36">
        <v>22900</v>
      </c>
      <c r="J2090" s="25">
        <v>266300</v>
      </c>
    </row>
    <row r="2091" spans="1:10" ht="16" x14ac:dyDescent="0.45">
      <c r="A2091" s="153" t="str">
        <f>B2091&amp;C2091&amp;E2091&amp;G2091</f>
        <v>에어컨벽걸이에어컨08평형5등급5토탈케어(분해+기본)</v>
      </c>
      <c r="B2091" s="17" t="s">
        <v>1169</v>
      </c>
      <c r="C2091" s="18" t="s">
        <v>1174</v>
      </c>
      <c r="D2091" s="19" t="s">
        <v>1175</v>
      </c>
      <c r="E2091" s="19">
        <v>5</v>
      </c>
      <c r="F2091" s="19" t="s">
        <v>0</v>
      </c>
      <c r="G2091" s="20" t="s">
        <v>1178</v>
      </c>
      <c r="H2091" s="36">
        <v>33900</v>
      </c>
      <c r="I2091" s="36">
        <v>31900</v>
      </c>
      <c r="J2091" s="25">
        <v>251500</v>
      </c>
    </row>
    <row r="2092" spans="1:10" ht="16" x14ac:dyDescent="0.45">
      <c r="A2092" s="153" t="str">
        <f>B2092&amp;C2092&amp;E2092&amp;G2092</f>
        <v>에어컨벽걸이에어컨08평형5등급6토탈케어(분해+기본)</v>
      </c>
      <c r="B2092" s="21" t="s">
        <v>1169</v>
      </c>
      <c r="C2092" s="22" t="s">
        <v>1174</v>
      </c>
      <c r="D2092" s="19" t="s">
        <v>1175</v>
      </c>
      <c r="E2092" s="23">
        <v>6</v>
      </c>
      <c r="F2092" s="23" t="s">
        <v>0</v>
      </c>
      <c r="G2092" s="24" t="s">
        <v>1178</v>
      </c>
      <c r="H2092" s="36">
        <v>30900</v>
      </c>
      <c r="I2092" s="36">
        <v>28900</v>
      </c>
      <c r="J2092" s="25">
        <v>289200</v>
      </c>
    </row>
    <row r="2093" spans="1:10" ht="16" x14ac:dyDescent="0.45">
      <c r="A2093" s="153" t="str">
        <f>B2093&amp;C2093&amp;E2093&amp;G2093</f>
        <v>에어컨벽걸이에어컨10평형5등급51회서비스</v>
      </c>
      <c r="B2093" s="17" t="s">
        <v>1169</v>
      </c>
      <c r="C2093" s="18" t="s">
        <v>1176</v>
      </c>
      <c r="D2093" s="19" t="s">
        <v>1196</v>
      </c>
      <c r="E2093" s="19">
        <v>5</v>
      </c>
      <c r="F2093" s="19" t="s">
        <v>0</v>
      </c>
      <c r="G2093" s="20" t="s">
        <v>457</v>
      </c>
      <c r="H2093" s="36">
        <v>34900</v>
      </c>
      <c r="I2093" s="36">
        <v>32900</v>
      </c>
      <c r="J2093" s="25">
        <v>251500</v>
      </c>
    </row>
    <row r="2094" spans="1:10" ht="16" x14ac:dyDescent="0.45">
      <c r="A2094" s="153" t="str">
        <f>B2094&amp;C2094&amp;E2094&amp;G2094</f>
        <v>에어컨벽걸이에어컨10평형5등급61회서비스</v>
      </c>
      <c r="B2094" s="17" t="s">
        <v>1169</v>
      </c>
      <c r="C2094" s="18" t="s">
        <v>1176</v>
      </c>
      <c r="D2094" s="19" t="s">
        <v>1177</v>
      </c>
      <c r="E2094" s="19">
        <v>6</v>
      </c>
      <c r="F2094" s="19" t="s">
        <v>0</v>
      </c>
      <c r="G2094" s="20" t="s">
        <v>457</v>
      </c>
      <c r="H2094" s="36">
        <v>31900</v>
      </c>
      <c r="I2094" s="36">
        <v>29900</v>
      </c>
      <c r="J2094" s="25">
        <v>289200</v>
      </c>
    </row>
    <row r="2095" spans="1:10" ht="16" x14ac:dyDescent="0.45">
      <c r="A2095" s="153" t="str">
        <f>B2095&amp;C2095&amp;E2095&amp;G2095</f>
        <v>에어컨벽걸이에어컨10평형5등급5방문관리(선택)</v>
      </c>
      <c r="B2095" s="17" t="s">
        <v>1169</v>
      </c>
      <c r="C2095" s="18" t="s">
        <v>1176</v>
      </c>
      <c r="D2095" s="19" t="s">
        <v>1177</v>
      </c>
      <c r="E2095" s="19">
        <v>5</v>
      </c>
      <c r="F2095" s="19" t="s">
        <v>0</v>
      </c>
      <c r="G2095" s="20" t="s">
        <v>596</v>
      </c>
      <c r="H2095" s="36">
        <v>32900</v>
      </c>
      <c r="I2095" s="36">
        <v>30900</v>
      </c>
      <c r="J2095" s="25">
        <v>251500</v>
      </c>
    </row>
    <row r="2096" spans="1:10" ht="16" x14ac:dyDescent="0.45">
      <c r="A2096" s="153" t="str">
        <f>B2096&amp;C2096&amp;E2096&amp;G2096</f>
        <v>에어컨벽걸이에어컨10평형5등급6방문관리(선택)</v>
      </c>
      <c r="B2096" s="17" t="s">
        <v>1169</v>
      </c>
      <c r="C2096" s="18" t="s">
        <v>1176</v>
      </c>
      <c r="D2096" s="19" t="s">
        <v>1177</v>
      </c>
      <c r="E2096" s="19">
        <v>6</v>
      </c>
      <c r="F2096" s="19" t="s">
        <v>0</v>
      </c>
      <c r="G2096" s="20" t="s">
        <v>596</v>
      </c>
      <c r="H2096" s="36">
        <v>29900</v>
      </c>
      <c r="I2096" s="36">
        <v>27900</v>
      </c>
      <c r="J2096" s="25">
        <v>289200</v>
      </c>
    </row>
    <row r="2097" spans="1:10" ht="16" x14ac:dyDescent="0.45">
      <c r="A2097" s="153" t="str">
        <f>B2097&amp;C2097&amp;E2097&amp;G2097</f>
        <v>에어컨벽걸이에어컨10평형5등급5서비스프리</v>
      </c>
      <c r="B2097" s="17" t="s">
        <v>1169</v>
      </c>
      <c r="C2097" s="18" t="s">
        <v>1176</v>
      </c>
      <c r="D2097" s="19" t="s">
        <v>1177</v>
      </c>
      <c r="E2097" s="19">
        <v>5</v>
      </c>
      <c r="F2097" s="19" t="s">
        <v>0</v>
      </c>
      <c r="G2097" s="20" t="s">
        <v>183</v>
      </c>
      <c r="H2097" s="36">
        <v>30900</v>
      </c>
      <c r="I2097" s="36">
        <v>28900</v>
      </c>
      <c r="J2097" s="25">
        <v>240200</v>
      </c>
    </row>
    <row r="2098" spans="1:10" ht="16" x14ac:dyDescent="0.45">
      <c r="A2098" s="153" t="str">
        <f>B2098&amp;C2098&amp;E2098&amp;G2098</f>
        <v>에어컨벽걸이에어컨10평형5등급6서비스프리</v>
      </c>
      <c r="B2098" s="17" t="s">
        <v>1169</v>
      </c>
      <c r="C2098" s="18" t="s">
        <v>1176</v>
      </c>
      <c r="D2098" s="19" t="s">
        <v>1177</v>
      </c>
      <c r="E2098" s="19">
        <v>6</v>
      </c>
      <c r="F2098" s="19" t="s">
        <v>0</v>
      </c>
      <c r="G2098" s="20" t="s">
        <v>183</v>
      </c>
      <c r="H2098" s="36">
        <v>27900</v>
      </c>
      <c r="I2098" s="36">
        <v>25900</v>
      </c>
      <c r="J2098" s="25">
        <v>276200</v>
      </c>
    </row>
    <row r="2099" spans="1:10" ht="16" x14ac:dyDescent="0.45">
      <c r="A2099" s="153" t="str">
        <f>B2099&amp;C2099&amp;E2099&amp;G2099</f>
        <v>에어컨벽걸이에어컨10평형5등급5토탈케어(분해+기본)</v>
      </c>
      <c r="B2099" s="17" t="s">
        <v>1169</v>
      </c>
      <c r="C2099" s="18" t="s">
        <v>1176</v>
      </c>
      <c r="D2099" s="19" t="s">
        <v>1177</v>
      </c>
      <c r="E2099" s="19">
        <v>5</v>
      </c>
      <c r="F2099" s="19" t="s">
        <v>0</v>
      </c>
      <c r="G2099" s="20" t="s">
        <v>1178</v>
      </c>
      <c r="H2099" s="36">
        <v>36900</v>
      </c>
      <c r="I2099" s="36">
        <v>34900</v>
      </c>
      <c r="J2099" s="25">
        <v>262700</v>
      </c>
    </row>
    <row r="2100" spans="1:10" ht="16" x14ac:dyDescent="0.45">
      <c r="A2100" s="153" t="str">
        <f>B2100&amp;C2100&amp;E2100&amp;G2100</f>
        <v>에어컨벽걸이에어컨10평형5등급6토탈케어(분해+기본)</v>
      </c>
      <c r="B2100" s="17" t="s">
        <v>1169</v>
      </c>
      <c r="C2100" s="18" t="s">
        <v>1176</v>
      </c>
      <c r="D2100" s="19" t="s">
        <v>1177</v>
      </c>
      <c r="E2100" s="19">
        <v>6</v>
      </c>
      <c r="F2100" s="19" t="s">
        <v>0</v>
      </c>
      <c r="G2100" s="20" t="s">
        <v>1178</v>
      </c>
      <c r="H2100" s="36">
        <v>33900</v>
      </c>
      <c r="I2100" s="36">
        <v>31900</v>
      </c>
      <c r="J2100" s="25">
        <v>302100</v>
      </c>
    </row>
    <row r="2101" spans="1:10" ht="16" x14ac:dyDescent="0.45">
      <c r="A2101" s="153" t="str">
        <f>B2101&amp;C2101&amp;E2101&amp;G2101</f>
        <v>음식물처리기음식물처리기2L3자가관리(4M)</v>
      </c>
      <c r="B2101" s="195" t="s">
        <v>1312</v>
      </c>
      <c r="C2101" s="18" t="s">
        <v>1314</v>
      </c>
      <c r="D2101" s="19" t="s">
        <v>1316</v>
      </c>
      <c r="E2101" s="19">
        <v>3</v>
      </c>
      <c r="F2101" s="19" t="s">
        <v>1</v>
      </c>
      <c r="G2101" s="20" t="s">
        <v>1317</v>
      </c>
      <c r="H2101" s="36">
        <v>27900</v>
      </c>
      <c r="I2101" s="36">
        <v>23900</v>
      </c>
      <c r="J2101" s="25">
        <v>209100</v>
      </c>
    </row>
    <row r="2102" spans="1:10" ht="16" x14ac:dyDescent="0.45">
      <c r="A2102" s="153" t="str">
        <f>B2102&amp;C2102&amp;E2102&amp;G2102</f>
        <v>음식물처리기음식물처리기2L5자가관리(4M)</v>
      </c>
      <c r="B2102" s="195" t="s">
        <v>1312</v>
      </c>
      <c r="C2102" s="18" t="s">
        <v>1314</v>
      </c>
      <c r="D2102" s="19" t="s">
        <v>1316</v>
      </c>
      <c r="E2102" s="19">
        <v>5</v>
      </c>
      <c r="F2102" s="19" t="s">
        <v>0</v>
      </c>
      <c r="G2102" s="20" t="s">
        <v>1317</v>
      </c>
      <c r="H2102" s="36">
        <v>25900</v>
      </c>
      <c r="I2102" s="36">
        <v>21900</v>
      </c>
      <c r="J2102" s="25">
        <v>209100</v>
      </c>
    </row>
    <row r="2103" spans="1:10" ht="16" x14ac:dyDescent="0.45">
      <c r="A2103" s="153" t="str">
        <f>B2103&amp;C2103&amp;E2103&amp;G2103</f>
        <v>음식물처리기음식물처리기2L6자가관리(4M)</v>
      </c>
      <c r="B2103" s="195" t="s">
        <v>1312</v>
      </c>
      <c r="C2103" s="18" t="s">
        <v>1314</v>
      </c>
      <c r="D2103" s="19" t="s">
        <v>1316</v>
      </c>
      <c r="E2103" s="19">
        <v>6</v>
      </c>
      <c r="F2103" s="19" t="s">
        <v>0</v>
      </c>
      <c r="G2103" s="20" t="s">
        <v>1317</v>
      </c>
      <c r="H2103" s="36">
        <v>24900</v>
      </c>
      <c r="I2103" s="36">
        <v>20900</v>
      </c>
      <c r="J2103" s="25">
        <v>240500</v>
      </c>
    </row>
    <row r="2104" spans="1:10" ht="16" x14ac:dyDescent="0.45">
      <c r="A2104" s="153" t="str">
        <f>B2104&amp;C2104&amp;E2104&amp;G2104</f>
        <v>음식물처리기음식물처리기2L3자가관리(6M)</v>
      </c>
      <c r="B2104" s="195" t="s">
        <v>1312</v>
      </c>
      <c r="C2104" s="18" t="s">
        <v>1314</v>
      </c>
      <c r="D2104" s="19" t="s">
        <v>1316</v>
      </c>
      <c r="E2104" s="19">
        <v>3</v>
      </c>
      <c r="F2104" s="19" t="s">
        <v>1</v>
      </c>
      <c r="G2104" s="20" t="s">
        <v>1199</v>
      </c>
      <c r="H2104" s="36">
        <v>25900</v>
      </c>
      <c r="I2104" s="36">
        <v>21900</v>
      </c>
      <c r="J2104" s="25">
        <v>197900</v>
      </c>
    </row>
    <row r="2105" spans="1:10" ht="16" x14ac:dyDescent="0.45">
      <c r="A2105" s="153" t="str">
        <f>B2105&amp;C2105&amp;E2105&amp;G2105</f>
        <v>음식물처리기음식물처리기2L5자가관리(6M)</v>
      </c>
      <c r="B2105" s="195" t="s">
        <v>1312</v>
      </c>
      <c r="C2105" s="18" t="s">
        <v>1314</v>
      </c>
      <c r="D2105" s="19" t="s">
        <v>1316</v>
      </c>
      <c r="E2105" s="19">
        <v>5</v>
      </c>
      <c r="F2105" s="19" t="s">
        <v>0</v>
      </c>
      <c r="G2105" s="20" t="s">
        <v>1199</v>
      </c>
      <c r="H2105" s="36">
        <v>23900</v>
      </c>
      <c r="I2105" s="36">
        <v>19900</v>
      </c>
      <c r="J2105" s="25">
        <v>197900</v>
      </c>
    </row>
    <row r="2106" spans="1:10" ht="16" x14ac:dyDescent="0.45">
      <c r="A2106" s="153" t="str">
        <f>B2106&amp;C2106&amp;E2106&amp;G2106</f>
        <v>음식물처리기음식물처리기2L6자가관리(6M)</v>
      </c>
      <c r="B2106" s="195" t="s">
        <v>1312</v>
      </c>
      <c r="C2106" s="18" t="s">
        <v>1314</v>
      </c>
      <c r="D2106" s="19" t="s">
        <v>1316</v>
      </c>
      <c r="E2106" s="19">
        <v>6</v>
      </c>
      <c r="F2106" s="19" t="s">
        <v>0</v>
      </c>
      <c r="G2106" s="20" t="s">
        <v>1199</v>
      </c>
      <c r="H2106" s="36">
        <v>22900</v>
      </c>
      <c r="I2106" s="36">
        <v>18900</v>
      </c>
      <c r="J2106" s="25">
        <v>227600</v>
      </c>
    </row>
    <row r="2107" spans="1:10" ht="16" x14ac:dyDescent="0.45">
      <c r="A2107" s="153" t="str">
        <f>B2107&amp;C2107&amp;E2107&amp;G2107</f>
        <v>음식물처리기음식물처리기3L3자가관리(4M)</v>
      </c>
      <c r="B2107" s="195" t="s">
        <v>1312</v>
      </c>
      <c r="C2107" s="18" t="s">
        <v>1313</v>
      </c>
      <c r="D2107" s="19" t="s">
        <v>1315</v>
      </c>
      <c r="E2107" s="19">
        <v>3</v>
      </c>
      <c r="F2107" s="19" t="s">
        <v>1</v>
      </c>
      <c r="G2107" s="20" t="s">
        <v>1317</v>
      </c>
      <c r="H2107" s="36">
        <v>29900</v>
      </c>
      <c r="I2107" s="36">
        <v>25900</v>
      </c>
      <c r="J2107" s="25">
        <v>220300</v>
      </c>
    </row>
    <row r="2108" spans="1:10" ht="16" x14ac:dyDescent="0.45">
      <c r="A2108" s="153" t="str">
        <f>B2108&amp;C2108&amp;E2108&amp;G2108</f>
        <v>음식물처리기음식물처리기3L5자가관리(4M)</v>
      </c>
      <c r="B2108" s="195" t="s">
        <v>1312</v>
      </c>
      <c r="C2108" s="18" t="s">
        <v>1313</v>
      </c>
      <c r="D2108" s="19" t="s">
        <v>1315</v>
      </c>
      <c r="E2108" s="19">
        <v>5</v>
      </c>
      <c r="F2108" s="19" t="s">
        <v>0</v>
      </c>
      <c r="G2108" s="20" t="s">
        <v>1317</v>
      </c>
      <c r="H2108" s="36">
        <v>27900</v>
      </c>
      <c r="I2108" s="36">
        <v>23900</v>
      </c>
      <c r="J2108" s="25">
        <v>220300</v>
      </c>
    </row>
    <row r="2109" spans="1:10" ht="16" x14ac:dyDescent="0.45">
      <c r="A2109" s="153" t="str">
        <f>B2109&amp;C2109&amp;E2109&amp;G2109</f>
        <v>음식물처리기음식물처리기3L6자가관리(4M)</v>
      </c>
      <c r="B2109" s="195" t="s">
        <v>1312</v>
      </c>
      <c r="C2109" s="18" t="s">
        <v>1313</v>
      </c>
      <c r="D2109" s="19" t="s">
        <v>1315</v>
      </c>
      <c r="E2109" s="19">
        <v>6</v>
      </c>
      <c r="F2109" s="19" t="s">
        <v>0</v>
      </c>
      <c r="G2109" s="20" t="s">
        <v>1317</v>
      </c>
      <c r="H2109" s="36">
        <v>26900</v>
      </c>
      <c r="I2109" s="36">
        <v>22900</v>
      </c>
      <c r="J2109" s="25">
        <v>253300</v>
      </c>
    </row>
    <row r="2110" spans="1:10" ht="16" x14ac:dyDescent="0.45">
      <c r="A2110" s="153" t="str">
        <f>B2110&amp;C2110&amp;E2110&amp;G2110</f>
        <v>음식물처리기음식물처리기3L3자가관리(6M)</v>
      </c>
      <c r="B2110" s="195" t="s">
        <v>1312</v>
      </c>
      <c r="C2110" s="18" t="s">
        <v>1313</v>
      </c>
      <c r="D2110" s="19" t="s">
        <v>1315</v>
      </c>
      <c r="E2110" s="19">
        <v>3</v>
      </c>
      <c r="F2110" s="19" t="s">
        <v>1</v>
      </c>
      <c r="G2110" s="20" t="s">
        <v>1199</v>
      </c>
      <c r="H2110" s="36">
        <v>27900</v>
      </c>
      <c r="I2110" s="36">
        <v>23900</v>
      </c>
      <c r="J2110" s="25">
        <v>209100</v>
      </c>
    </row>
    <row r="2111" spans="1:10" ht="16" x14ac:dyDescent="0.45">
      <c r="A2111" s="153" t="str">
        <f>B2111&amp;C2111&amp;E2111&amp;G2111</f>
        <v>음식물처리기음식물처리기3L5자가관리(6M)</v>
      </c>
      <c r="B2111" s="195" t="s">
        <v>1312</v>
      </c>
      <c r="C2111" s="18" t="s">
        <v>1313</v>
      </c>
      <c r="D2111" s="19" t="s">
        <v>1315</v>
      </c>
      <c r="E2111" s="19">
        <v>5</v>
      </c>
      <c r="F2111" s="19" t="s">
        <v>0</v>
      </c>
      <c r="G2111" s="20" t="s">
        <v>1199</v>
      </c>
      <c r="H2111" s="36">
        <v>25900</v>
      </c>
      <c r="I2111" s="36">
        <v>21900</v>
      </c>
      <c r="J2111" s="25">
        <v>209100</v>
      </c>
    </row>
    <row r="2112" spans="1:10" ht="16" x14ac:dyDescent="0.45">
      <c r="A2112" s="153" t="str">
        <f>B2112&amp;C2112&amp;E2112&amp;G2112</f>
        <v>음식물처리기음식물처리기3L6자가관리(6M)</v>
      </c>
      <c r="B2112" s="195" t="s">
        <v>1312</v>
      </c>
      <c r="C2112" s="18" t="s">
        <v>1313</v>
      </c>
      <c r="D2112" s="19" t="s">
        <v>1315</v>
      </c>
      <c r="E2112" s="19">
        <v>6</v>
      </c>
      <c r="F2112" s="19" t="s">
        <v>0</v>
      </c>
      <c r="G2112" s="20" t="s">
        <v>1199</v>
      </c>
      <c r="H2112" s="36">
        <v>24900</v>
      </c>
      <c r="I2112" s="36">
        <v>20900</v>
      </c>
      <c r="J2112" s="25">
        <v>240500</v>
      </c>
    </row>
    <row r="2113" spans="1:11" ht="16" x14ac:dyDescent="0.45">
      <c r="A2113" s="153" t="str">
        <f>B2113&amp;C2113&amp;E2113&amp;G2113</f>
        <v>전기레인지W 인덕션51회서비스</v>
      </c>
      <c r="B2113" s="17" t="s">
        <v>486</v>
      </c>
      <c r="C2113" s="18" t="s">
        <v>517</v>
      </c>
      <c r="D2113" s="19" t="s">
        <v>648</v>
      </c>
      <c r="E2113" s="19">
        <v>5</v>
      </c>
      <c r="F2113" s="19" t="s">
        <v>0</v>
      </c>
      <c r="G2113" s="20" t="s">
        <v>457</v>
      </c>
      <c r="H2113" s="36">
        <v>34900</v>
      </c>
      <c r="I2113" s="36"/>
      <c r="J2113" s="25">
        <v>260700</v>
      </c>
    </row>
    <row r="2114" spans="1:11" ht="16" x14ac:dyDescent="0.45">
      <c r="A2114" s="153" t="str">
        <f>B2114&amp;C2114&amp;E2114&amp;G2114</f>
        <v>전기레인지W 인덕션61회서비스</v>
      </c>
      <c r="B2114" s="17" t="s">
        <v>486</v>
      </c>
      <c r="C2114" s="18" t="s">
        <v>517</v>
      </c>
      <c r="D2114" s="19" t="s">
        <v>648</v>
      </c>
      <c r="E2114" s="19">
        <v>6</v>
      </c>
      <c r="F2114" s="19" t="s">
        <v>0</v>
      </c>
      <c r="G2114" s="20" t="s">
        <v>457</v>
      </c>
      <c r="H2114" s="36">
        <v>30900</v>
      </c>
      <c r="I2114" s="36"/>
      <c r="J2114" s="25">
        <v>286800</v>
      </c>
      <c r="K2114" s="201"/>
    </row>
    <row r="2115" spans="1:11" ht="16" x14ac:dyDescent="0.45">
      <c r="A2115" s="153" t="str">
        <f>B2115&amp;C2115&amp;E2115&amp;G2115</f>
        <v>전기레인지W 인덕션71회서비스</v>
      </c>
      <c r="B2115" s="17" t="s">
        <v>486</v>
      </c>
      <c r="C2115" s="18" t="s">
        <v>517</v>
      </c>
      <c r="D2115" s="19" t="s">
        <v>648</v>
      </c>
      <c r="E2115" s="19">
        <v>7</v>
      </c>
      <c r="F2115" s="19" t="s">
        <v>0</v>
      </c>
      <c r="G2115" s="20" t="s">
        <v>457</v>
      </c>
      <c r="H2115" s="36">
        <v>27900</v>
      </c>
      <c r="I2115" s="36"/>
      <c r="J2115" s="25">
        <v>286800</v>
      </c>
    </row>
    <row r="2116" spans="1:11" ht="16" x14ac:dyDescent="0.45">
      <c r="A2116" s="153" t="str">
        <f>B2116&amp;C2116&amp;E2116&amp;G2116</f>
        <v>전기레인지W 인덕션5서비스프리</v>
      </c>
      <c r="B2116" s="17" t="s">
        <v>486</v>
      </c>
      <c r="C2116" s="18" t="s">
        <v>517</v>
      </c>
      <c r="D2116" s="19" t="s">
        <v>648</v>
      </c>
      <c r="E2116" s="19">
        <v>5</v>
      </c>
      <c r="F2116" s="19" t="s">
        <v>0</v>
      </c>
      <c r="G2116" s="20" t="s">
        <v>183</v>
      </c>
      <c r="H2116" s="36">
        <v>29900</v>
      </c>
      <c r="I2116" s="36"/>
      <c r="J2116" s="25">
        <v>238200</v>
      </c>
    </row>
    <row r="2117" spans="1:11" ht="16" x14ac:dyDescent="0.45">
      <c r="A2117" s="153" t="str">
        <f>B2117&amp;C2117&amp;E2117&amp;G2117</f>
        <v>전기레인지W 인덕션6서비스프리</v>
      </c>
      <c r="B2117" s="17" t="s">
        <v>486</v>
      </c>
      <c r="C2117" s="18" t="s">
        <v>517</v>
      </c>
      <c r="D2117" s="19" t="s">
        <v>648</v>
      </c>
      <c r="E2117" s="19">
        <v>6</v>
      </c>
      <c r="F2117" s="19" t="s">
        <v>0</v>
      </c>
      <c r="G2117" s="20" t="s">
        <v>183</v>
      </c>
      <c r="H2117" s="36">
        <v>25900</v>
      </c>
      <c r="I2117" s="36"/>
      <c r="J2117" s="25">
        <v>262000</v>
      </c>
    </row>
    <row r="2118" spans="1:11" ht="16" x14ac:dyDescent="0.45">
      <c r="A2118" s="153" t="str">
        <f>B2118&amp;C2118&amp;E2118&amp;G2118</f>
        <v>전기레인지W 인덕션7서비스프리</v>
      </c>
      <c r="B2118" s="17" t="s">
        <v>486</v>
      </c>
      <c r="C2118" s="18" t="s">
        <v>517</v>
      </c>
      <c r="D2118" s="19" t="s">
        <v>648</v>
      </c>
      <c r="E2118" s="19">
        <v>7</v>
      </c>
      <c r="F2118" s="19" t="s">
        <v>0</v>
      </c>
      <c r="G2118" s="20" t="s">
        <v>183</v>
      </c>
      <c r="H2118" s="36">
        <v>22900</v>
      </c>
      <c r="I2118" s="36"/>
      <c r="J2118" s="25">
        <v>262000</v>
      </c>
    </row>
    <row r="2119" spans="1:11" ht="16" x14ac:dyDescent="0.45">
      <c r="A2119" s="153" t="str">
        <f>B2119&amp;C2119&amp;E2119&amp;G2119</f>
        <v>전기레인지W인덕션 프로51회서비스</v>
      </c>
      <c r="B2119" s="195" t="s">
        <v>1325</v>
      </c>
      <c r="C2119" s="18" t="s">
        <v>1326</v>
      </c>
      <c r="D2119" s="19" t="s">
        <v>1327</v>
      </c>
      <c r="E2119" s="19">
        <v>5</v>
      </c>
      <c r="F2119" s="19" t="s">
        <v>0</v>
      </c>
      <c r="G2119" s="20" t="s">
        <v>457</v>
      </c>
      <c r="H2119" s="36">
        <v>35900</v>
      </c>
      <c r="I2119" s="36"/>
      <c r="J2119" s="25">
        <v>271900</v>
      </c>
    </row>
    <row r="2120" spans="1:11" ht="16" x14ac:dyDescent="0.45">
      <c r="A2120" s="153" t="str">
        <f>B2120&amp;C2120&amp;E2120&amp;G2120</f>
        <v>전기레인지W인덕션 프로61회서비스</v>
      </c>
      <c r="B2120" s="195" t="s">
        <v>1325</v>
      </c>
      <c r="C2120" s="18" t="s">
        <v>1326</v>
      </c>
      <c r="D2120" s="19" t="s">
        <v>1327</v>
      </c>
      <c r="E2120" s="19">
        <v>6</v>
      </c>
      <c r="F2120" s="19" t="s">
        <v>0</v>
      </c>
      <c r="G2120" s="20" t="s">
        <v>457</v>
      </c>
      <c r="H2120" s="36">
        <v>31900</v>
      </c>
      <c r="I2120" s="36"/>
      <c r="J2120" s="25">
        <v>299100</v>
      </c>
    </row>
    <row r="2121" spans="1:11" ht="16" x14ac:dyDescent="0.45">
      <c r="A2121" s="153" t="str">
        <f>B2121&amp;C2121&amp;E2121&amp;G2121</f>
        <v>전기레인지W인덕션 프로71회서비스</v>
      </c>
      <c r="B2121" s="195" t="s">
        <v>1325</v>
      </c>
      <c r="C2121" s="18" t="s">
        <v>1326</v>
      </c>
      <c r="D2121" s="19" t="s">
        <v>1327</v>
      </c>
      <c r="E2121" s="19">
        <v>7</v>
      </c>
      <c r="F2121" s="19" t="s">
        <v>0</v>
      </c>
      <c r="G2121" s="20" t="s">
        <v>457</v>
      </c>
      <c r="H2121" s="36">
        <v>28900</v>
      </c>
      <c r="I2121" s="36"/>
      <c r="J2121" s="25">
        <v>299100</v>
      </c>
    </row>
    <row r="2122" spans="1:11" ht="16" x14ac:dyDescent="0.45">
      <c r="A2122" s="153" t="str">
        <f>B2122&amp;C2122&amp;E2122&amp;G2122</f>
        <v>전기레인지W인덕션 프로5서비스프리</v>
      </c>
      <c r="B2122" s="195" t="s">
        <v>1325</v>
      </c>
      <c r="C2122" s="18" t="s">
        <v>1326</v>
      </c>
      <c r="D2122" s="19" t="s">
        <v>1327</v>
      </c>
      <c r="E2122" s="19">
        <v>5</v>
      </c>
      <c r="F2122" s="19" t="s">
        <v>0</v>
      </c>
      <c r="G2122" s="20" t="s">
        <v>183</v>
      </c>
      <c r="H2122" s="36">
        <v>30900</v>
      </c>
      <c r="I2122" s="36"/>
      <c r="J2122" s="25">
        <v>249500</v>
      </c>
    </row>
    <row r="2123" spans="1:11" ht="16" x14ac:dyDescent="0.45">
      <c r="A2123" s="153" t="str">
        <f>B2123&amp;C2123&amp;E2123&amp;G2123</f>
        <v>전기레인지W인덕션 프로6서비스프리</v>
      </c>
      <c r="B2123" s="195" t="s">
        <v>1325</v>
      </c>
      <c r="C2123" s="18" t="s">
        <v>1326</v>
      </c>
      <c r="D2123" s="19" t="s">
        <v>1327</v>
      </c>
      <c r="E2123" s="19">
        <v>6</v>
      </c>
      <c r="F2123" s="19" t="s">
        <v>0</v>
      </c>
      <c r="G2123" s="20" t="s">
        <v>183</v>
      </c>
      <c r="H2123" s="36">
        <v>26900</v>
      </c>
      <c r="I2123" s="36"/>
      <c r="J2123" s="25">
        <v>274500</v>
      </c>
    </row>
    <row r="2124" spans="1:11" ht="16" x14ac:dyDescent="0.45">
      <c r="A2124" s="153" t="str">
        <f>B2124&amp;C2124&amp;E2124&amp;G2124</f>
        <v>전기레인지W인덕션 프로7서비스프리</v>
      </c>
      <c r="B2124" s="195" t="s">
        <v>1325</v>
      </c>
      <c r="C2124" s="18" t="s">
        <v>1326</v>
      </c>
      <c r="D2124" s="19" t="s">
        <v>1327</v>
      </c>
      <c r="E2124" s="19">
        <v>7</v>
      </c>
      <c r="F2124" s="19" t="s">
        <v>0</v>
      </c>
      <c r="G2124" s="20" t="s">
        <v>183</v>
      </c>
      <c r="H2124" s="36">
        <v>23900</v>
      </c>
      <c r="I2124" s="36"/>
      <c r="J2124" s="25">
        <v>274500</v>
      </c>
    </row>
    <row r="2125" spans="1:11" ht="16" x14ac:dyDescent="0.45">
      <c r="A2125" s="153" t="str">
        <f>B2125&amp;C2125&amp;E2125&amp;G2125</f>
        <v>전기레인지노블인덕션51회서비스</v>
      </c>
      <c r="B2125" s="17" t="s">
        <v>486</v>
      </c>
      <c r="C2125" s="18" t="s">
        <v>518</v>
      </c>
      <c r="D2125" s="19" t="s">
        <v>647</v>
      </c>
      <c r="E2125" s="19">
        <v>5</v>
      </c>
      <c r="F2125" s="19" t="s">
        <v>0</v>
      </c>
      <c r="G2125" s="20" t="s">
        <v>457</v>
      </c>
      <c r="H2125" s="36">
        <v>49900</v>
      </c>
      <c r="I2125" s="36"/>
      <c r="J2125" s="25">
        <v>294400</v>
      </c>
    </row>
    <row r="2126" spans="1:11" ht="16" x14ac:dyDescent="0.45">
      <c r="A2126" s="153" t="str">
        <f>B2126&amp;C2126&amp;E2126&amp;G2126</f>
        <v>전기레인지노블인덕션61회서비스</v>
      </c>
      <c r="B2126" s="17" t="s">
        <v>486</v>
      </c>
      <c r="C2126" s="18" t="s">
        <v>518</v>
      </c>
      <c r="D2126" s="19" t="s">
        <v>647</v>
      </c>
      <c r="E2126" s="19">
        <v>6</v>
      </c>
      <c r="F2126" s="19" t="s">
        <v>0</v>
      </c>
      <c r="G2126" s="20" t="s">
        <v>457</v>
      </c>
      <c r="H2126" s="36">
        <v>44900</v>
      </c>
      <c r="I2126" s="36"/>
      <c r="J2126" s="25">
        <v>323800</v>
      </c>
    </row>
    <row r="2127" spans="1:11" ht="16" x14ac:dyDescent="0.45">
      <c r="A2127" s="153" t="str">
        <f>B2127&amp;C2127&amp;E2127&amp;G2127</f>
        <v>전기레인지노블인덕션71회서비스</v>
      </c>
      <c r="B2127" s="17" t="s">
        <v>486</v>
      </c>
      <c r="C2127" s="18" t="s">
        <v>518</v>
      </c>
      <c r="D2127" s="19" t="s">
        <v>647</v>
      </c>
      <c r="E2127" s="19">
        <v>7</v>
      </c>
      <c r="F2127" s="19" t="s">
        <v>0</v>
      </c>
      <c r="G2127" s="20" t="s">
        <v>457</v>
      </c>
      <c r="H2127" s="36">
        <v>39900</v>
      </c>
      <c r="I2127" s="36"/>
      <c r="J2127" s="25">
        <v>323800</v>
      </c>
    </row>
    <row r="2128" spans="1:11" ht="16" x14ac:dyDescent="0.45">
      <c r="A2128" s="153" t="str">
        <f>B2128&amp;C2128&amp;E2128&amp;G2128</f>
        <v>전기레인지노블인덕션5서비스프리</v>
      </c>
      <c r="B2128" s="17" t="s">
        <v>486</v>
      </c>
      <c r="C2128" s="18" t="s">
        <v>518</v>
      </c>
      <c r="D2128" s="19" t="s">
        <v>647</v>
      </c>
      <c r="E2128" s="19">
        <v>5</v>
      </c>
      <c r="F2128" s="19" t="s">
        <v>0</v>
      </c>
      <c r="G2128" s="20" t="s">
        <v>183</v>
      </c>
      <c r="H2128" s="36">
        <v>44900</v>
      </c>
      <c r="I2128" s="36"/>
      <c r="J2128" s="25">
        <v>283200</v>
      </c>
    </row>
    <row r="2129" spans="1:10" ht="16" x14ac:dyDescent="0.45">
      <c r="A2129" s="153" t="str">
        <f>B2129&amp;C2129&amp;E2129&amp;G2129</f>
        <v>전기레인지노블인덕션6서비스프리</v>
      </c>
      <c r="B2129" s="17" t="s">
        <v>486</v>
      </c>
      <c r="C2129" s="18" t="s">
        <v>518</v>
      </c>
      <c r="D2129" s="19" t="s">
        <v>647</v>
      </c>
      <c r="E2129" s="19">
        <v>6</v>
      </c>
      <c r="F2129" s="19" t="s">
        <v>0</v>
      </c>
      <c r="G2129" s="20" t="s">
        <v>183</v>
      </c>
      <c r="H2129" s="36">
        <v>39900</v>
      </c>
      <c r="I2129" s="36"/>
      <c r="J2129" s="25">
        <v>311500</v>
      </c>
    </row>
    <row r="2130" spans="1:10" ht="16" x14ac:dyDescent="0.45">
      <c r="A2130" s="153" t="str">
        <f>B2130&amp;C2130&amp;E2130&amp;G2130</f>
        <v>전기레인지노블인덕션7서비스프리</v>
      </c>
      <c r="B2130" s="17" t="s">
        <v>486</v>
      </c>
      <c r="C2130" s="18" t="s">
        <v>518</v>
      </c>
      <c r="D2130" s="19" t="s">
        <v>647</v>
      </c>
      <c r="E2130" s="19">
        <v>7</v>
      </c>
      <c r="F2130" s="19" t="s">
        <v>0</v>
      </c>
      <c r="G2130" s="20" t="s">
        <v>183</v>
      </c>
      <c r="H2130" s="36">
        <v>34900</v>
      </c>
      <c r="I2130" s="36"/>
      <c r="J2130" s="25">
        <v>311500</v>
      </c>
    </row>
    <row r="2131" spans="1:10" ht="16" x14ac:dyDescent="0.45">
      <c r="A2131" s="153" t="str">
        <f>B2131&amp;C2131&amp;E2131&amp;G2131</f>
        <v>전기레인지노블인덕션51회서비스</v>
      </c>
      <c r="B2131" s="17" t="s">
        <v>486</v>
      </c>
      <c r="C2131" s="18" t="s">
        <v>518</v>
      </c>
      <c r="D2131" s="19" t="s">
        <v>646</v>
      </c>
      <c r="E2131" s="19">
        <v>5</v>
      </c>
      <c r="F2131" s="19" t="s">
        <v>0</v>
      </c>
      <c r="G2131" s="20" t="s">
        <v>457</v>
      </c>
      <c r="H2131" s="36">
        <v>86900</v>
      </c>
      <c r="I2131" s="36"/>
      <c r="J2131" s="25">
        <v>384300</v>
      </c>
    </row>
    <row r="2132" spans="1:10" ht="16" x14ac:dyDescent="0.45">
      <c r="A2132" s="153" t="str">
        <f>B2132&amp;C2132&amp;E2132&amp;G2132</f>
        <v>전기레인지노블인덕션61회서비스</v>
      </c>
      <c r="B2132" s="17" t="s">
        <v>486</v>
      </c>
      <c r="C2132" s="18" t="s">
        <v>518</v>
      </c>
      <c r="D2132" s="19" t="s">
        <v>646</v>
      </c>
      <c r="E2132" s="19">
        <v>6</v>
      </c>
      <c r="F2132" s="19" t="s">
        <v>0</v>
      </c>
      <c r="G2132" s="20" t="s">
        <v>457</v>
      </c>
      <c r="H2132" s="36">
        <v>78900</v>
      </c>
      <c r="I2132" s="36"/>
      <c r="J2132" s="25">
        <v>422700</v>
      </c>
    </row>
    <row r="2133" spans="1:10" ht="16" x14ac:dyDescent="0.45">
      <c r="A2133" s="153" t="str">
        <f>B2133&amp;C2133&amp;E2133&amp;G2133</f>
        <v>전기레인지노블인덕션71회서비스</v>
      </c>
      <c r="B2133" s="17" t="s">
        <v>486</v>
      </c>
      <c r="C2133" s="18" t="s">
        <v>518</v>
      </c>
      <c r="D2133" s="19" t="s">
        <v>646</v>
      </c>
      <c r="E2133" s="19">
        <v>7</v>
      </c>
      <c r="F2133" s="19" t="s">
        <v>0</v>
      </c>
      <c r="G2133" s="20" t="s">
        <v>457</v>
      </c>
      <c r="H2133" s="36">
        <v>70900</v>
      </c>
      <c r="I2133" s="36"/>
      <c r="J2133" s="25">
        <v>422700</v>
      </c>
    </row>
    <row r="2134" spans="1:10" ht="16" x14ac:dyDescent="0.45">
      <c r="A2134" s="153" t="str">
        <f>B2134&amp;C2134&amp;E2134&amp;G2134</f>
        <v>전기레인지노블인덕션5서비스프리</v>
      </c>
      <c r="B2134" s="17" t="s">
        <v>486</v>
      </c>
      <c r="C2134" s="18" t="s">
        <v>518</v>
      </c>
      <c r="D2134" s="19" t="s">
        <v>646</v>
      </c>
      <c r="E2134" s="19">
        <v>5</v>
      </c>
      <c r="F2134" s="19" t="s">
        <v>0</v>
      </c>
      <c r="G2134" s="20" t="s">
        <v>183</v>
      </c>
      <c r="H2134" s="36">
        <v>78900</v>
      </c>
      <c r="I2134" s="36"/>
      <c r="J2134" s="25">
        <v>361900</v>
      </c>
    </row>
    <row r="2135" spans="1:10" ht="16" x14ac:dyDescent="0.45">
      <c r="A2135" s="153" t="str">
        <f>B2135&amp;C2135&amp;E2135&amp;G2135</f>
        <v>전기레인지노블인덕션6서비스프리</v>
      </c>
      <c r="B2135" s="17" t="s">
        <v>486</v>
      </c>
      <c r="C2135" s="18" t="s">
        <v>518</v>
      </c>
      <c r="D2135" s="19" t="s">
        <v>646</v>
      </c>
      <c r="E2135" s="19">
        <v>6</v>
      </c>
      <c r="F2135" s="19" t="s">
        <v>0</v>
      </c>
      <c r="G2135" s="20" t="s">
        <v>183</v>
      </c>
      <c r="H2135" s="36">
        <v>70900</v>
      </c>
      <c r="I2135" s="36"/>
      <c r="J2135" s="25">
        <v>398100</v>
      </c>
    </row>
    <row r="2136" spans="1:10" ht="16" x14ac:dyDescent="0.45">
      <c r="A2136" s="153" t="str">
        <f>B2136&amp;C2136&amp;E2136&amp;G2136</f>
        <v>전기레인지노블인덕션7서비스프리</v>
      </c>
      <c r="B2136" s="17" t="s">
        <v>486</v>
      </c>
      <c r="C2136" s="18" t="s">
        <v>518</v>
      </c>
      <c r="D2136" s="19" t="s">
        <v>646</v>
      </c>
      <c r="E2136" s="19">
        <v>7</v>
      </c>
      <c r="F2136" s="19" t="s">
        <v>0</v>
      </c>
      <c r="G2136" s="20" t="s">
        <v>183</v>
      </c>
      <c r="H2136" s="36">
        <v>62900</v>
      </c>
      <c r="I2136" s="36"/>
      <c r="J2136" s="25">
        <v>398100</v>
      </c>
    </row>
    <row r="2137" spans="1:10" ht="16" x14ac:dyDescent="0.45">
      <c r="A2137" s="153" t="str">
        <f>B2137&amp;C2137&amp;E2137&amp;G2137</f>
        <v>전기레인지프라임 인덕션51회서비스</v>
      </c>
      <c r="B2137" s="17" t="s">
        <v>486</v>
      </c>
      <c r="C2137" s="18" t="s">
        <v>519</v>
      </c>
      <c r="D2137" s="19" t="s">
        <v>189</v>
      </c>
      <c r="E2137" s="19">
        <v>5</v>
      </c>
      <c r="F2137" s="19" t="s">
        <v>0</v>
      </c>
      <c r="G2137" s="20" t="s">
        <v>457</v>
      </c>
      <c r="H2137" s="36">
        <v>22900</v>
      </c>
      <c r="I2137" s="36"/>
      <c r="J2137" s="25">
        <v>207100</v>
      </c>
    </row>
    <row r="2138" spans="1:10" ht="16" x14ac:dyDescent="0.45">
      <c r="A2138" s="153" t="str">
        <f>B2138&amp;C2138&amp;E2138&amp;G2138</f>
        <v>전기레인지프라임 인덕션61회서비스</v>
      </c>
      <c r="B2138" s="17" t="s">
        <v>486</v>
      </c>
      <c r="C2138" s="18" t="s">
        <v>519</v>
      </c>
      <c r="D2138" s="19" t="s">
        <v>189</v>
      </c>
      <c r="E2138" s="19">
        <v>6</v>
      </c>
      <c r="F2138" s="19" t="s">
        <v>0</v>
      </c>
      <c r="G2138" s="20" t="s">
        <v>457</v>
      </c>
      <c r="H2138" s="36">
        <v>20900</v>
      </c>
      <c r="I2138" s="36"/>
      <c r="J2138" s="25">
        <v>227800</v>
      </c>
    </row>
    <row r="2139" spans="1:10" ht="16" x14ac:dyDescent="0.45">
      <c r="A2139" s="153" t="str">
        <f>B2139&amp;C2139&amp;E2139&amp;G2139</f>
        <v>전기레인지프라임 인덕션71회서비스</v>
      </c>
      <c r="B2139" s="17" t="s">
        <v>486</v>
      </c>
      <c r="C2139" s="18" t="s">
        <v>519</v>
      </c>
      <c r="D2139" s="19" t="s">
        <v>189</v>
      </c>
      <c r="E2139" s="19">
        <v>7</v>
      </c>
      <c r="F2139" s="19" t="s">
        <v>0</v>
      </c>
      <c r="G2139" s="20" t="s">
        <v>457</v>
      </c>
      <c r="H2139" s="36">
        <v>19400</v>
      </c>
      <c r="I2139" s="36"/>
      <c r="J2139" s="25">
        <v>227800</v>
      </c>
    </row>
    <row r="2140" spans="1:10" ht="16" x14ac:dyDescent="0.45">
      <c r="A2140" s="153" t="str">
        <f>B2140&amp;C2140&amp;E2140&amp;G2140</f>
        <v>전기레인지프라임 인덕션5서비스프리</v>
      </c>
      <c r="B2140" s="17" t="s">
        <v>486</v>
      </c>
      <c r="C2140" s="18" t="s">
        <v>519</v>
      </c>
      <c r="D2140" s="19" t="s">
        <v>189</v>
      </c>
      <c r="E2140" s="19">
        <v>5</v>
      </c>
      <c r="F2140" s="19" t="s">
        <v>0</v>
      </c>
      <c r="G2140" s="20" t="s">
        <v>183</v>
      </c>
      <c r="H2140" s="36">
        <v>19900</v>
      </c>
      <c r="I2140" s="36"/>
      <c r="J2140" s="25">
        <v>195900</v>
      </c>
    </row>
    <row r="2141" spans="1:10" ht="16" x14ac:dyDescent="0.45">
      <c r="A2141" s="153" t="str">
        <f>B2141&amp;C2141&amp;E2141&amp;G2141</f>
        <v>전기레인지프라임 인덕션6서비스프리</v>
      </c>
      <c r="B2141" s="17" t="s">
        <v>486</v>
      </c>
      <c r="C2141" s="18" t="s">
        <v>519</v>
      </c>
      <c r="D2141" s="19" t="s">
        <v>189</v>
      </c>
      <c r="E2141" s="19">
        <v>6</v>
      </c>
      <c r="F2141" s="19" t="s">
        <v>0</v>
      </c>
      <c r="G2141" s="20" t="s">
        <v>183</v>
      </c>
      <c r="H2141" s="36">
        <v>17900</v>
      </c>
      <c r="I2141" s="36"/>
      <c r="J2141" s="25">
        <v>215500</v>
      </c>
    </row>
    <row r="2142" spans="1:10" ht="16" x14ac:dyDescent="0.45">
      <c r="A2142" s="153" t="str">
        <f>B2142&amp;C2142&amp;E2142&amp;G2142</f>
        <v>전기레인지프라임 인덕션7서비스프리</v>
      </c>
      <c r="B2142" s="17" t="s">
        <v>486</v>
      </c>
      <c r="C2142" s="18" t="s">
        <v>519</v>
      </c>
      <c r="D2142" s="19" t="s">
        <v>189</v>
      </c>
      <c r="E2142" s="19">
        <v>7</v>
      </c>
      <c r="F2142" s="19" t="s">
        <v>0</v>
      </c>
      <c r="G2142" s="20" t="s">
        <v>183</v>
      </c>
      <c r="H2142" s="36">
        <v>16400</v>
      </c>
      <c r="I2142" s="36"/>
      <c r="J2142" s="25">
        <v>215500</v>
      </c>
    </row>
    <row r="2143" spans="1:10" ht="16" x14ac:dyDescent="0.45">
      <c r="A2143" s="153" t="str">
        <f>B2143&amp;C2143&amp;E2143&amp;G2143</f>
        <v>전기레인지프라임 하이브리드51회서비스</v>
      </c>
      <c r="B2143" s="17" t="s">
        <v>486</v>
      </c>
      <c r="C2143" s="18" t="s">
        <v>520</v>
      </c>
      <c r="D2143" s="19" t="s">
        <v>191</v>
      </c>
      <c r="E2143" s="19">
        <v>5</v>
      </c>
      <c r="F2143" s="19" t="s">
        <v>0</v>
      </c>
      <c r="G2143" s="20" t="s">
        <v>457</v>
      </c>
      <c r="H2143" s="36">
        <v>19400</v>
      </c>
      <c r="I2143" s="36"/>
      <c r="J2143" s="25">
        <v>195900</v>
      </c>
    </row>
    <row r="2144" spans="1:10" ht="16" x14ac:dyDescent="0.45">
      <c r="A2144" s="153" t="str">
        <f>B2144&amp;C2144&amp;E2144&amp;G2144</f>
        <v>전기레인지프라임 하이브리드61회서비스</v>
      </c>
      <c r="B2144" s="17" t="s">
        <v>486</v>
      </c>
      <c r="C2144" s="18" t="s">
        <v>520</v>
      </c>
      <c r="D2144" s="19" t="s">
        <v>191</v>
      </c>
      <c r="E2144" s="19">
        <v>6</v>
      </c>
      <c r="F2144" s="19" t="s">
        <v>0</v>
      </c>
      <c r="G2144" s="20" t="s">
        <v>457</v>
      </c>
      <c r="H2144" s="36">
        <v>17400</v>
      </c>
      <c r="I2144" s="36"/>
      <c r="J2144" s="25">
        <v>215500</v>
      </c>
    </row>
    <row r="2145" spans="1:10" ht="16" x14ac:dyDescent="0.45">
      <c r="A2145" s="153" t="str">
        <f>B2145&amp;C2145&amp;E2145&amp;G2145</f>
        <v>전기레인지프라임 하이브리드71회서비스</v>
      </c>
      <c r="B2145" s="17" t="s">
        <v>486</v>
      </c>
      <c r="C2145" s="18" t="s">
        <v>520</v>
      </c>
      <c r="D2145" s="19" t="s">
        <v>191</v>
      </c>
      <c r="E2145" s="19">
        <v>7</v>
      </c>
      <c r="F2145" s="19" t="s">
        <v>0</v>
      </c>
      <c r="G2145" s="20" t="s">
        <v>457</v>
      </c>
      <c r="H2145" s="36">
        <v>15900</v>
      </c>
      <c r="I2145" s="36"/>
      <c r="J2145" s="25">
        <v>215500</v>
      </c>
    </row>
    <row r="2146" spans="1:10" ht="16" x14ac:dyDescent="0.45">
      <c r="A2146" s="153" t="str">
        <f>B2146&amp;C2146&amp;E2146&amp;G2146</f>
        <v>전기레인지프라임 하이브리드5서비스프리</v>
      </c>
      <c r="B2146" s="17" t="s">
        <v>486</v>
      </c>
      <c r="C2146" s="18" t="s">
        <v>520</v>
      </c>
      <c r="D2146" s="19" t="s">
        <v>191</v>
      </c>
      <c r="E2146" s="19">
        <v>5</v>
      </c>
      <c r="F2146" s="19" t="s">
        <v>0</v>
      </c>
      <c r="G2146" s="20" t="s">
        <v>183</v>
      </c>
      <c r="H2146" s="36">
        <v>16400</v>
      </c>
      <c r="I2146" s="36"/>
      <c r="J2146" s="25">
        <v>195900</v>
      </c>
    </row>
    <row r="2147" spans="1:10" ht="16" x14ac:dyDescent="0.45">
      <c r="A2147" s="153" t="str">
        <f>B2147&amp;C2147&amp;E2147&amp;G2147</f>
        <v>전기레인지프라임 하이브리드6서비스프리</v>
      </c>
      <c r="B2147" s="17" t="s">
        <v>486</v>
      </c>
      <c r="C2147" s="18" t="s">
        <v>520</v>
      </c>
      <c r="D2147" s="19" t="s">
        <v>191</v>
      </c>
      <c r="E2147" s="19">
        <v>6</v>
      </c>
      <c r="F2147" s="19" t="s">
        <v>0</v>
      </c>
      <c r="G2147" s="20" t="s">
        <v>183</v>
      </c>
      <c r="H2147" s="36">
        <v>14400</v>
      </c>
      <c r="I2147" s="36"/>
      <c r="J2147" s="25">
        <v>215500</v>
      </c>
    </row>
    <row r="2148" spans="1:10" ht="16" x14ac:dyDescent="0.45">
      <c r="A2148" s="153" t="str">
        <f>B2148&amp;C2148&amp;E2148&amp;G2148</f>
        <v>전기레인지프라임 하이브리드7서비스프리</v>
      </c>
      <c r="B2148" s="17" t="s">
        <v>486</v>
      </c>
      <c r="C2148" s="18" t="s">
        <v>520</v>
      </c>
      <c r="D2148" s="19" t="s">
        <v>191</v>
      </c>
      <c r="E2148" s="19">
        <v>7</v>
      </c>
      <c r="F2148" s="19" t="s">
        <v>0</v>
      </c>
      <c r="G2148" s="20" t="s">
        <v>183</v>
      </c>
      <c r="H2148" s="36">
        <v>12900</v>
      </c>
      <c r="I2148" s="36"/>
      <c r="J2148" s="25">
        <v>215500</v>
      </c>
    </row>
    <row r="2149" spans="1:10" ht="16" x14ac:dyDescent="0.45">
      <c r="A2149" s="153" t="str">
        <f>B2149&amp;C2149&amp;E2149&amp;G2149</f>
        <v>전기레인지프라임S 인덕션51회서비스</v>
      </c>
      <c r="B2149" s="17" t="s">
        <v>486</v>
      </c>
      <c r="C2149" s="18" t="s">
        <v>521</v>
      </c>
      <c r="D2149" s="19" t="s">
        <v>188</v>
      </c>
      <c r="E2149" s="19">
        <v>5</v>
      </c>
      <c r="F2149" s="19" t="s">
        <v>0</v>
      </c>
      <c r="G2149" s="20" t="s">
        <v>457</v>
      </c>
      <c r="H2149" s="36">
        <v>29900</v>
      </c>
      <c r="I2149" s="36"/>
      <c r="J2149" s="25">
        <v>238200</v>
      </c>
    </row>
    <row r="2150" spans="1:10" ht="16" x14ac:dyDescent="0.45">
      <c r="A2150" s="153" t="str">
        <f>B2150&amp;C2150&amp;E2150&amp;G2150</f>
        <v>전기레인지프라임S 인덕션61회서비스</v>
      </c>
      <c r="B2150" s="17" t="s">
        <v>486</v>
      </c>
      <c r="C2150" s="18" t="s">
        <v>521</v>
      </c>
      <c r="D2150" s="19" t="s">
        <v>188</v>
      </c>
      <c r="E2150" s="19">
        <v>6</v>
      </c>
      <c r="F2150" s="19" t="s">
        <v>0</v>
      </c>
      <c r="G2150" s="20" t="s">
        <v>457</v>
      </c>
      <c r="H2150" s="36">
        <v>25900</v>
      </c>
      <c r="I2150" s="36"/>
      <c r="J2150" s="25">
        <v>262000</v>
      </c>
    </row>
    <row r="2151" spans="1:10" ht="16" x14ac:dyDescent="0.45">
      <c r="A2151" s="153" t="str">
        <f>B2151&amp;C2151&amp;E2151&amp;G2151</f>
        <v>전기레인지프라임S 인덕션71회서비스</v>
      </c>
      <c r="B2151" s="17" t="s">
        <v>486</v>
      </c>
      <c r="C2151" s="18" t="s">
        <v>521</v>
      </c>
      <c r="D2151" s="19" t="s">
        <v>188</v>
      </c>
      <c r="E2151" s="19">
        <v>7</v>
      </c>
      <c r="F2151" s="19" t="s">
        <v>0</v>
      </c>
      <c r="G2151" s="20" t="s">
        <v>457</v>
      </c>
      <c r="H2151" s="36">
        <v>22900</v>
      </c>
      <c r="I2151" s="36"/>
      <c r="J2151" s="25">
        <v>262000</v>
      </c>
    </row>
    <row r="2152" spans="1:10" ht="16" x14ac:dyDescent="0.45">
      <c r="A2152" s="153" t="str">
        <f>B2152&amp;C2152&amp;E2152&amp;G2152</f>
        <v>전기레인지프라임S 인덕션5서비스프리</v>
      </c>
      <c r="B2152" s="17" t="s">
        <v>486</v>
      </c>
      <c r="C2152" s="18" t="s">
        <v>521</v>
      </c>
      <c r="D2152" s="19" t="s">
        <v>188</v>
      </c>
      <c r="E2152" s="19">
        <v>5</v>
      </c>
      <c r="F2152" s="19" t="s">
        <v>0</v>
      </c>
      <c r="G2152" s="20" t="s">
        <v>183</v>
      </c>
      <c r="H2152" s="36">
        <v>26900</v>
      </c>
      <c r="I2152" s="36"/>
      <c r="J2152" s="25">
        <v>229600</v>
      </c>
    </row>
    <row r="2153" spans="1:10" ht="16" x14ac:dyDescent="0.45">
      <c r="A2153" s="153" t="str">
        <f>B2153&amp;C2153&amp;E2153&amp;G2153</f>
        <v>전기레인지프라임S 인덕션6서비스프리</v>
      </c>
      <c r="B2153" s="17" t="s">
        <v>486</v>
      </c>
      <c r="C2153" s="18" t="s">
        <v>521</v>
      </c>
      <c r="D2153" s="19" t="s">
        <v>188</v>
      </c>
      <c r="E2153" s="19">
        <v>6</v>
      </c>
      <c r="F2153" s="19" t="s">
        <v>0</v>
      </c>
      <c r="G2153" s="20" t="s">
        <v>183</v>
      </c>
      <c r="H2153" s="36">
        <v>22900</v>
      </c>
      <c r="I2153" s="36"/>
      <c r="J2153" s="25">
        <v>252600</v>
      </c>
    </row>
    <row r="2154" spans="1:10" ht="16" x14ac:dyDescent="0.45">
      <c r="A2154" s="153" t="str">
        <f>B2154&amp;C2154&amp;E2154&amp;G2154</f>
        <v>전기레인지프라임S 인덕션7서비스프리</v>
      </c>
      <c r="B2154" s="17" t="s">
        <v>486</v>
      </c>
      <c r="C2154" s="18" t="s">
        <v>521</v>
      </c>
      <c r="D2154" s="19" t="s">
        <v>188</v>
      </c>
      <c r="E2154" s="19">
        <v>7</v>
      </c>
      <c r="F2154" s="19" t="s">
        <v>0</v>
      </c>
      <c r="G2154" s="20" t="s">
        <v>183</v>
      </c>
      <c r="H2154" s="36">
        <v>19900</v>
      </c>
      <c r="I2154" s="36"/>
      <c r="J2154" s="25">
        <v>252600</v>
      </c>
    </row>
    <row r="2155" spans="1:10" ht="16" x14ac:dyDescent="0.45">
      <c r="A2155" s="153" t="str">
        <f>B2155&amp;C2155&amp;E2155&amp;G2155</f>
        <v>전기레인지프라임S 하이라이트51회서비스</v>
      </c>
      <c r="B2155" s="17" t="s">
        <v>486</v>
      </c>
      <c r="C2155" s="18" t="s">
        <v>522</v>
      </c>
      <c r="D2155" s="19" t="s">
        <v>192</v>
      </c>
      <c r="E2155" s="19">
        <v>5</v>
      </c>
      <c r="F2155" s="19" t="s">
        <v>0</v>
      </c>
      <c r="G2155" s="20" t="s">
        <v>457</v>
      </c>
      <c r="H2155" s="36">
        <v>19900</v>
      </c>
      <c r="I2155" s="36"/>
      <c r="J2155" s="25">
        <v>195900</v>
      </c>
    </row>
    <row r="2156" spans="1:10" ht="16" x14ac:dyDescent="0.45">
      <c r="A2156" s="153" t="str">
        <f>B2156&amp;C2156&amp;E2156&amp;G2156</f>
        <v>전기레인지프라임S 하이라이트61회서비스</v>
      </c>
      <c r="B2156" s="17" t="s">
        <v>486</v>
      </c>
      <c r="C2156" s="18" t="s">
        <v>522</v>
      </c>
      <c r="D2156" s="19" t="s">
        <v>192</v>
      </c>
      <c r="E2156" s="19">
        <v>6</v>
      </c>
      <c r="F2156" s="19" t="s">
        <v>0</v>
      </c>
      <c r="G2156" s="20" t="s">
        <v>457</v>
      </c>
      <c r="H2156" s="36">
        <v>17900</v>
      </c>
      <c r="I2156" s="36"/>
      <c r="J2156" s="25">
        <v>215500</v>
      </c>
    </row>
    <row r="2157" spans="1:10" ht="16" x14ac:dyDescent="0.45">
      <c r="A2157" s="153" t="str">
        <f>B2157&amp;C2157&amp;E2157&amp;G2157</f>
        <v>전기레인지프라임S 하이라이트71회서비스</v>
      </c>
      <c r="B2157" s="17" t="s">
        <v>486</v>
      </c>
      <c r="C2157" s="18" t="s">
        <v>522</v>
      </c>
      <c r="D2157" s="19" t="s">
        <v>192</v>
      </c>
      <c r="E2157" s="19">
        <v>7</v>
      </c>
      <c r="F2157" s="19" t="s">
        <v>0</v>
      </c>
      <c r="G2157" s="20" t="s">
        <v>457</v>
      </c>
      <c r="H2157" s="36">
        <v>16400</v>
      </c>
      <c r="I2157" s="36"/>
      <c r="J2157" s="25">
        <v>215500</v>
      </c>
    </row>
    <row r="2158" spans="1:10" ht="16" x14ac:dyDescent="0.45">
      <c r="A2158" s="153" t="str">
        <f>B2158&amp;C2158&amp;E2158&amp;G2158</f>
        <v>전기레인지프라임S 하이라이트5서비스프리</v>
      </c>
      <c r="B2158" s="17" t="s">
        <v>486</v>
      </c>
      <c r="C2158" s="18" t="s">
        <v>522</v>
      </c>
      <c r="D2158" s="19" t="s">
        <v>192</v>
      </c>
      <c r="E2158" s="19">
        <v>5</v>
      </c>
      <c r="F2158" s="19" t="s">
        <v>0</v>
      </c>
      <c r="G2158" s="20" t="s">
        <v>183</v>
      </c>
      <c r="H2158" s="36">
        <v>17900</v>
      </c>
      <c r="I2158" s="36"/>
      <c r="J2158" s="25">
        <v>195900</v>
      </c>
    </row>
    <row r="2159" spans="1:10" ht="16" x14ac:dyDescent="0.45">
      <c r="A2159" s="153" t="str">
        <f>B2159&amp;C2159&amp;E2159&amp;G2159</f>
        <v>전기레인지프라임S 하이라이트6서비스프리</v>
      </c>
      <c r="B2159" s="17" t="s">
        <v>486</v>
      </c>
      <c r="C2159" s="18" t="s">
        <v>522</v>
      </c>
      <c r="D2159" s="19" t="s">
        <v>192</v>
      </c>
      <c r="E2159" s="19">
        <v>6</v>
      </c>
      <c r="F2159" s="19" t="s">
        <v>0</v>
      </c>
      <c r="G2159" s="20" t="s">
        <v>183</v>
      </c>
      <c r="H2159" s="36">
        <v>15900</v>
      </c>
      <c r="I2159" s="36"/>
      <c r="J2159" s="25">
        <v>215500</v>
      </c>
    </row>
    <row r="2160" spans="1:10" ht="16" x14ac:dyDescent="0.45">
      <c r="A2160" s="153" t="str">
        <f>B2160&amp;C2160&amp;E2160&amp;G2160</f>
        <v>전기레인지프라임S 하이라이트7서비스프리</v>
      </c>
      <c r="B2160" s="17" t="s">
        <v>486</v>
      </c>
      <c r="C2160" s="18" t="s">
        <v>522</v>
      </c>
      <c r="D2160" s="19" t="s">
        <v>192</v>
      </c>
      <c r="E2160" s="19">
        <v>7</v>
      </c>
      <c r="F2160" s="19" t="s">
        <v>0</v>
      </c>
      <c r="G2160" s="20" t="s">
        <v>183</v>
      </c>
      <c r="H2160" s="36">
        <v>14400</v>
      </c>
      <c r="I2160" s="36"/>
      <c r="J2160" s="25">
        <v>215500</v>
      </c>
    </row>
    <row r="2161" spans="1:10" ht="16" x14ac:dyDescent="0.45">
      <c r="A2161" s="153" t="str">
        <f>B2161&amp;C2161&amp;E2161&amp;G2161</f>
        <v>전기레인지프라임S 하이브리드51회서비스</v>
      </c>
      <c r="B2161" s="17" t="s">
        <v>486</v>
      </c>
      <c r="C2161" s="18" t="s">
        <v>523</v>
      </c>
      <c r="D2161" s="19" t="s">
        <v>190</v>
      </c>
      <c r="E2161" s="19">
        <v>5</v>
      </c>
      <c r="F2161" s="19" t="s">
        <v>0</v>
      </c>
      <c r="G2161" s="20" t="s">
        <v>457</v>
      </c>
      <c r="H2161" s="36">
        <v>26900</v>
      </c>
      <c r="I2161" s="36"/>
      <c r="J2161" s="25">
        <v>229600</v>
      </c>
    </row>
    <row r="2162" spans="1:10" ht="16" x14ac:dyDescent="0.45">
      <c r="A2162" s="153" t="str">
        <f>B2162&amp;C2162&amp;E2162&amp;G2162</f>
        <v>전기레인지프라임S 하이브리드61회서비스</v>
      </c>
      <c r="B2162" s="17" t="s">
        <v>486</v>
      </c>
      <c r="C2162" s="18" t="s">
        <v>523</v>
      </c>
      <c r="D2162" s="19" t="s">
        <v>190</v>
      </c>
      <c r="E2162" s="19">
        <v>6</v>
      </c>
      <c r="F2162" s="19" t="s">
        <v>0</v>
      </c>
      <c r="G2162" s="20" t="s">
        <v>457</v>
      </c>
      <c r="H2162" s="36">
        <v>23900</v>
      </c>
      <c r="I2162" s="36"/>
      <c r="J2162" s="25">
        <v>252600</v>
      </c>
    </row>
    <row r="2163" spans="1:10" ht="16" x14ac:dyDescent="0.45">
      <c r="A2163" s="153" t="str">
        <f>B2163&amp;C2163&amp;E2163&amp;G2163</f>
        <v>전기레인지프라임S 하이브리드71회서비스</v>
      </c>
      <c r="B2163" s="17" t="s">
        <v>486</v>
      </c>
      <c r="C2163" s="18" t="s">
        <v>523</v>
      </c>
      <c r="D2163" s="19" t="s">
        <v>190</v>
      </c>
      <c r="E2163" s="19">
        <v>7</v>
      </c>
      <c r="F2163" s="19" t="s">
        <v>0</v>
      </c>
      <c r="G2163" s="20" t="s">
        <v>457</v>
      </c>
      <c r="H2163" s="36">
        <v>21900</v>
      </c>
      <c r="I2163" s="36"/>
      <c r="J2163" s="25">
        <v>252600</v>
      </c>
    </row>
    <row r="2164" spans="1:10" ht="16" x14ac:dyDescent="0.45">
      <c r="A2164" s="153" t="str">
        <f>B2164&amp;C2164&amp;E2164&amp;G2164</f>
        <v>전기레인지프라임S 하이브리드5서비스프리</v>
      </c>
      <c r="B2164" s="17" t="s">
        <v>486</v>
      </c>
      <c r="C2164" s="18" t="s">
        <v>523</v>
      </c>
      <c r="D2164" s="19" t="s">
        <v>190</v>
      </c>
      <c r="E2164" s="19">
        <v>5</v>
      </c>
      <c r="F2164" s="19" t="s">
        <v>0</v>
      </c>
      <c r="G2164" s="20" t="s">
        <v>183</v>
      </c>
      <c r="H2164" s="36">
        <v>23900</v>
      </c>
      <c r="I2164" s="36"/>
      <c r="J2164" s="25">
        <v>218300</v>
      </c>
    </row>
    <row r="2165" spans="1:10" ht="16" x14ac:dyDescent="0.45">
      <c r="A2165" s="153" t="str">
        <f>B2165&amp;C2165&amp;E2165&amp;G2165</f>
        <v>전기레인지프라임S 하이브리드6서비스프리</v>
      </c>
      <c r="B2165" s="17" t="s">
        <v>486</v>
      </c>
      <c r="C2165" s="18" t="s">
        <v>523</v>
      </c>
      <c r="D2165" s="19" t="s">
        <v>190</v>
      </c>
      <c r="E2165" s="19">
        <v>6</v>
      </c>
      <c r="F2165" s="19" t="s">
        <v>0</v>
      </c>
      <c r="G2165" s="20" t="s">
        <v>183</v>
      </c>
      <c r="H2165" s="36">
        <v>20900</v>
      </c>
      <c r="I2165" s="36"/>
      <c r="J2165" s="25">
        <v>240100</v>
      </c>
    </row>
    <row r="2166" spans="1:10" ht="16" x14ac:dyDescent="0.45">
      <c r="A2166" s="153" t="str">
        <f>B2166&amp;C2166&amp;E2166&amp;G2166</f>
        <v>전기레인지프라임S 하이브리드7서비스프리</v>
      </c>
      <c r="B2166" s="17" t="s">
        <v>486</v>
      </c>
      <c r="C2166" s="18" t="s">
        <v>523</v>
      </c>
      <c r="D2166" s="19" t="s">
        <v>190</v>
      </c>
      <c r="E2166" s="19">
        <v>7</v>
      </c>
      <c r="F2166" s="19" t="s">
        <v>0</v>
      </c>
      <c r="G2166" s="20" t="s">
        <v>183</v>
      </c>
      <c r="H2166" s="36">
        <v>18900</v>
      </c>
      <c r="I2166" s="36"/>
      <c r="J2166" s="25">
        <v>240100</v>
      </c>
    </row>
    <row r="2167" spans="1:10" ht="16" x14ac:dyDescent="0.45">
      <c r="A2167" s="153" t="str">
        <f>B2167&amp;C2167&amp;E2167&amp;G2167</f>
        <v>홈메디테라솔P5서비스프리</v>
      </c>
      <c r="B2167" s="17" t="s">
        <v>1039</v>
      </c>
      <c r="C2167" s="18" t="s">
        <v>1074</v>
      </c>
      <c r="D2167" s="19" t="s">
        <v>1075</v>
      </c>
      <c r="E2167" s="19">
        <v>5</v>
      </c>
      <c r="F2167" s="19" t="s">
        <v>0</v>
      </c>
      <c r="G2167" s="20" t="s">
        <v>183</v>
      </c>
      <c r="H2167" s="36">
        <v>31900</v>
      </c>
      <c r="I2167" s="36"/>
      <c r="J2167" s="25">
        <v>249500</v>
      </c>
    </row>
    <row r="2168" spans="1:10" ht="16" x14ac:dyDescent="0.45">
      <c r="A2168" s="153" t="str">
        <f>B2168&amp;C2168&amp;E2168&amp;G2168</f>
        <v>홈메디테라솔P6서비스프리</v>
      </c>
      <c r="B2168" s="17" t="s">
        <v>1039</v>
      </c>
      <c r="C2168" s="18" t="s">
        <v>1074</v>
      </c>
      <c r="D2168" s="19" t="s">
        <v>1075</v>
      </c>
      <c r="E2168" s="19">
        <v>6</v>
      </c>
      <c r="F2168" s="19" t="s">
        <v>0</v>
      </c>
      <c r="G2168" s="20" t="s">
        <v>183</v>
      </c>
      <c r="H2168" s="36">
        <v>28900</v>
      </c>
      <c r="I2168" s="36"/>
      <c r="J2168" s="25">
        <v>274500</v>
      </c>
    </row>
    <row r="2169" spans="1:10" ht="16" x14ac:dyDescent="0.45">
      <c r="A2169" s="153" t="str">
        <f>B2169&amp;C2169&amp;E2169&amp;G2169</f>
        <v>홈메디테라솔P7서비스프리</v>
      </c>
      <c r="B2169" s="17" t="s">
        <v>1039</v>
      </c>
      <c r="C2169" s="18" t="s">
        <v>1074</v>
      </c>
      <c r="D2169" s="19" t="s">
        <v>1075</v>
      </c>
      <c r="E2169" s="19">
        <v>7</v>
      </c>
      <c r="F2169" s="19" t="s">
        <v>0</v>
      </c>
      <c r="G2169" s="20" t="s">
        <v>183</v>
      </c>
      <c r="H2169" s="36">
        <v>25900</v>
      </c>
      <c r="I2169" s="36"/>
      <c r="J2169" s="25">
        <v>274500</v>
      </c>
    </row>
    <row r="2170" spans="1:10" ht="16" x14ac:dyDescent="0.45">
      <c r="A2170" s="153" t="str">
        <f>B2170&amp;C2170&amp;E2170&amp;G2170</f>
        <v>홈메디테라솔P5자가관리(12M)</v>
      </c>
      <c r="B2170" s="17" t="s">
        <v>1039</v>
      </c>
      <c r="C2170" s="18" t="s">
        <v>1074</v>
      </c>
      <c r="D2170" s="19" t="s">
        <v>1075</v>
      </c>
      <c r="E2170" s="19">
        <v>5</v>
      </c>
      <c r="F2170" s="19" t="s">
        <v>0</v>
      </c>
      <c r="G2170" s="20" t="s">
        <v>1200</v>
      </c>
      <c r="H2170" s="36">
        <v>37900</v>
      </c>
      <c r="I2170" s="36"/>
      <c r="J2170" s="25">
        <v>271900</v>
      </c>
    </row>
    <row r="2171" spans="1:10" ht="16" x14ac:dyDescent="0.45">
      <c r="A2171" s="153" t="str">
        <f>B2171&amp;C2171&amp;E2171&amp;G2171</f>
        <v>홈메디테라솔P6자가관리(12M)</v>
      </c>
      <c r="B2171" s="17" t="s">
        <v>1039</v>
      </c>
      <c r="C2171" s="18" t="s">
        <v>1074</v>
      </c>
      <c r="D2171" s="19" t="s">
        <v>1075</v>
      </c>
      <c r="E2171" s="19">
        <v>6</v>
      </c>
      <c r="F2171" s="19" t="s">
        <v>0</v>
      </c>
      <c r="G2171" s="20" t="s">
        <v>1200</v>
      </c>
      <c r="H2171" s="36">
        <v>34900</v>
      </c>
      <c r="I2171" s="36"/>
      <c r="J2171" s="25">
        <v>299100</v>
      </c>
    </row>
    <row r="2172" spans="1:10" ht="16" x14ac:dyDescent="0.45">
      <c r="A2172" s="153" t="str">
        <f>B2172&amp;C2172&amp;E2172&amp;G2172</f>
        <v>홈메디테라솔P7자가관리(12M)</v>
      </c>
      <c r="B2172" s="17" t="s">
        <v>1039</v>
      </c>
      <c r="C2172" s="18" t="s">
        <v>1074</v>
      </c>
      <c r="D2172" s="19" t="s">
        <v>1075</v>
      </c>
      <c r="E2172" s="19">
        <v>7</v>
      </c>
      <c r="F2172" s="19" t="s">
        <v>0</v>
      </c>
      <c r="G2172" s="20" t="s">
        <v>1200</v>
      </c>
      <c r="H2172" s="36">
        <v>31900</v>
      </c>
      <c r="I2172" s="36"/>
      <c r="J2172" s="25">
        <v>299100</v>
      </c>
    </row>
    <row r="2173" spans="1:10" ht="16" x14ac:dyDescent="0.45">
      <c r="A2173" s="153" t="str">
        <f>B2173&amp;C2173&amp;E2173&amp;G2173</f>
        <v>홈메디테라솔P5자가관리(6M)</v>
      </c>
      <c r="B2173" s="17" t="s">
        <v>1039</v>
      </c>
      <c r="C2173" s="18" t="s">
        <v>1074</v>
      </c>
      <c r="D2173" s="19" t="s">
        <v>1075</v>
      </c>
      <c r="E2173" s="19">
        <v>5</v>
      </c>
      <c r="F2173" s="19" t="s">
        <v>0</v>
      </c>
      <c r="G2173" s="20" t="s">
        <v>1199</v>
      </c>
      <c r="H2173" s="36">
        <v>44900</v>
      </c>
      <c r="I2173" s="36"/>
      <c r="J2173" s="25">
        <v>283200</v>
      </c>
    </row>
    <row r="2174" spans="1:10" ht="16" x14ac:dyDescent="0.45">
      <c r="A2174" s="153" t="str">
        <f>B2174&amp;C2174&amp;E2174&amp;G2174</f>
        <v>홈메디테라솔P6자가관리(6M)</v>
      </c>
      <c r="B2174" s="17" t="s">
        <v>1039</v>
      </c>
      <c r="C2174" s="18" t="s">
        <v>1074</v>
      </c>
      <c r="D2174" s="19" t="s">
        <v>1075</v>
      </c>
      <c r="E2174" s="19">
        <v>6</v>
      </c>
      <c r="F2174" s="19" t="s">
        <v>0</v>
      </c>
      <c r="G2174" s="20" t="s">
        <v>1199</v>
      </c>
      <c r="H2174" s="36">
        <v>41900</v>
      </c>
      <c r="I2174" s="36"/>
      <c r="J2174" s="25">
        <v>311500</v>
      </c>
    </row>
    <row r="2175" spans="1:10" ht="16" x14ac:dyDescent="0.45">
      <c r="A2175" s="153" t="str">
        <f>B2175&amp;C2175&amp;E2175&amp;G2175</f>
        <v>홈메디테라솔P7자가관리(6M)</v>
      </c>
      <c r="B2175" s="17" t="s">
        <v>1039</v>
      </c>
      <c r="C2175" s="18" t="s">
        <v>1074</v>
      </c>
      <c r="D2175" s="19" t="s">
        <v>1075</v>
      </c>
      <c r="E2175" s="19">
        <v>7</v>
      </c>
      <c r="F2175" s="19" t="s">
        <v>0</v>
      </c>
      <c r="G2175" s="20" t="s">
        <v>1199</v>
      </c>
      <c r="H2175" s="36">
        <v>38900</v>
      </c>
      <c r="I2175" s="36"/>
      <c r="J2175" s="25">
        <v>311500</v>
      </c>
    </row>
    <row r="2176" spans="1:10" ht="16" x14ac:dyDescent="0.45">
      <c r="A2176" s="153" t="str">
        <f>B2176&amp;C2176&amp;E2176&amp;G2176</f>
        <v>홈메디테라솔U61회서비스</v>
      </c>
      <c r="B2176" s="17" t="s">
        <v>1039</v>
      </c>
      <c r="C2176" s="18" t="s">
        <v>1040</v>
      </c>
      <c r="D2176" s="19" t="s">
        <v>1041</v>
      </c>
      <c r="E2176" s="19">
        <v>6</v>
      </c>
      <c r="F2176" s="19" t="s">
        <v>0</v>
      </c>
      <c r="G2176" s="20" t="s">
        <v>869</v>
      </c>
      <c r="H2176" s="36">
        <v>28400</v>
      </c>
      <c r="I2176" s="36"/>
      <c r="J2176" s="25">
        <v>262000</v>
      </c>
    </row>
    <row r="2177" spans="1:10" ht="16" x14ac:dyDescent="0.45">
      <c r="A2177" s="153" t="str">
        <f>B2177&amp;C2177&amp;E2177&amp;G2177</f>
        <v>홈메디테라솔U71회서비스</v>
      </c>
      <c r="B2177" s="17" t="s">
        <v>1039</v>
      </c>
      <c r="C2177" s="18" t="s">
        <v>1040</v>
      </c>
      <c r="D2177" s="19" t="s">
        <v>1041</v>
      </c>
      <c r="E2177" s="19">
        <v>7</v>
      </c>
      <c r="F2177" s="19" t="s">
        <v>0</v>
      </c>
      <c r="G2177" s="20" t="s">
        <v>869</v>
      </c>
      <c r="H2177" s="36">
        <v>26400</v>
      </c>
      <c r="I2177" s="36"/>
      <c r="J2177" s="25">
        <v>262000</v>
      </c>
    </row>
    <row r="2178" spans="1:10" ht="16" x14ac:dyDescent="0.45">
      <c r="A2178" s="153" t="str">
        <f>B2178&amp;C2178&amp;E2178&amp;G2178</f>
        <v>홈메디테라솔U5서비스프리</v>
      </c>
      <c r="B2178" s="17" t="s">
        <v>1039</v>
      </c>
      <c r="C2178" s="18" t="s">
        <v>1040</v>
      </c>
      <c r="D2178" s="19" t="s">
        <v>1041</v>
      </c>
      <c r="E2178" s="19">
        <v>5</v>
      </c>
      <c r="F2178" s="19" t="s">
        <v>0</v>
      </c>
      <c r="G2178" s="20" t="s">
        <v>183</v>
      </c>
      <c r="H2178" s="36">
        <v>29900</v>
      </c>
      <c r="I2178" s="36"/>
      <c r="J2178" s="25">
        <v>238200</v>
      </c>
    </row>
  </sheetData>
  <sortState xmlns:xlrd2="http://schemas.microsoft.com/office/spreadsheetml/2017/richdata2" ref="A12:J2178">
    <sortCondition ref="B12:B2178" customList="정수기,청정기,제습기,비데,연수기,힐링케어,매트리스,의류청정기,프레임"/>
    <sortCondition ref="C12:C2178"/>
    <sortCondition ref="D12:D2178"/>
    <sortCondition ref="G12:G2178"/>
    <sortCondition descending="1" ref="F12:F2178"/>
    <sortCondition ref="E12:E2178"/>
  </sortState>
  <mergeCells count="1">
    <mergeCell ref="B1:G2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58" fitToHeight="0" orientation="portrait" r:id="rId1"/>
  <customProperties>
    <customPr name="_pios_id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C829D-24EE-4694-8CE2-F24B6893EF71}">
  <sheetPr>
    <tabColor rgb="FFC00000"/>
  </sheetPr>
  <dimension ref="A1:K98"/>
  <sheetViews>
    <sheetView showGridLines="0" zoomScale="70" zoomScaleNormal="70" workbookViewId="0">
      <selection activeCell="G53" sqref="G53"/>
    </sheetView>
  </sheetViews>
  <sheetFormatPr defaultRowHeight="17" x14ac:dyDescent="0.45"/>
  <cols>
    <col min="1" max="1" width="8.6640625" style="4"/>
    <col min="2" max="2" width="28.33203125" style="4" customWidth="1"/>
    <col min="3" max="3" width="11.9140625" style="4" customWidth="1"/>
    <col min="4" max="4" width="19.83203125" style="4" bestFit="1" customWidth="1"/>
    <col min="5" max="6" width="8.6640625" style="4"/>
    <col min="7" max="7" width="12.33203125" style="4" customWidth="1"/>
    <col min="8" max="9" width="8.6640625" style="4"/>
    <col min="10" max="10" width="18" style="4" bestFit="1" customWidth="1"/>
    <col min="11" max="11" width="23" style="4" customWidth="1"/>
    <col min="12" max="16384" width="8.6640625" style="4"/>
  </cols>
  <sheetData>
    <row r="1" spans="1:11" ht="26" x14ac:dyDescent="0.45">
      <c r="A1" s="217" t="s">
        <v>1115</v>
      </c>
      <c r="B1" s="217"/>
      <c r="C1" s="217"/>
      <c r="D1" s="217"/>
      <c r="E1" s="217"/>
      <c r="F1" s="217"/>
      <c r="G1" s="217"/>
      <c r="H1" s="217"/>
      <c r="I1" s="217"/>
      <c r="J1" s="151"/>
      <c r="K1" s="154"/>
    </row>
    <row r="2" spans="1:11" ht="26" x14ac:dyDescent="0.45">
      <c r="A2" s="155"/>
      <c r="B2" s="155"/>
      <c r="C2" s="155"/>
      <c r="D2" s="155"/>
      <c r="E2" s="155"/>
      <c r="F2" s="155"/>
      <c r="G2" s="155"/>
      <c r="H2" s="155"/>
      <c r="I2" s="155"/>
      <c r="J2" s="155"/>
      <c r="K2" s="156"/>
    </row>
    <row r="3" spans="1:11" ht="18" thickBot="1" x14ac:dyDescent="0.5">
      <c r="A3" s="157" t="s">
        <v>1163</v>
      </c>
      <c r="I3" s="158"/>
      <c r="K3" s="159" t="s">
        <v>1087</v>
      </c>
    </row>
    <row r="4" spans="1:11" ht="17.5" thickBot="1" x14ac:dyDescent="0.5">
      <c r="A4" s="11" t="s">
        <v>448</v>
      </c>
      <c r="B4" s="12" t="s">
        <v>477</v>
      </c>
      <c r="C4" s="13" t="s">
        <v>449</v>
      </c>
      <c r="D4" s="13" t="s">
        <v>450</v>
      </c>
      <c r="E4" s="13" t="s">
        <v>1088</v>
      </c>
      <c r="F4" s="13" t="s">
        <v>459</v>
      </c>
      <c r="G4" s="14" t="s">
        <v>451</v>
      </c>
      <c r="H4" s="14" t="s">
        <v>1089</v>
      </c>
      <c r="I4" s="160" t="s">
        <v>611</v>
      </c>
      <c r="J4" s="161" t="s">
        <v>478</v>
      </c>
      <c r="K4" s="162" t="s">
        <v>1090</v>
      </c>
    </row>
    <row r="5" spans="1:11" ht="17.5" thickTop="1" x14ac:dyDescent="0.45">
      <c r="A5" s="17" t="s">
        <v>1140</v>
      </c>
      <c r="B5" s="18" t="s">
        <v>1091</v>
      </c>
      <c r="C5" s="163" t="s">
        <v>1092</v>
      </c>
      <c r="D5" s="19" t="s">
        <v>1093</v>
      </c>
      <c r="E5" s="19" t="s">
        <v>1094</v>
      </c>
      <c r="F5" s="19" t="s">
        <v>0</v>
      </c>
      <c r="G5" s="20" t="s">
        <v>183</v>
      </c>
      <c r="H5" s="20" t="s">
        <v>1095</v>
      </c>
      <c r="I5" s="164">
        <v>11000</v>
      </c>
      <c r="J5" s="165">
        <v>33000</v>
      </c>
      <c r="K5" s="176"/>
    </row>
    <row r="6" spans="1:11" x14ac:dyDescent="0.45">
      <c r="A6" s="17" t="s">
        <v>1140</v>
      </c>
      <c r="B6" s="18" t="s">
        <v>1091</v>
      </c>
      <c r="C6" s="163" t="s">
        <v>1092</v>
      </c>
      <c r="D6" s="19" t="s">
        <v>1093</v>
      </c>
      <c r="E6" s="19" t="s">
        <v>1096</v>
      </c>
      <c r="F6" s="19" t="s">
        <v>0</v>
      </c>
      <c r="G6" s="20" t="s">
        <v>183</v>
      </c>
      <c r="H6" s="20" t="s">
        <v>1095</v>
      </c>
      <c r="I6" s="164">
        <v>9000</v>
      </c>
      <c r="J6" s="165">
        <v>37800</v>
      </c>
      <c r="K6" s="176"/>
    </row>
    <row r="7" spans="1:11" x14ac:dyDescent="0.45">
      <c r="A7" s="17" t="s">
        <v>1140</v>
      </c>
      <c r="B7" s="18" t="s">
        <v>1091</v>
      </c>
      <c r="C7" s="163" t="s">
        <v>1092</v>
      </c>
      <c r="D7" s="19" t="s">
        <v>1093</v>
      </c>
      <c r="E7" s="19" t="s">
        <v>1097</v>
      </c>
      <c r="F7" s="19" t="s">
        <v>0</v>
      </c>
      <c r="G7" s="20" t="s">
        <v>183</v>
      </c>
      <c r="H7" s="20" t="s">
        <v>1095</v>
      </c>
      <c r="I7" s="164">
        <v>8000</v>
      </c>
      <c r="J7" s="165">
        <v>43200</v>
      </c>
      <c r="K7" s="176"/>
    </row>
    <row r="8" spans="1:11" x14ac:dyDescent="0.45">
      <c r="A8" s="17" t="s">
        <v>1140</v>
      </c>
      <c r="B8" s="18" t="s">
        <v>1091</v>
      </c>
      <c r="C8" s="163" t="s">
        <v>1098</v>
      </c>
      <c r="D8" s="19" t="s">
        <v>1099</v>
      </c>
      <c r="E8" s="19" t="s">
        <v>1094</v>
      </c>
      <c r="F8" s="19" t="s">
        <v>0</v>
      </c>
      <c r="G8" s="20" t="s">
        <v>183</v>
      </c>
      <c r="H8" s="20" t="s">
        <v>1095</v>
      </c>
      <c r="I8" s="164">
        <v>11000</v>
      </c>
      <c r="J8" s="165">
        <v>33000</v>
      </c>
      <c r="K8" s="176"/>
    </row>
    <row r="9" spans="1:11" x14ac:dyDescent="0.45">
      <c r="A9" s="17" t="s">
        <v>1140</v>
      </c>
      <c r="B9" s="18" t="s">
        <v>1091</v>
      </c>
      <c r="C9" s="163" t="s">
        <v>1098</v>
      </c>
      <c r="D9" s="19" t="s">
        <v>1099</v>
      </c>
      <c r="E9" s="19" t="s">
        <v>1096</v>
      </c>
      <c r="F9" s="19" t="s">
        <v>0</v>
      </c>
      <c r="G9" s="20" t="s">
        <v>183</v>
      </c>
      <c r="H9" s="20" t="s">
        <v>1095</v>
      </c>
      <c r="I9" s="164">
        <v>9000</v>
      </c>
      <c r="J9" s="165">
        <v>37800</v>
      </c>
      <c r="K9" s="176"/>
    </row>
    <row r="10" spans="1:11" x14ac:dyDescent="0.45">
      <c r="A10" s="17" t="s">
        <v>1140</v>
      </c>
      <c r="B10" s="18" t="s">
        <v>1091</v>
      </c>
      <c r="C10" s="163" t="s">
        <v>1098</v>
      </c>
      <c r="D10" s="19" t="s">
        <v>1099</v>
      </c>
      <c r="E10" s="19" t="s">
        <v>1097</v>
      </c>
      <c r="F10" s="19" t="s">
        <v>0</v>
      </c>
      <c r="G10" s="20" t="s">
        <v>183</v>
      </c>
      <c r="H10" s="20" t="s">
        <v>1095</v>
      </c>
      <c r="I10" s="164">
        <v>8000</v>
      </c>
      <c r="J10" s="165">
        <v>43200</v>
      </c>
      <c r="K10" s="176"/>
    </row>
    <row r="11" spans="1:11" x14ac:dyDescent="0.45">
      <c r="A11" s="17" t="s">
        <v>1140</v>
      </c>
      <c r="B11" s="18" t="s">
        <v>1091</v>
      </c>
      <c r="C11" s="163" t="s">
        <v>1100</v>
      </c>
      <c r="D11" s="19" t="s">
        <v>1101</v>
      </c>
      <c r="E11" s="19" t="s">
        <v>1094</v>
      </c>
      <c r="F11" s="19" t="s">
        <v>0</v>
      </c>
      <c r="G11" s="20" t="s">
        <v>183</v>
      </c>
      <c r="H11" s="20" t="s">
        <v>1095</v>
      </c>
      <c r="I11" s="164">
        <v>11000</v>
      </c>
      <c r="J11" s="165">
        <v>33000</v>
      </c>
      <c r="K11" s="176"/>
    </row>
    <row r="12" spans="1:11" x14ac:dyDescent="0.45">
      <c r="A12" s="17" t="s">
        <v>1140</v>
      </c>
      <c r="B12" s="18" t="s">
        <v>1091</v>
      </c>
      <c r="C12" s="163" t="s">
        <v>1100</v>
      </c>
      <c r="D12" s="19" t="s">
        <v>1101</v>
      </c>
      <c r="E12" s="19" t="s">
        <v>1096</v>
      </c>
      <c r="F12" s="19" t="s">
        <v>0</v>
      </c>
      <c r="G12" s="20" t="s">
        <v>183</v>
      </c>
      <c r="H12" s="20" t="s">
        <v>1095</v>
      </c>
      <c r="I12" s="164">
        <v>9000</v>
      </c>
      <c r="J12" s="165">
        <v>37800</v>
      </c>
      <c r="K12" s="176"/>
    </row>
    <row r="13" spans="1:11" x14ac:dyDescent="0.45">
      <c r="A13" s="17" t="s">
        <v>1140</v>
      </c>
      <c r="B13" s="18" t="s">
        <v>1091</v>
      </c>
      <c r="C13" s="163" t="s">
        <v>1100</v>
      </c>
      <c r="D13" s="19" t="s">
        <v>1101</v>
      </c>
      <c r="E13" s="19" t="s">
        <v>1097</v>
      </c>
      <c r="F13" s="19" t="s">
        <v>0</v>
      </c>
      <c r="G13" s="20" t="s">
        <v>183</v>
      </c>
      <c r="H13" s="20" t="s">
        <v>1095</v>
      </c>
      <c r="I13" s="164">
        <v>8000</v>
      </c>
      <c r="J13" s="165">
        <v>43200</v>
      </c>
      <c r="K13" s="176"/>
    </row>
    <row r="14" spans="1:11" x14ac:dyDescent="0.45">
      <c r="A14" s="17" t="s">
        <v>1140</v>
      </c>
      <c r="B14" s="18" t="s">
        <v>1160</v>
      </c>
      <c r="C14" s="163" t="s">
        <v>1141</v>
      </c>
      <c r="D14" s="19" t="s">
        <v>1142</v>
      </c>
      <c r="E14" s="19" t="s">
        <v>1094</v>
      </c>
      <c r="F14" s="19" t="s">
        <v>1053</v>
      </c>
      <c r="G14" s="20" t="s">
        <v>858</v>
      </c>
      <c r="H14" s="20" t="s">
        <v>1143</v>
      </c>
      <c r="I14" s="164">
        <v>21000</v>
      </c>
      <c r="J14" s="165">
        <v>197400</v>
      </c>
      <c r="K14" s="166"/>
    </row>
    <row r="15" spans="1:11" x14ac:dyDescent="0.45">
      <c r="A15" s="17" t="s">
        <v>1140</v>
      </c>
      <c r="B15" s="18" t="s">
        <v>1160</v>
      </c>
      <c r="C15" s="163" t="s">
        <v>1141</v>
      </c>
      <c r="D15" s="19" t="s">
        <v>1142</v>
      </c>
      <c r="E15" s="19" t="s">
        <v>1096</v>
      </c>
      <c r="F15" s="19" t="s">
        <v>1053</v>
      </c>
      <c r="G15" s="20" t="s">
        <v>858</v>
      </c>
      <c r="H15" s="20" t="s">
        <v>1143</v>
      </c>
      <c r="I15" s="164">
        <v>17000</v>
      </c>
      <c r="J15" s="165">
        <v>217100</v>
      </c>
      <c r="K15" s="166"/>
    </row>
    <row r="16" spans="1:11" x14ac:dyDescent="0.45">
      <c r="A16" s="17" t="s">
        <v>1140</v>
      </c>
      <c r="B16" s="18" t="s">
        <v>1160</v>
      </c>
      <c r="C16" s="163" t="s">
        <v>1144</v>
      </c>
      <c r="D16" s="19" t="s">
        <v>1145</v>
      </c>
      <c r="E16" s="19" t="s">
        <v>1094</v>
      </c>
      <c r="F16" s="19" t="s">
        <v>1053</v>
      </c>
      <c r="G16" s="20" t="s">
        <v>858</v>
      </c>
      <c r="H16" s="20" t="s">
        <v>1143</v>
      </c>
      <c r="I16" s="164">
        <v>21000</v>
      </c>
      <c r="J16" s="165">
        <v>197400</v>
      </c>
      <c r="K16" s="166"/>
    </row>
    <row r="17" spans="1:11" x14ac:dyDescent="0.45">
      <c r="A17" s="17" t="s">
        <v>1140</v>
      </c>
      <c r="B17" s="18" t="s">
        <v>1160</v>
      </c>
      <c r="C17" s="163" t="s">
        <v>1144</v>
      </c>
      <c r="D17" s="19" t="s">
        <v>1145</v>
      </c>
      <c r="E17" s="19" t="s">
        <v>1096</v>
      </c>
      <c r="F17" s="19" t="s">
        <v>1053</v>
      </c>
      <c r="G17" s="20" t="s">
        <v>858</v>
      </c>
      <c r="H17" s="20" t="s">
        <v>1143</v>
      </c>
      <c r="I17" s="164">
        <v>17000</v>
      </c>
      <c r="J17" s="165">
        <v>217100</v>
      </c>
      <c r="K17" s="166"/>
    </row>
    <row r="18" spans="1:11" x14ac:dyDescent="0.45">
      <c r="A18" s="17" t="s">
        <v>1140</v>
      </c>
      <c r="B18" s="18" t="s">
        <v>1160</v>
      </c>
      <c r="C18" s="163" t="s">
        <v>1146</v>
      </c>
      <c r="D18" s="19" t="s">
        <v>1147</v>
      </c>
      <c r="E18" s="19" t="s">
        <v>1094</v>
      </c>
      <c r="F18" s="19" t="s">
        <v>1053</v>
      </c>
      <c r="G18" s="20" t="s">
        <v>858</v>
      </c>
      <c r="H18" s="20" t="s">
        <v>1143</v>
      </c>
      <c r="I18" s="164">
        <v>21000</v>
      </c>
      <c r="J18" s="165">
        <v>197400</v>
      </c>
      <c r="K18" s="166"/>
    </row>
    <row r="19" spans="1:11" x14ac:dyDescent="0.45">
      <c r="A19" s="17" t="s">
        <v>1140</v>
      </c>
      <c r="B19" s="18" t="s">
        <v>1160</v>
      </c>
      <c r="C19" s="163" t="s">
        <v>1146</v>
      </c>
      <c r="D19" s="19" t="s">
        <v>1147</v>
      </c>
      <c r="E19" s="19" t="s">
        <v>1096</v>
      </c>
      <c r="F19" s="19" t="s">
        <v>1053</v>
      </c>
      <c r="G19" s="20" t="s">
        <v>858</v>
      </c>
      <c r="H19" s="20" t="s">
        <v>1143</v>
      </c>
      <c r="I19" s="164">
        <v>17000</v>
      </c>
      <c r="J19" s="165">
        <v>217100</v>
      </c>
      <c r="K19" s="166"/>
    </row>
    <row r="20" spans="1:11" x14ac:dyDescent="0.45">
      <c r="A20" s="17" t="s">
        <v>1140</v>
      </c>
      <c r="B20" s="18" t="s">
        <v>1161</v>
      </c>
      <c r="C20" s="163" t="s">
        <v>1148</v>
      </c>
      <c r="D20" s="19" t="s">
        <v>1149</v>
      </c>
      <c r="E20" s="19" t="s">
        <v>1094</v>
      </c>
      <c r="F20" s="19" t="s">
        <v>1053</v>
      </c>
      <c r="G20" s="20" t="s">
        <v>858</v>
      </c>
      <c r="H20" s="20" t="s">
        <v>1143</v>
      </c>
      <c r="I20" s="164">
        <v>33000</v>
      </c>
      <c r="J20" s="165">
        <v>231100</v>
      </c>
      <c r="K20" s="166"/>
    </row>
    <row r="21" spans="1:11" x14ac:dyDescent="0.45">
      <c r="A21" s="17" t="s">
        <v>1140</v>
      </c>
      <c r="B21" s="18" t="s">
        <v>1161</v>
      </c>
      <c r="C21" s="163" t="s">
        <v>1148</v>
      </c>
      <c r="D21" s="19" t="s">
        <v>1149</v>
      </c>
      <c r="E21" s="19" t="s">
        <v>1096</v>
      </c>
      <c r="F21" s="19" t="s">
        <v>1053</v>
      </c>
      <c r="G21" s="20" t="s">
        <v>858</v>
      </c>
      <c r="H21" s="20" t="s">
        <v>1143</v>
      </c>
      <c r="I21" s="164">
        <v>26000</v>
      </c>
      <c r="J21" s="165">
        <v>254200</v>
      </c>
      <c r="K21" s="166"/>
    </row>
    <row r="22" spans="1:11" x14ac:dyDescent="0.45">
      <c r="A22" s="17" t="s">
        <v>1140</v>
      </c>
      <c r="B22" s="18" t="s">
        <v>1161</v>
      </c>
      <c r="C22" s="163" t="s">
        <v>1150</v>
      </c>
      <c r="D22" s="19" t="s">
        <v>1151</v>
      </c>
      <c r="E22" s="19" t="s">
        <v>1094</v>
      </c>
      <c r="F22" s="19" t="s">
        <v>1053</v>
      </c>
      <c r="G22" s="20" t="s">
        <v>858</v>
      </c>
      <c r="H22" s="20" t="s">
        <v>1143</v>
      </c>
      <c r="I22" s="164">
        <v>33000</v>
      </c>
      <c r="J22" s="165">
        <v>231100</v>
      </c>
      <c r="K22" s="166"/>
    </row>
    <row r="23" spans="1:11" x14ac:dyDescent="0.45">
      <c r="A23" s="17" t="s">
        <v>1140</v>
      </c>
      <c r="B23" s="18" t="s">
        <v>1161</v>
      </c>
      <c r="C23" s="163" t="s">
        <v>1150</v>
      </c>
      <c r="D23" s="19" t="s">
        <v>1151</v>
      </c>
      <c r="E23" s="19" t="s">
        <v>1096</v>
      </c>
      <c r="F23" s="19" t="s">
        <v>1053</v>
      </c>
      <c r="G23" s="20" t="s">
        <v>858</v>
      </c>
      <c r="H23" s="20" t="s">
        <v>1143</v>
      </c>
      <c r="I23" s="164">
        <v>26000</v>
      </c>
      <c r="J23" s="165">
        <v>254200</v>
      </c>
      <c r="K23" s="166"/>
    </row>
    <row r="24" spans="1:11" x14ac:dyDescent="0.45">
      <c r="A24" s="17" t="s">
        <v>1140</v>
      </c>
      <c r="B24" s="18" t="s">
        <v>1161</v>
      </c>
      <c r="C24" s="163" t="s">
        <v>1152</v>
      </c>
      <c r="D24" s="19" t="s">
        <v>1153</v>
      </c>
      <c r="E24" s="19" t="s">
        <v>1094</v>
      </c>
      <c r="F24" s="19" t="s">
        <v>1053</v>
      </c>
      <c r="G24" s="20" t="s">
        <v>858</v>
      </c>
      <c r="H24" s="20" t="s">
        <v>1143</v>
      </c>
      <c r="I24" s="164">
        <v>33000</v>
      </c>
      <c r="J24" s="165">
        <v>231100</v>
      </c>
      <c r="K24" s="166"/>
    </row>
    <row r="25" spans="1:11" x14ac:dyDescent="0.45">
      <c r="A25" s="17" t="s">
        <v>1140</v>
      </c>
      <c r="B25" s="18" t="s">
        <v>1161</v>
      </c>
      <c r="C25" s="163" t="s">
        <v>1152</v>
      </c>
      <c r="D25" s="19" t="s">
        <v>1153</v>
      </c>
      <c r="E25" s="19" t="s">
        <v>1096</v>
      </c>
      <c r="F25" s="19" t="s">
        <v>1053</v>
      </c>
      <c r="G25" s="20" t="s">
        <v>858</v>
      </c>
      <c r="H25" s="20" t="s">
        <v>1143</v>
      </c>
      <c r="I25" s="164">
        <v>26000</v>
      </c>
      <c r="J25" s="165">
        <v>254200</v>
      </c>
      <c r="K25" s="166"/>
    </row>
    <row r="26" spans="1:11" x14ac:dyDescent="0.45">
      <c r="A26" s="17" t="s">
        <v>1140</v>
      </c>
      <c r="B26" s="18" t="s">
        <v>1162</v>
      </c>
      <c r="C26" s="163" t="s">
        <v>1154</v>
      </c>
      <c r="D26" s="19" t="s">
        <v>1155</v>
      </c>
      <c r="E26" s="19" t="s">
        <v>1094</v>
      </c>
      <c r="F26" s="19" t="s">
        <v>1053</v>
      </c>
      <c r="G26" s="20" t="s">
        <v>858</v>
      </c>
      <c r="H26" s="20" t="s">
        <v>1143</v>
      </c>
      <c r="I26" s="164">
        <v>45000</v>
      </c>
      <c r="J26" s="165">
        <v>262200</v>
      </c>
      <c r="K26" s="166"/>
    </row>
    <row r="27" spans="1:11" x14ac:dyDescent="0.45">
      <c r="A27" s="17" t="s">
        <v>1140</v>
      </c>
      <c r="B27" s="18" t="s">
        <v>1162</v>
      </c>
      <c r="C27" s="163" t="s">
        <v>1154</v>
      </c>
      <c r="D27" s="19" t="s">
        <v>1155</v>
      </c>
      <c r="E27" s="19" t="s">
        <v>1096</v>
      </c>
      <c r="F27" s="19" t="s">
        <v>1053</v>
      </c>
      <c r="G27" s="20" t="s">
        <v>858</v>
      </c>
      <c r="H27" s="20" t="s">
        <v>1143</v>
      </c>
      <c r="I27" s="164">
        <v>34000</v>
      </c>
      <c r="J27" s="165">
        <v>288400</v>
      </c>
      <c r="K27" s="166"/>
    </row>
    <row r="28" spans="1:11" x14ac:dyDescent="0.45">
      <c r="A28" s="17" t="s">
        <v>1140</v>
      </c>
      <c r="B28" s="18" t="s">
        <v>1162</v>
      </c>
      <c r="C28" s="163" t="s">
        <v>1156</v>
      </c>
      <c r="D28" s="19" t="s">
        <v>1157</v>
      </c>
      <c r="E28" s="19" t="s">
        <v>1094</v>
      </c>
      <c r="F28" s="19" t="s">
        <v>1053</v>
      </c>
      <c r="G28" s="20" t="s">
        <v>858</v>
      </c>
      <c r="H28" s="20" t="s">
        <v>1143</v>
      </c>
      <c r="I28" s="164">
        <v>45000</v>
      </c>
      <c r="J28" s="165">
        <v>262200</v>
      </c>
      <c r="K28" s="166"/>
    </row>
    <row r="29" spans="1:11" x14ac:dyDescent="0.45">
      <c r="A29" s="17" t="s">
        <v>1140</v>
      </c>
      <c r="B29" s="18" t="s">
        <v>1162</v>
      </c>
      <c r="C29" s="163" t="s">
        <v>1156</v>
      </c>
      <c r="D29" s="19" t="s">
        <v>1157</v>
      </c>
      <c r="E29" s="19" t="s">
        <v>1096</v>
      </c>
      <c r="F29" s="19" t="s">
        <v>1053</v>
      </c>
      <c r="G29" s="20" t="s">
        <v>858</v>
      </c>
      <c r="H29" s="20" t="s">
        <v>1143</v>
      </c>
      <c r="I29" s="164">
        <v>34000</v>
      </c>
      <c r="J29" s="165">
        <v>288400</v>
      </c>
      <c r="K29" s="166"/>
    </row>
    <row r="30" spans="1:11" x14ac:dyDescent="0.45">
      <c r="A30" s="17" t="s">
        <v>1140</v>
      </c>
      <c r="B30" s="18" t="s">
        <v>1162</v>
      </c>
      <c r="C30" s="163" t="s">
        <v>1158</v>
      </c>
      <c r="D30" s="19" t="s">
        <v>1159</v>
      </c>
      <c r="E30" s="19" t="s">
        <v>1094</v>
      </c>
      <c r="F30" s="19" t="s">
        <v>1053</v>
      </c>
      <c r="G30" s="20" t="s">
        <v>858</v>
      </c>
      <c r="H30" s="20" t="s">
        <v>1143</v>
      </c>
      <c r="I30" s="164">
        <v>45000</v>
      </c>
      <c r="J30" s="165">
        <v>262200</v>
      </c>
      <c r="K30" s="166"/>
    </row>
    <row r="31" spans="1:11" x14ac:dyDescent="0.45">
      <c r="A31" s="17" t="s">
        <v>1140</v>
      </c>
      <c r="B31" s="18" t="s">
        <v>1162</v>
      </c>
      <c r="C31" s="163" t="s">
        <v>1158</v>
      </c>
      <c r="D31" s="19" t="s">
        <v>1159</v>
      </c>
      <c r="E31" s="19" t="s">
        <v>1096</v>
      </c>
      <c r="F31" s="19" t="s">
        <v>1053</v>
      </c>
      <c r="G31" s="20" t="s">
        <v>858</v>
      </c>
      <c r="H31" s="20" t="s">
        <v>1143</v>
      </c>
      <c r="I31" s="164">
        <v>34000</v>
      </c>
      <c r="J31" s="165">
        <v>288400</v>
      </c>
      <c r="K31" s="166"/>
    </row>
    <row r="32" spans="1:11" x14ac:dyDescent="0.45">
      <c r="A32" s="17" t="s">
        <v>1282</v>
      </c>
      <c r="B32" s="18" t="s">
        <v>1283</v>
      </c>
      <c r="C32" s="163" t="s">
        <v>1215</v>
      </c>
      <c r="D32" s="19" t="s">
        <v>1216</v>
      </c>
      <c r="E32" s="19" t="s">
        <v>1094</v>
      </c>
      <c r="F32" s="19" t="s">
        <v>0</v>
      </c>
      <c r="G32" s="20" t="s">
        <v>183</v>
      </c>
      <c r="H32" s="20" t="s">
        <v>1095</v>
      </c>
      <c r="I32" s="164">
        <v>21000</v>
      </c>
      <c r="J32" s="165">
        <v>197400</v>
      </c>
      <c r="K32" s="166"/>
    </row>
    <row r="33" spans="1:11" x14ac:dyDescent="0.45">
      <c r="A33" s="17" t="s">
        <v>1282</v>
      </c>
      <c r="B33" s="18" t="s">
        <v>1283</v>
      </c>
      <c r="C33" s="163" t="s">
        <v>1215</v>
      </c>
      <c r="D33" s="19" t="s">
        <v>1216</v>
      </c>
      <c r="E33" s="19" t="s">
        <v>1096</v>
      </c>
      <c r="F33" s="19" t="s">
        <v>0</v>
      </c>
      <c r="G33" s="20" t="s">
        <v>183</v>
      </c>
      <c r="H33" s="20" t="s">
        <v>1095</v>
      </c>
      <c r="I33" s="164">
        <v>17000</v>
      </c>
      <c r="J33" s="165">
        <v>217100</v>
      </c>
      <c r="K33" s="166"/>
    </row>
    <row r="34" spans="1:11" x14ac:dyDescent="0.45">
      <c r="A34" s="17" t="s">
        <v>1282</v>
      </c>
      <c r="B34" s="18" t="s">
        <v>1283</v>
      </c>
      <c r="C34" s="163" t="s">
        <v>1217</v>
      </c>
      <c r="D34" s="19" t="s">
        <v>1218</v>
      </c>
      <c r="E34" s="19" t="s">
        <v>1094</v>
      </c>
      <c r="F34" s="19" t="s">
        <v>0</v>
      </c>
      <c r="G34" s="20" t="s">
        <v>183</v>
      </c>
      <c r="H34" s="20" t="s">
        <v>1095</v>
      </c>
      <c r="I34" s="164">
        <v>21000</v>
      </c>
      <c r="J34" s="165">
        <v>197400</v>
      </c>
      <c r="K34" s="166"/>
    </row>
    <row r="35" spans="1:11" x14ac:dyDescent="0.45">
      <c r="A35" s="17" t="s">
        <v>1282</v>
      </c>
      <c r="B35" s="18" t="s">
        <v>1283</v>
      </c>
      <c r="C35" s="163" t="s">
        <v>1217</v>
      </c>
      <c r="D35" s="19" t="s">
        <v>1218</v>
      </c>
      <c r="E35" s="19" t="s">
        <v>1096</v>
      </c>
      <c r="F35" s="19" t="s">
        <v>0</v>
      </c>
      <c r="G35" s="20" t="s">
        <v>183</v>
      </c>
      <c r="H35" s="20" t="s">
        <v>1095</v>
      </c>
      <c r="I35" s="164">
        <v>17000</v>
      </c>
      <c r="J35" s="165">
        <v>217100</v>
      </c>
      <c r="K35" s="166"/>
    </row>
    <row r="36" spans="1:11" x14ac:dyDescent="0.45">
      <c r="A36" s="17" t="s">
        <v>1282</v>
      </c>
      <c r="B36" s="18" t="s">
        <v>1283</v>
      </c>
      <c r="C36" s="163" t="s">
        <v>1219</v>
      </c>
      <c r="D36" s="19" t="s">
        <v>1220</v>
      </c>
      <c r="E36" s="19" t="s">
        <v>1094</v>
      </c>
      <c r="F36" s="19" t="s">
        <v>0</v>
      </c>
      <c r="G36" s="20" t="s">
        <v>183</v>
      </c>
      <c r="H36" s="20" t="s">
        <v>1095</v>
      </c>
      <c r="I36" s="164">
        <v>21000</v>
      </c>
      <c r="J36" s="165">
        <v>197400</v>
      </c>
      <c r="K36" s="166"/>
    </row>
    <row r="37" spans="1:11" x14ac:dyDescent="0.45">
      <c r="A37" s="17" t="s">
        <v>1282</v>
      </c>
      <c r="B37" s="18" t="s">
        <v>1283</v>
      </c>
      <c r="C37" s="163" t="s">
        <v>1219</v>
      </c>
      <c r="D37" s="19" t="s">
        <v>1220</v>
      </c>
      <c r="E37" s="19" t="s">
        <v>1096</v>
      </c>
      <c r="F37" s="19" t="s">
        <v>0</v>
      </c>
      <c r="G37" s="20" t="s">
        <v>183</v>
      </c>
      <c r="H37" s="20" t="s">
        <v>1095</v>
      </c>
      <c r="I37" s="164">
        <v>17000</v>
      </c>
      <c r="J37" s="165">
        <v>217100</v>
      </c>
      <c r="K37" s="166"/>
    </row>
    <row r="38" spans="1:11" x14ac:dyDescent="0.45">
      <c r="A38" s="17" t="s">
        <v>1282</v>
      </c>
      <c r="B38" s="18" t="s">
        <v>1283</v>
      </c>
      <c r="C38" s="163" t="s">
        <v>1221</v>
      </c>
      <c r="D38" s="19" t="s">
        <v>1222</v>
      </c>
      <c r="E38" s="19" t="s">
        <v>1094</v>
      </c>
      <c r="F38" s="19" t="s">
        <v>0</v>
      </c>
      <c r="G38" s="20" t="s">
        <v>183</v>
      </c>
      <c r="H38" s="20" t="s">
        <v>1095</v>
      </c>
      <c r="I38" s="164">
        <v>23000</v>
      </c>
      <c r="J38" s="165">
        <v>197400</v>
      </c>
      <c r="K38" s="166"/>
    </row>
    <row r="39" spans="1:11" x14ac:dyDescent="0.45">
      <c r="A39" s="17" t="s">
        <v>1282</v>
      </c>
      <c r="B39" s="18" t="s">
        <v>1283</v>
      </c>
      <c r="C39" s="163" t="s">
        <v>1221</v>
      </c>
      <c r="D39" s="19" t="s">
        <v>1222</v>
      </c>
      <c r="E39" s="19" t="s">
        <v>1096</v>
      </c>
      <c r="F39" s="19" t="s">
        <v>0</v>
      </c>
      <c r="G39" s="20" t="s">
        <v>183</v>
      </c>
      <c r="H39" s="20" t="s">
        <v>1095</v>
      </c>
      <c r="I39" s="164">
        <v>19000</v>
      </c>
      <c r="J39" s="165">
        <v>217100</v>
      </c>
      <c r="K39" s="166"/>
    </row>
    <row r="40" spans="1:11" x14ac:dyDescent="0.45">
      <c r="A40" s="17" t="s">
        <v>1282</v>
      </c>
      <c r="B40" s="18" t="s">
        <v>1283</v>
      </c>
      <c r="C40" s="163" t="s">
        <v>1223</v>
      </c>
      <c r="D40" s="19" t="s">
        <v>1224</v>
      </c>
      <c r="E40" s="19" t="s">
        <v>1094</v>
      </c>
      <c r="F40" s="19" t="s">
        <v>0</v>
      </c>
      <c r="G40" s="20" t="s">
        <v>183</v>
      </c>
      <c r="H40" s="20" t="s">
        <v>1095</v>
      </c>
      <c r="I40" s="164">
        <v>23000</v>
      </c>
      <c r="J40" s="165">
        <v>197400</v>
      </c>
      <c r="K40" s="166"/>
    </row>
    <row r="41" spans="1:11" x14ac:dyDescent="0.45">
      <c r="A41" s="17" t="s">
        <v>1282</v>
      </c>
      <c r="B41" s="18" t="s">
        <v>1283</v>
      </c>
      <c r="C41" s="163" t="s">
        <v>1223</v>
      </c>
      <c r="D41" s="19" t="s">
        <v>1224</v>
      </c>
      <c r="E41" s="19" t="s">
        <v>1096</v>
      </c>
      <c r="F41" s="19" t="s">
        <v>0</v>
      </c>
      <c r="G41" s="20" t="s">
        <v>183</v>
      </c>
      <c r="H41" s="20" t="s">
        <v>1095</v>
      </c>
      <c r="I41" s="164">
        <v>19000</v>
      </c>
      <c r="J41" s="165">
        <v>217100</v>
      </c>
      <c r="K41" s="166"/>
    </row>
    <row r="42" spans="1:11" x14ac:dyDescent="0.45">
      <c r="A42" s="17" t="s">
        <v>1282</v>
      </c>
      <c r="B42" s="18" t="s">
        <v>1283</v>
      </c>
      <c r="C42" s="163" t="s">
        <v>1225</v>
      </c>
      <c r="D42" s="19" t="s">
        <v>1226</v>
      </c>
      <c r="E42" s="19" t="s">
        <v>1094</v>
      </c>
      <c r="F42" s="19" t="s">
        <v>0</v>
      </c>
      <c r="G42" s="20" t="s">
        <v>183</v>
      </c>
      <c r="H42" s="20" t="s">
        <v>1095</v>
      </c>
      <c r="I42" s="164">
        <v>23000</v>
      </c>
      <c r="J42" s="165">
        <v>197400</v>
      </c>
      <c r="K42" s="166"/>
    </row>
    <row r="43" spans="1:11" x14ac:dyDescent="0.45">
      <c r="A43" s="17" t="s">
        <v>1282</v>
      </c>
      <c r="B43" s="18" t="s">
        <v>1283</v>
      </c>
      <c r="C43" s="163" t="s">
        <v>1225</v>
      </c>
      <c r="D43" s="19" t="s">
        <v>1226</v>
      </c>
      <c r="E43" s="19" t="s">
        <v>1096</v>
      </c>
      <c r="F43" s="19" t="s">
        <v>0</v>
      </c>
      <c r="G43" s="20" t="s">
        <v>183</v>
      </c>
      <c r="H43" s="20" t="s">
        <v>1095</v>
      </c>
      <c r="I43" s="164">
        <v>19000</v>
      </c>
      <c r="J43" s="165">
        <v>217100</v>
      </c>
      <c r="K43" s="166"/>
    </row>
    <row r="44" spans="1:11" x14ac:dyDescent="0.45">
      <c r="A44" s="17" t="s">
        <v>1282</v>
      </c>
      <c r="B44" s="18" t="s">
        <v>1283</v>
      </c>
      <c r="C44" s="163" t="s">
        <v>1227</v>
      </c>
      <c r="D44" s="19" t="s">
        <v>1228</v>
      </c>
      <c r="E44" s="19" t="s">
        <v>1094</v>
      </c>
      <c r="F44" s="19" t="s">
        <v>0</v>
      </c>
      <c r="G44" s="20" t="s">
        <v>183</v>
      </c>
      <c r="H44" s="20" t="s">
        <v>1095</v>
      </c>
      <c r="I44" s="164">
        <v>25000</v>
      </c>
      <c r="J44" s="165">
        <v>208600</v>
      </c>
      <c r="K44" s="166"/>
    </row>
    <row r="45" spans="1:11" x14ac:dyDescent="0.45">
      <c r="A45" s="17" t="s">
        <v>1282</v>
      </c>
      <c r="B45" s="18" t="s">
        <v>1283</v>
      </c>
      <c r="C45" s="163" t="s">
        <v>1227</v>
      </c>
      <c r="D45" s="19" t="s">
        <v>1228</v>
      </c>
      <c r="E45" s="19" t="s">
        <v>1096</v>
      </c>
      <c r="F45" s="19" t="s">
        <v>0</v>
      </c>
      <c r="G45" s="20" t="s">
        <v>183</v>
      </c>
      <c r="H45" s="20" t="s">
        <v>1095</v>
      </c>
      <c r="I45" s="164">
        <v>21000</v>
      </c>
      <c r="J45" s="165">
        <v>229500</v>
      </c>
      <c r="K45" s="166"/>
    </row>
    <row r="46" spans="1:11" x14ac:dyDescent="0.45">
      <c r="A46" s="17" t="s">
        <v>1282</v>
      </c>
      <c r="B46" s="18" t="s">
        <v>1283</v>
      </c>
      <c r="C46" s="163" t="s">
        <v>1229</v>
      </c>
      <c r="D46" s="19" t="s">
        <v>1230</v>
      </c>
      <c r="E46" s="19" t="s">
        <v>1094</v>
      </c>
      <c r="F46" s="19" t="s">
        <v>0</v>
      </c>
      <c r="G46" s="20" t="s">
        <v>183</v>
      </c>
      <c r="H46" s="20" t="s">
        <v>1095</v>
      </c>
      <c r="I46" s="164">
        <v>25000</v>
      </c>
      <c r="J46" s="165">
        <v>208600</v>
      </c>
      <c r="K46" s="166"/>
    </row>
    <row r="47" spans="1:11" x14ac:dyDescent="0.45">
      <c r="A47" s="17" t="s">
        <v>1282</v>
      </c>
      <c r="B47" s="18" t="s">
        <v>1283</v>
      </c>
      <c r="C47" s="163" t="s">
        <v>1229</v>
      </c>
      <c r="D47" s="19" t="s">
        <v>1230</v>
      </c>
      <c r="E47" s="19" t="s">
        <v>1096</v>
      </c>
      <c r="F47" s="19" t="s">
        <v>0</v>
      </c>
      <c r="G47" s="20" t="s">
        <v>183</v>
      </c>
      <c r="H47" s="20" t="s">
        <v>1095</v>
      </c>
      <c r="I47" s="164">
        <v>21000</v>
      </c>
      <c r="J47" s="165">
        <v>229500</v>
      </c>
      <c r="K47" s="166"/>
    </row>
    <row r="48" spans="1:11" x14ac:dyDescent="0.45">
      <c r="A48" s="17" t="s">
        <v>1282</v>
      </c>
      <c r="B48" s="18" t="s">
        <v>1283</v>
      </c>
      <c r="C48" s="163" t="s">
        <v>1231</v>
      </c>
      <c r="D48" s="19" t="s">
        <v>1232</v>
      </c>
      <c r="E48" s="19" t="s">
        <v>1094</v>
      </c>
      <c r="F48" s="19" t="s">
        <v>0</v>
      </c>
      <c r="G48" s="20" t="s">
        <v>183</v>
      </c>
      <c r="H48" s="20" t="s">
        <v>1095</v>
      </c>
      <c r="I48" s="164">
        <v>25000</v>
      </c>
      <c r="J48" s="165">
        <v>208600</v>
      </c>
      <c r="K48" s="166"/>
    </row>
    <row r="49" spans="1:11" x14ac:dyDescent="0.45">
      <c r="A49" s="17" t="s">
        <v>1282</v>
      </c>
      <c r="B49" s="18" t="s">
        <v>1283</v>
      </c>
      <c r="C49" s="163" t="s">
        <v>1231</v>
      </c>
      <c r="D49" s="19" t="s">
        <v>1232</v>
      </c>
      <c r="E49" s="19" t="s">
        <v>1096</v>
      </c>
      <c r="F49" s="19" t="s">
        <v>0</v>
      </c>
      <c r="G49" s="20" t="s">
        <v>183</v>
      </c>
      <c r="H49" s="20" t="s">
        <v>1095</v>
      </c>
      <c r="I49" s="164">
        <v>21000</v>
      </c>
      <c r="J49" s="165">
        <v>229500</v>
      </c>
      <c r="K49" s="166"/>
    </row>
    <row r="50" spans="1:11" x14ac:dyDescent="0.45">
      <c r="A50" s="17" t="s">
        <v>1282</v>
      </c>
      <c r="B50" s="18" t="s">
        <v>1283</v>
      </c>
      <c r="C50" s="163" t="s">
        <v>1233</v>
      </c>
      <c r="D50" s="19" t="s">
        <v>1234</v>
      </c>
      <c r="E50" s="19" t="s">
        <v>1094</v>
      </c>
      <c r="F50" s="19" t="s">
        <v>0</v>
      </c>
      <c r="G50" s="20" t="s">
        <v>183</v>
      </c>
      <c r="H50" s="20" t="s">
        <v>1095</v>
      </c>
      <c r="I50" s="164">
        <v>28000</v>
      </c>
      <c r="J50" s="165">
        <v>219800</v>
      </c>
      <c r="K50" s="166"/>
    </row>
    <row r="51" spans="1:11" x14ac:dyDescent="0.45">
      <c r="A51" s="17" t="s">
        <v>1282</v>
      </c>
      <c r="B51" s="18" t="s">
        <v>1283</v>
      </c>
      <c r="C51" s="163" t="s">
        <v>1233</v>
      </c>
      <c r="D51" s="19" t="s">
        <v>1234</v>
      </c>
      <c r="E51" s="19" t="s">
        <v>1096</v>
      </c>
      <c r="F51" s="19" t="s">
        <v>0</v>
      </c>
      <c r="G51" s="20" t="s">
        <v>183</v>
      </c>
      <c r="H51" s="20" t="s">
        <v>1095</v>
      </c>
      <c r="I51" s="164">
        <v>24000</v>
      </c>
      <c r="J51" s="165">
        <v>241800</v>
      </c>
      <c r="K51" s="166"/>
    </row>
    <row r="52" spans="1:11" x14ac:dyDescent="0.45">
      <c r="A52" s="17" t="s">
        <v>1282</v>
      </c>
      <c r="B52" s="18" t="s">
        <v>1283</v>
      </c>
      <c r="C52" s="163" t="s">
        <v>1235</v>
      </c>
      <c r="D52" s="19" t="s">
        <v>1236</v>
      </c>
      <c r="E52" s="19" t="s">
        <v>1094</v>
      </c>
      <c r="F52" s="19" t="s">
        <v>0</v>
      </c>
      <c r="G52" s="20" t="s">
        <v>183</v>
      </c>
      <c r="H52" s="20" t="s">
        <v>1095</v>
      </c>
      <c r="I52" s="164">
        <v>28000</v>
      </c>
      <c r="J52" s="165">
        <v>219800</v>
      </c>
      <c r="K52" s="166"/>
    </row>
    <row r="53" spans="1:11" x14ac:dyDescent="0.45">
      <c r="A53" s="17" t="s">
        <v>1282</v>
      </c>
      <c r="B53" s="18" t="s">
        <v>1283</v>
      </c>
      <c r="C53" s="163" t="s">
        <v>1235</v>
      </c>
      <c r="D53" s="19" t="s">
        <v>1236</v>
      </c>
      <c r="E53" s="19" t="s">
        <v>1096</v>
      </c>
      <c r="F53" s="19" t="s">
        <v>0</v>
      </c>
      <c r="G53" s="20" t="s">
        <v>183</v>
      </c>
      <c r="H53" s="20" t="s">
        <v>1095</v>
      </c>
      <c r="I53" s="164">
        <v>24000</v>
      </c>
      <c r="J53" s="165">
        <v>241800</v>
      </c>
      <c r="K53" s="166"/>
    </row>
    <row r="54" spans="1:11" x14ac:dyDescent="0.45">
      <c r="A54" s="17" t="s">
        <v>1282</v>
      </c>
      <c r="B54" s="18" t="s">
        <v>1283</v>
      </c>
      <c r="C54" s="163" t="s">
        <v>1237</v>
      </c>
      <c r="D54" s="19" t="s">
        <v>1238</v>
      </c>
      <c r="E54" s="19" t="s">
        <v>1094</v>
      </c>
      <c r="F54" s="19" t="s">
        <v>0</v>
      </c>
      <c r="G54" s="20" t="s">
        <v>183</v>
      </c>
      <c r="H54" s="20" t="s">
        <v>1095</v>
      </c>
      <c r="I54" s="164">
        <v>31000</v>
      </c>
      <c r="J54" s="165">
        <v>231100</v>
      </c>
      <c r="K54" s="166"/>
    </row>
    <row r="55" spans="1:11" x14ac:dyDescent="0.45">
      <c r="A55" s="17" t="s">
        <v>1282</v>
      </c>
      <c r="B55" s="18" t="s">
        <v>1283</v>
      </c>
      <c r="C55" s="163" t="s">
        <v>1237</v>
      </c>
      <c r="D55" s="19" t="s">
        <v>1238</v>
      </c>
      <c r="E55" s="19" t="s">
        <v>1096</v>
      </c>
      <c r="F55" s="19" t="s">
        <v>0</v>
      </c>
      <c r="G55" s="20" t="s">
        <v>183</v>
      </c>
      <c r="H55" s="20" t="s">
        <v>1095</v>
      </c>
      <c r="I55" s="164">
        <v>27000</v>
      </c>
      <c r="J55" s="165">
        <v>254200</v>
      </c>
      <c r="K55" s="166"/>
    </row>
    <row r="56" spans="1:11" x14ac:dyDescent="0.45">
      <c r="A56" s="17" t="s">
        <v>1282</v>
      </c>
      <c r="B56" s="18" t="s">
        <v>1283</v>
      </c>
      <c r="C56" s="163" t="s">
        <v>1239</v>
      </c>
      <c r="D56" s="19" t="s">
        <v>1240</v>
      </c>
      <c r="E56" s="19" t="s">
        <v>1094</v>
      </c>
      <c r="F56" s="19" t="s">
        <v>0</v>
      </c>
      <c r="G56" s="20" t="s">
        <v>183</v>
      </c>
      <c r="H56" s="20" t="s">
        <v>1095</v>
      </c>
      <c r="I56" s="164">
        <v>31000</v>
      </c>
      <c r="J56" s="165">
        <v>231100</v>
      </c>
      <c r="K56" s="166"/>
    </row>
    <row r="57" spans="1:11" x14ac:dyDescent="0.45">
      <c r="A57" s="17" t="s">
        <v>1282</v>
      </c>
      <c r="B57" s="18" t="s">
        <v>1283</v>
      </c>
      <c r="C57" s="163" t="s">
        <v>1239</v>
      </c>
      <c r="D57" s="19" t="s">
        <v>1240</v>
      </c>
      <c r="E57" s="19" t="s">
        <v>1096</v>
      </c>
      <c r="F57" s="19" t="s">
        <v>0</v>
      </c>
      <c r="G57" s="20" t="s">
        <v>183</v>
      </c>
      <c r="H57" s="20" t="s">
        <v>1095</v>
      </c>
      <c r="I57" s="164">
        <v>27000</v>
      </c>
      <c r="J57" s="165">
        <v>254200</v>
      </c>
      <c r="K57" s="166"/>
    </row>
    <row r="58" spans="1:11" x14ac:dyDescent="0.45">
      <c r="A58" s="17" t="s">
        <v>1282</v>
      </c>
      <c r="B58" s="18" t="s">
        <v>1284</v>
      </c>
      <c r="C58" s="163" t="s">
        <v>1241</v>
      </c>
      <c r="D58" s="19" t="s">
        <v>1242</v>
      </c>
      <c r="E58" s="19" t="s">
        <v>1094</v>
      </c>
      <c r="F58" s="19" t="s">
        <v>0</v>
      </c>
      <c r="G58" s="20" t="s">
        <v>183</v>
      </c>
      <c r="H58" s="20" t="s">
        <v>1095</v>
      </c>
      <c r="I58" s="164">
        <v>19000</v>
      </c>
      <c r="J58" s="165">
        <v>197400</v>
      </c>
      <c r="K58" s="166"/>
    </row>
    <row r="59" spans="1:11" x14ac:dyDescent="0.45">
      <c r="A59" s="17" t="s">
        <v>1282</v>
      </c>
      <c r="B59" s="18" t="s">
        <v>1284</v>
      </c>
      <c r="C59" s="163" t="s">
        <v>1241</v>
      </c>
      <c r="D59" s="19" t="s">
        <v>1242</v>
      </c>
      <c r="E59" s="19" t="s">
        <v>1096</v>
      </c>
      <c r="F59" s="19" t="s">
        <v>0</v>
      </c>
      <c r="G59" s="20" t="s">
        <v>183</v>
      </c>
      <c r="H59" s="20" t="s">
        <v>1095</v>
      </c>
      <c r="I59" s="164">
        <v>15000</v>
      </c>
      <c r="J59" s="165">
        <v>217100</v>
      </c>
      <c r="K59" s="166"/>
    </row>
    <row r="60" spans="1:11" x14ac:dyDescent="0.45">
      <c r="A60" s="17" t="s">
        <v>1282</v>
      </c>
      <c r="B60" s="18" t="s">
        <v>1284</v>
      </c>
      <c r="C60" s="163" t="s">
        <v>1243</v>
      </c>
      <c r="D60" s="19" t="s">
        <v>1244</v>
      </c>
      <c r="E60" s="19" t="s">
        <v>1094</v>
      </c>
      <c r="F60" s="19" t="s">
        <v>0</v>
      </c>
      <c r="G60" s="20" t="s">
        <v>183</v>
      </c>
      <c r="H60" s="20" t="s">
        <v>1095</v>
      </c>
      <c r="I60" s="164">
        <v>19000</v>
      </c>
      <c r="J60" s="165">
        <v>197400</v>
      </c>
      <c r="K60" s="166"/>
    </row>
    <row r="61" spans="1:11" x14ac:dyDescent="0.45">
      <c r="A61" s="17" t="s">
        <v>1282</v>
      </c>
      <c r="B61" s="18" t="s">
        <v>1284</v>
      </c>
      <c r="C61" s="163" t="s">
        <v>1243</v>
      </c>
      <c r="D61" s="19" t="s">
        <v>1244</v>
      </c>
      <c r="E61" s="19" t="s">
        <v>1096</v>
      </c>
      <c r="F61" s="19" t="s">
        <v>0</v>
      </c>
      <c r="G61" s="20" t="s">
        <v>183</v>
      </c>
      <c r="H61" s="20" t="s">
        <v>1095</v>
      </c>
      <c r="I61" s="164">
        <v>15000</v>
      </c>
      <c r="J61" s="165">
        <v>217100</v>
      </c>
      <c r="K61" s="166"/>
    </row>
    <row r="62" spans="1:11" x14ac:dyDescent="0.45">
      <c r="A62" s="17" t="s">
        <v>1282</v>
      </c>
      <c r="B62" s="18" t="s">
        <v>1284</v>
      </c>
      <c r="C62" s="163" t="s">
        <v>1245</v>
      </c>
      <c r="D62" s="19" t="s">
        <v>1246</v>
      </c>
      <c r="E62" s="19" t="s">
        <v>1094</v>
      </c>
      <c r="F62" s="19" t="s">
        <v>0</v>
      </c>
      <c r="G62" s="20" t="s">
        <v>183</v>
      </c>
      <c r="H62" s="20" t="s">
        <v>1095</v>
      </c>
      <c r="I62" s="164">
        <v>21000</v>
      </c>
      <c r="J62" s="165">
        <v>197400</v>
      </c>
      <c r="K62" s="166"/>
    </row>
    <row r="63" spans="1:11" x14ac:dyDescent="0.45">
      <c r="A63" s="17" t="s">
        <v>1282</v>
      </c>
      <c r="B63" s="18" t="s">
        <v>1284</v>
      </c>
      <c r="C63" s="163" t="s">
        <v>1245</v>
      </c>
      <c r="D63" s="19" t="s">
        <v>1246</v>
      </c>
      <c r="E63" s="19" t="s">
        <v>1096</v>
      </c>
      <c r="F63" s="19" t="s">
        <v>0</v>
      </c>
      <c r="G63" s="20" t="s">
        <v>183</v>
      </c>
      <c r="H63" s="20" t="s">
        <v>1095</v>
      </c>
      <c r="I63" s="164">
        <v>17000</v>
      </c>
      <c r="J63" s="165">
        <v>217100</v>
      </c>
      <c r="K63" s="166"/>
    </row>
    <row r="64" spans="1:11" x14ac:dyDescent="0.45">
      <c r="A64" s="17" t="s">
        <v>1282</v>
      </c>
      <c r="B64" s="18" t="s">
        <v>1284</v>
      </c>
      <c r="C64" s="163" t="s">
        <v>1247</v>
      </c>
      <c r="D64" s="19" t="s">
        <v>1248</v>
      </c>
      <c r="E64" s="19" t="s">
        <v>1094</v>
      </c>
      <c r="F64" s="19" t="s">
        <v>0</v>
      </c>
      <c r="G64" s="20" t="s">
        <v>183</v>
      </c>
      <c r="H64" s="20" t="s">
        <v>1095</v>
      </c>
      <c r="I64" s="164">
        <v>21000</v>
      </c>
      <c r="J64" s="165">
        <v>197400</v>
      </c>
      <c r="K64" s="166"/>
    </row>
    <row r="65" spans="1:11" x14ac:dyDescent="0.45">
      <c r="A65" s="17" t="s">
        <v>1282</v>
      </c>
      <c r="B65" s="18" t="s">
        <v>1284</v>
      </c>
      <c r="C65" s="163" t="s">
        <v>1247</v>
      </c>
      <c r="D65" s="19" t="s">
        <v>1248</v>
      </c>
      <c r="E65" s="19" t="s">
        <v>1096</v>
      </c>
      <c r="F65" s="19" t="s">
        <v>0</v>
      </c>
      <c r="G65" s="20" t="s">
        <v>183</v>
      </c>
      <c r="H65" s="20" t="s">
        <v>1095</v>
      </c>
      <c r="I65" s="164">
        <v>17000</v>
      </c>
      <c r="J65" s="165">
        <v>217100</v>
      </c>
      <c r="K65" s="166"/>
    </row>
    <row r="66" spans="1:11" x14ac:dyDescent="0.45">
      <c r="A66" s="17" t="s">
        <v>1282</v>
      </c>
      <c r="B66" s="18" t="s">
        <v>1284</v>
      </c>
      <c r="C66" s="163" t="s">
        <v>1249</v>
      </c>
      <c r="D66" s="19" t="s">
        <v>1250</v>
      </c>
      <c r="E66" s="19" t="s">
        <v>1094</v>
      </c>
      <c r="F66" s="19" t="s">
        <v>0</v>
      </c>
      <c r="G66" s="20" t="s">
        <v>183</v>
      </c>
      <c r="H66" s="20" t="s">
        <v>1095</v>
      </c>
      <c r="I66" s="164">
        <v>23000</v>
      </c>
      <c r="J66" s="165">
        <v>197400</v>
      </c>
      <c r="K66" s="166"/>
    </row>
    <row r="67" spans="1:11" x14ac:dyDescent="0.45">
      <c r="A67" s="17" t="s">
        <v>1282</v>
      </c>
      <c r="B67" s="18" t="s">
        <v>1284</v>
      </c>
      <c r="C67" s="163" t="s">
        <v>1249</v>
      </c>
      <c r="D67" s="19" t="s">
        <v>1250</v>
      </c>
      <c r="E67" s="19" t="s">
        <v>1096</v>
      </c>
      <c r="F67" s="19" t="s">
        <v>0</v>
      </c>
      <c r="G67" s="20" t="s">
        <v>183</v>
      </c>
      <c r="H67" s="20" t="s">
        <v>1095</v>
      </c>
      <c r="I67" s="164">
        <v>19000</v>
      </c>
      <c r="J67" s="165">
        <v>217100</v>
      </c>
      <c r="K67" s="166"/>
    </row>
    <row r="68" spans="1:11" x14ac:dyDescent="0.45">
      <c r="A68" s="17" t="s">
        <v>1282</v>
      </c>
      <c r="B68" s="18" t="s">
        <v>1284</v>
      </c>
      <c r="C68" s="163" t="s">
        <v>1251</v>
      </c>
      <c r="D68" s="19" t="s">
        <v>1252</v>
      </c>
      <c r="E68" s="19" t="s">
        <v>1094</v>
      </c>
      <c r="F68" s="19" t="s">
        <v>0</v>
      </c>
      <c r="G68" s="20" t="s">
        <v>183</v>
      </c>
      <c r="H68" s="20" t="s">
        <v>1095</v>
      </c>
      <c r="I68" s="164">
        <v>23000</v>
      </c>
      <c r="J68" s="165">
        <v>197400</v>
      </c>
      <c r="K68" s="166"/>
    </row>
    <row r="69" spans="1:11" x14ac:dyDescent="0.45">
      <c r="A69" s="17" t="s">
        <v>1282</v>
      </c>
      <c r="B69" s="18" t="s">
        <v>1284</v>
      </c>
      <c r="C69" s="163" t="s">
        <v>1251</v>
      </c>
      <c r="D69" s="19" t="s">
        <v>1252</v>
      </c>
      <c r="E69" s="19" t="s">
        <v>1096</v>
      </c>
      <c r="F69" s="19" t="s">
        <v>0</v>
      </c>
      <c r="G69" s="20" t="s">
        <v>183</v>
      </c>
      <c r="H69" s="20" t="s">
        <v>1095</v>
      </c>
      <c r="I69" s="164">
        <v>19000</v>
      </c>
      <c r="J69" s="165">
        <v>217100</v>
      </c>
      <c r="K69" s="166"/>
    </row>
    <row r="70" spans="1:11" x14ac:dyDescent="0.45">
      <c r="A70" s="17" t="s">
        <v>1282</v>
      </c>
      <c r="B70" s="18" t="s">
        <v>1284</v>
      </c>
      <c r="C70" s="163" t="s">
        <v>1253</v>
      </c>
      <c r="D70" s="19" t="s">
        <v>1254</v>
      </c>
      <c r="E70" s="19" t="s">
        <v>1094</v>
      </c>
      <c r="F70" s="19" t="s">
        <v>0</v>
      </c>
      <c r="G70" s="20" t="s">
        <v>183</v>
      </c>
      <c r="H70" s="20" t="s">
        <v>1095</v>
      </c>
      <c r="I70" s="164">
        <v>26000</v>
      </c>
      <c r="J70" s="165">
        <v>208600</v>
      </c>
      <c r="K70" s="166"/>
    </row>
    <row r="71" spans="1:11" x14ac:dyDescent="0.45">
      <c r="A71" s="17" t="s">
        <v>1282</v>
      </c>
      <c r="B71" s="18" t="s">
        <v>1284</v>
      </c>
      <c r="C71" s="163" t="s">
        <v>1253</v>
      </c>
      <c r="D71" s="19" t="s">
        <v>1254</v>
      </c>
      <c r="E71" s="19" t="s">
        <v>1096</v>
      </c>
      <c r="F71" s="19" t="s">
        <v>0</v>
      </c>
      <c r="G71" s="20" t="s">
        <v>183</v>
      </c>
      <c r="H71" s="20" t="s">
        <v>1095</v>
      </c>
      <c r="I71" s="164">
        <v>22000</v>
      </c>
      <c r="J71" s="165">
        <v>229500</v>
      </c>
      <c r="K71" s="166"/>
    </row>
    <row r="72" spans="1:11" x14ac:dyDescent="0.45">
      <c r="A72" s="17" t="s">
        <v>1282</v>
      </c>
      <c r="B72" s="18" t="s">
        <v>1284</v>
      </c>
      <c r="C72" s="163" t="s">
        <v>1255</v>
      </c>
      <c r="D72" s="19" t="s">
        <v>1256</v>
      </c>
      <c r="E72" s="19" t="s">
        <v>1094</v>
      </c>
      <c r="F72" s="19" t="s">
        <v>0</v>
      </c>
      <c r="G72" s="20" t="s">
        <v>183</v>
      </c>
      <c r="H72" s="20" t="s">
        <v>1095</v>
      </c>
      <c r="I72" s="164">
        <v>26000</v>
      </c>
      <c r="J72" s="165">
        <v>208600</v>
      </c>
      <c r="K72" s="166"/>
    </row>
    <row r="73" spans="1:11" x14ac:dyDescent="0.45">
      <c r="A73" s="17" t="s">
        <v>1282</v>
      </c>
      <c r="B73" s="18" t="s">
        <v>1284</v>
      </c>
      <c r="C73" s="163" t="s">
        <v>1255</v>
      </c>
      <c r="D73" s="19" t="s">
        <v>1256</v>
      </c>
      <c r="E73" s="19" t="s">
        <v>1096</v>
      </c>
      <c r="F73" s="19" t="s">
        <v>0</v>
      </c>
      <c r="G73" s="20" t="s">
        <v>183</v>
      </c>
      <c r="H73" s="20" t="s">
        <v>1095</v>
      </c>
      <c r="I73" s="164">
        <v>22000</v>
      </c>
      <c r="J73" s="165">
        <v>229500</v>
      </c>
      <c r="K73" s="166"/>
    </row>
    <row r="74" spans="1:11" x14ac:dyDescent="0.45">
      <c r="A74" s="17" t="s">
        <v>1282</v>
      </c>
      <c r="B74" s="18" t="s">
        <v>1285</v>
      </c>
      <c r="C74" s="163" t="s">
        <v>1257</v>
      </c>
      <c r="D74" s="19" t="s">
        <v>1258</v>
      </c>
      <c r="E74" s="19" t="s">
        <v>1094</v>
      </c>
      <c r="F74" s="19" t="s">
        <v>0</v>
      </c>
      <c r="G74" s="20" t="s">
        <v>183</v>
      </c>
      <c r="H74" s="20" t="s">
        <v>1095</v>
      </c>
      <c r="I74" s="164">
        <v>15000</v>
      </c>
      <c r="J74" s="165">
        <v>197400</v>
      </c>
      <c r="K74" s="166"/>
    </row>
    <row r="75" spans="1:11" x14ac:dyDescent="0.45">
      <c r="A75" s="17" t="s">
        <v>1282</v>
      </c>
      <c r="B75" s="18" t="s">
        <v>1285</v>
      </c>
      <c r="C75" s="163" t="s">
        <v>1257</v>
      </c>
      <c r="D75" s="19" t="s">
        <v>1258</v>
      </c>
      <c r="E75" s="19" t="s">
        <v>1096</v>
      </c>
      <c r="F75" s="19" t="s">
        <v>0</v>
      </c>
      <c r="G75" s="20" t="s">
        <v>183</v>
      </c>
      <c r="H75" s="20" t="s">
        <v>1095</v>
      </c>
      <c r="I75" s="164">
        <v>11000</v>
      </c>
      <c r="J75" s="165">
        <v>217100</v>
      </c>
      <c r="K75" s="166"/>
    </row>
    <row r="76" spans="1:11" x14ac:dyDescent="0.45">
      <c r="A76" s="17" t="s">
        <v>1282</v>
      </c>
      <c r="B76" s="18" t="s">
        <v>1285</v>
      </c>
      <c r="C76" s="163" t="s">
        <v>1259</v>
      </c>
      <c r="D76" s="19" t="s">
        <v>1260</v>
      </c>
      <c r="E76" s="19" t="s">
        <v>1094</v>
      </c>
      <c r="F76" s="19" t="s">
        <v>0</v>
      </c>
      <c r="G76" s="20" t="s">
        <v>183</v>
      </c>
      <c r="H76" s="20" t="s">
        <v>1095</v>
      </c>
      <c r="I76" s="164">
        <v>15000</v>
      </c>
      <c r="J76" s="165">
        <v>197400</v>
      </c>
      <c r="K76" s="166"/>
    </row>
    <row r="77" spans="1:11" x14ac:dyDescent="0.45">
      <c r="A77" s="17" t="s">
        <v>1282</v>
      </c>
      <c r="B77" s="18" t="s">
        <v>1285</v>
      </c>
      <c r="C77" s="163" t="s">
        <v>1259</v>
      </c>
      <c r="D77" s="19" t="s">
        <v>1260</v>
      </c>
      <c r="E77" s="19" t="s">
        <v>1096</v>
      </c>
      <c r="F77" s="19" t="s">
        <v>0</v>
      </c>
      <c r="G77" s="20" t="s">
        <v>183</v>
      </c>
      <c r="H77" s="20" t="s">
        <v>1095</v>
      </c>
      <c r="I77" s="164">
        <v>11000</v>
      </c>
      <c r="J77" s="165">
        <v>217100</v>
      </c>
      <c r="K77" s="166"/>
    </row>
    <row r="78" spans="1:11" x14ac:dyDescent="0.45">
      <c r="A78" s="17" t="s">
        <v>1282</v>
      </c>
      <c r="B78" s="18" t="s">
        <v>1285</v>
      </c>
      <c r="C78" s="163" t="s">
        <v>1261</v>
      </c>
      <c r="D78" s="19" t="s">
        <v>1262</v>
      </c>
      <c r="E78" s="19" t="s">
        <v>1094</v>
      </c>
      <c r="F78" s="19" t="s">
        <v>0</v>
      </c>
      <c r="G78" s="20" t="s">
        <v>183</v>
      </c>
      <c r="H78" s="20" t="s">
        <v>1095</v>
      </c>
      <c r="I78" s="164">
        <v>15000</v>
      </c>
      <c r="J78" s="165">
        <v>197400</v>
      </c>
      <c r="K78" s="166"/>
    </row>
    <row r="79" spans="1:11" x14ac:dyDescent="0.45">
      <c r="A79" s="17" t="s">
        <v>1282</v>
      </c>
      <c r="B79" s="18" t="s">
        <v>1285</v>
      </c>
      <c r="C79" s="163" t="s">
        <v>1261</v>
      </c>
      <c r="D79" s="19" t="s">
        <v>1262</v>
      </c>
      <c r="E79" s="19" t="s">
        <v>1096</v>
      </c>
      <c r="F79" s="19" t="s">
        <v>0</v>
      </c>
      <c r="G79" s="20" t="s">
        <v>183</v>
      </c>
      <c r="H79" s="20" t="s">
        <v>1095</v>
      </c>
      <c r="I79" s="164">
        <v>11000</v>
      </c>
      <c r="J79" s="165">
        <v>217100</v>
      </c>
      <c r="K79" s="166"/>
    </row>
    <row r="80" spans="1:11" x14ac:dyDescent="0.45">
      <c r="A80" s="17" t="s">
        <v>1282</v>
      </c>
      <c r="B80" s="18" t="s">
        <v>1285</v>
      </c>
      <c r="C80" s="163" t="s">
        <v>1263</v>
      </c>
      <c r="D80" s="19" t="s">
        <v>1264</v>
      </c>
      <c r="E80" s="19" t="s">
        <v>1094</v>
      </c>
      <c r="F80" s="19" t="s">
        <v>0</v>
      </c>
      <c r="G80" s="20" t="s">
        <v>183</v>
      </c>
      <c r="H80" s="20" t="s">
        <v>1095</v>
      </c>
      <c r="I80" s="164">
        <v>17000</v>
      </c>
      <c r="J80" s="165">
        <v>197400</v>
      </c>
      <c r="K80" s="166"/>
    </row>
    <row r="81" spans="1:11" x14ac:dyDescent="0.45">
      <c r="A81" s="17" t="s">
        <v>1282</v>
      </c>
      <c r="B81" s="18" t="s">
        <v>1285</v>
      </c>
      <c r="C81" s="163" t="s">
        <v>1263</v>
      </c>
      <c r="D81" s="19" t="s">
        <v>1264</v>
      </c>
      <c r="E81" s="19" t="s">
        <v>1096</v>
      </c>
      <c r="F81" s="19" t="s">
        <v>0</v>
      </c>
      <c r="G81" s="20" t="s">
        <v>183</v>
      </c>
      <c r="H81" s="20" t="s">
        <v>1095</v>
      </c>
      <c r="I81" s="164">
        <v>13000</v>
      </c>
      <c r="J81" s="165">
        <v>217100</v>
      </c>
      <c r="K81" s="166"/>
    </row>
    <row r="82" spans="1:11" x14ac:dyDescent="0.45">
      <c r="A82" s="17" t="s">
        <v>1282</v>
      </c>
      <c r="B82" s="18" t="s">
        <v>1285</v>
      </c>
      <c r="C82" s="163" t="s">
        <v>1265</v>
      </c>
      <c r="D82" s="19" t="s">
        <v>1266</v>
      </c>
      <c r="E82" s="19" t="s">
        <v>1094</v>
      </c>
      <c r="F82" s="19" t="s">
        <v>0</v>
      </c>
      <c r="G82" s="20" t="s">
        <v>183</v>
      </c>
      <c r="H82" s="20" t="s">
        <v>1095</v>
      </c>
      <c r="I82" s="164">
        <v>17000</v>
      </c>
      <c r="J82" s="165">
        <v>197400</v>
      </c>
      <c r="K82" s="166"/>
    </row>
    <row r="83" spans="1:11" x14ac:dyDescent="0.45">
      <c r="A83" s="17" t="s">
        <v>1282</v>
      </c>
      <c r="B83" s="18" t="s">
        <v>1285</v>
      </c>
      <c r="C83" s="163" t="s">
        <v>1265</v>
      </c>
      <c r="D83" s="19" t="s">
        <v>1266</v>
      </c>
      <c r="E83" s="19" t="s">
        <v>1096</v>
      </c>
      <c r="F83" s="19" t="s">
        <v>0</v>
      </c>
      <c r="G83" s="20" t="s">
        <v>183</v>
      </c>
      <c r="H83" s="20" t="s">
        <v>1095</v>
      </c>
      <c r="I83" s="164">
        <v>13000</v>
      </c>
      <c r="J83" s="165">
        <v>217100</v>
      </c>
      <c r="K83" s="166"/>
    </row>
    <row r="84" spans="1:11" x14ac:dyDescent="0.45">
      <c r="A84" s="17" t="s">
        <v>1282</v>
      </c>
      <c r="B84" s="18" t="s">
        <v>1285</v>
      </c>
      <c r="C84" s="163" t="s">
        <v>1267</v>
      </c>
      <c r="D84" s="19" t="s">
        <v>1268</v>
      </c>
      <c r="E84" s="19" t="s">
        <v>1094</v>
      </c>
      <c r="F84" s="19" t="s">
        <v>0</v>
      </c>
      <c r="G84" s="20" t="s">
        <v>183</v>
      </c>
      <c r="H84" s="20" t="s">
        <v>1095</v>
      </c>
      <c r="I84" s="164">
        <v>17000</v>
      </c>
      <c r="J84" s="165">
        <v>197400</v>
      </c>
      <c r="K84" s="166"/>
    </row>
    <row r="85" spans="1:11" x14ac:dyDescent="0.45">
      <c r="A85" s="17" t="s">
        <v>1282</v>
      </c>
      <c r="B85" s="18" t="s">
        <v>1285</v>
      </c>
      <c r="C85" s="163" t="s">
        <v>1267</v>
      </c>
      <c r="D85" s="19" t="s">
        <v>1268</v>
      </c>
      <c r="E85" s="19" t="s">
        <v>1096</v>
      </c>
      <c r="F85" s="19" t="s">
        <v>0</v>
      </c>
      <c r="G85" s="20" t="s">
        <v>183</v>
      </c>
      <c r="H85" s="20" t="s">
        <v>1095</v>
      </c>
      <c r="I85" s="164">
        <v>13000</v>
      </c>
      <c r="J85" s="165">
        <v>217100</v>
      </c>
      <c r="K85" s="166"/>
    </row>
    <row r="86" spans="1:11" x14ac:dyDescent="0.45">
      <c r="A86" s="17" t="s">
        <v>1282</v>
      </c>
      <c r="B86" s="18" t="s">
        <v>1285</v>
      </c>
      <c r="C86" s="163" t="s">
        <v>1269</v>
      </c>
      <c r="D86" s="19" t="s">
        <v>1270</v>
      </c>
      <c r="E86" s="19" t="s">
        <v>1094</v>
      </c>
      <c r="F86" s="19" t="s">
        <v>0</v>
      </c>
      <c r="G86" s="20" t="s">
        <v>183</v>
      </c>
      <c r="H86" s="20" t="s">
        <v>1095</v>
      </c>
      <c r="I86" s="164">
        <v>19000</v>
      </c>
      <c r="J86" s="165">
        <v>197400</v>
      </c>
      <c r="K86" s="166"/>
    </row>
    <row r="87" spans="1:11" x14ac:dyDescent="0.45">
      <c r="A87" s="17" t="s">
        <v>1282</v>
      </c>
      <c r="B87" s="18" t="s">
        <v>1285</v>
      </c>
      <c r="C87" s="163" t="s">
        <v>1269</v>
      </c>
      <c r="D87" s="19" t="s">
        <v>1270</v>
      </c>
      <c r="E87" s="19" t="s">
        <v>1096</v>
      </c>
      <c r="F87" s="19" t="s">
        <v>0</v>
      </c>
      <c r="G87" s="20" t="s">
        <v>183</v>
      </c>
      <c r="H87" s="20" t="s">
        <v>1095</v>
      </c>
      <c r="I87" s="164">
        <v>15000</v>
      </c>
      <c r="J87" s="165">
        <v>217100</v>
      </c>
      <c r="K87" s="166"/>
    </row>
    <row r="88" spans="1:11" x14ac:dyDescent="0.45">
      <c r="A88" s="17" t="s">
        <v>1282</v>
      </c>
      <c r="B88" s="18" t="s">
        <v>1285</v>
      </c>
      <c r="C88" s="163" t="s">
        <v>1271</v>
      </c>
      <c r="D88" s="19" t="s">
        <v>1272</v>
      </c>
      <c r="E88" s="19" t="s">
        <v>1094</v>
      </c>
      <c r="F88" s="19" t="s">
        <v>0</v>
      </c>
      <c r="G88" s="20" t="s">
        <v>183</v>
      </c>
      <c r="H88" s="20" t="s">
        <v>1095</v>
      </c>
      <c r="I88" s="164">
        <v>19000</v>
      </c>
      <c r="J88" s="165">
        <v>197400</v>
      </c>
      <c r="K88" s="166"/>
    </row>
    <row r="89" spans="1:11" x14ac:dyDescent="0.45">
      <c r="A89" s="17" t="s">
        <v>1282</v>
      </c>
      <c r="B89" s="18" t="s">
        <v>1285</v>
      </c>
      <c r="C89" s="163" t="s">
        <v>1271</v>
      </c>
      <c r="D89" s="19" t="s">
        <v>1272</v>
      </c>
      <c r="E89" s="19" t="s">
        <v>1096</v>
      </c>
      <c r="F89" s="19" t="s">
        <v>0</v>
      </c>
      <c r="G89" s="20" t="s">
        <v>183</v>
      </c>
      <c r="H89" s="20" t="s">
        <v>1095</v>
      </c>
      <c r="I89" s="164">
        <v>15000</v>
      </c>
      <c r="J89" s="165">
        <v>217100</v>
      </c>
      <c r="K89" s="166"/>
    </row>
    <row r="90" spans="1:11" x14ac:dyDescent="0.45">
      <c r="A90" s="17" t="s">
        <v>1282</v>
      </c>
      <c r="B90" s="18" t="s">
        <v>1285</v>
      </c>
      <c r="C90" s="163" t="s">
        <v>1273</v>
      </c>
      <c r="D90" s="19" t="s">
        <v>1274</v>
      </c>
      <c r="E90" s="19" t="s">
        <v>1094</v>
      </c>
      <c r="F90" s="19" t="s">
        <v>0</v>
      </c>
      <c r="G90" s="20" t="s">
        <v>183</v>
      </c>
      <c r="H90" s="20" t="s">
        <v>1095</v>
      </c>
      <c r="I90" s="164">
        <v>19000</v>
      </c>
      <c r="J90" s="165">
        <v>197400</v>
      </c>
      <c r="K90" s="166"/>
    </row>
    <row r="91" spans="1:11" x14ac:dyDescent="0.45">
      <c r="A91" s="17" t="s">
        <v>1282</v>
      </c>
      <c r="B91" s="18" t="s">
        <v>1285</v>
      </c>
      <c r="C91" s="163" t="s">
        <v>1273</v>
      </c>
      <c r="D91" s="19" t="s">
        <v>1274</v>
      </c>
      <c r="E91" s="19" t="s">
        <v>1096</v>
      </c>
      <c r="F91" s="19" t="s">
        <v>0</v>
      </c>
      <c r="G91" s="20" t="s">
        <v>183</v>
      </c>
      <c r="H91" s="20" t="s">
        <v>1095</v>
      </c>
      <c r="I91" s="164">
        <v>15000</v>
      </c>
      <c r="J91" s="165">
        <v>217100</v>
      </c>
      <c r="K91" s="166"/>
    </row>
    <row r="92" spans="1:11" x14ac:dyDescent="0.45">
      <c r="A92" s="17" t="s">
        <v>1282</v>
      </c>
      <c r="B92" s="18" t="s">
        <v>1285</v>
      </c>
      <c r="C92" s="163" t="s">
        <v>1275</v>
      </c>
      <c r="D92" s="19" t="s">
        <v>1276</v>
      </c>
      <c r="E92" s="19" t="s">
        <v>1094</v>
      </c>
      <c r="F92" s="19" t="s">
        <v>0</v>
      </c>
      <c r="G92" s="20" t="s">
        <v>183</v>
      </c>
      <c r="H92" s="20" t="s">
        <v>1095</v>
      </c>
      <c r="I92" s="164">
        <v>22000</v>
      </c>
      <c r="J92" s="165">
        <v>197400</v>
      </c>
      <c r="K92" s="166"/>
    </row>
    <row r="93" spans="1:11" x14ac:dyDescent="0.45">
      <c r="A93" s="17" t="s">
        <v>1282</v>
      </c>
      <c r="B93" s="18" t="s">
        <v>1285</v>
      </c>
      <c r="C93" s="163" t="s">
        <v>1275</v>
      </c>
      <c r="D93" s="19" t="s">
        <v>1276</v>
      </c>
      <c r="E93" s="19" t="s">
        <v>1096</v>
      </c>
      <c r="F93" s="19" t="s">
        <v>0</v>
      </c>
      <c r="G93" s="20" t="s">
        <v>183</v>
      </c>
      <c r="H93" s="20" t="s">
        <v>1095</v>
      </c>
      <c r="I93" s="164">
        <v>18000</v>
      </c>
      <c r="J93" s="165">
        <v>217100</v>
      </c>
      <c r="K93" s="166"/>
    </row>
    <row r="94" spans="1:11" x14ac:dyDescent="0.45">
      <c r="A94" s="17" t="s">
        <v>1282</v>
      </c>
      <c r="B94" s="18" t="s">
        <v>1285</v>
      </c>
      <c r="C94" s="163" t="s">
        <v>1277</v>
      </c>
      <c r="D94" s="19" t="s">
        <v>1278</v>
      </c>
      <c r="E94" s="19" t="s">
        <v>1094</v>
      </c>
      <c r="F94" s="19" t="s">
        <v>0</v>
      </c>
      <c r="G94" s="20" t="s">
        <v>183</v>
      </c>
      <c r="H94" s="20" t="s">
        <v>1095</v>
      </c>
      <c r="I94" s="164">
        <v>22000</v>
      </c>
      <c r="J94" s="165">
        <v>197400</v>
      </c>
      <c r="K94" s="166"/>
    </row>
    <row r="95" spans="1:11" x14ac:dyDescent="0.45">
      <c r="A95" s="17" t="s">
        <v>1282</v>
      </c>
      <c r="B95" s="18" t="s">
        <v>1285</v>
      </c>
      <c r="C95" s="163" t="s">
        <v>1277</v>
      </c>
      <c r="D95" s="19" t="s">
        <v>1278</v>
      </c>
      <c r="E95" s="19" t="s">
        <v>1096</v>
      </c>
      <c r="F95" s="19" t="s">
        <v>0</v>
      </c>
      <c r="G95" s="20" t="s">
        <v>183</v>
      </c>
      <c r="H95" s="20" t="s">
        <v>1095</v>
      </c>
      <c r="I95" s="164">
        <v>18000</v>
      </c>
      <c r="J95" s="165">
        <v>217100</v>
      </c>
      <c r="K95" s="166"/>
    </row>
    <row r="96" spans="1:11" x14ac:dyDescent="0.45">
      <c r="A96" s="17" t="s">
        <v>1282</v>
      </c>
      <c r="B96" s="18" t="s">
        <v>1285</v>
      </c>
      <c r="C96" s="163" t="s">
        <v>1279</v>
      </c>
      <c r="D96" s="19" t="s">
        <v>1280</v>
      </c>
      <c r="E96" s="19" t="s">
        <v>1094</v>
      </c>
      <c r="F96" s="19" t="s">
        <v>0</v>
      </c>
      <c r="G96" s="20" t="s">
        <v>183</v>
      </c>
      <c r="H96" s="20" t="s">
        <v>1095</v>
      </c>
      <c r="I96" s="164">
        <v>22000</v>
      </c>
      <c r="J96" s="165">
        <v>197400</v>
      </c>
      <c r="K96" s="166"/>
    </row>
    <row r="97" spans="1:11" ht="17.5" thickBot="1" x14ac:dyDescent="0.5">
      <c r="A97" s="183" t="s">
        <v>1282</v>
      </c>
      <c r="B97" s="196" t="s">
        <v>1285</v>
      </c>
      <c r="C97" s="184" t="s">
        <v>1279</v>
      </c>
      <c r="D97" s="185" t="s">
        <v>1280</v>
      </c>
      <c r="E97" s="185" t="s">
        <v>1096</v>
      </c>
      <c r="F97" s="185" t="s">
        <v>0</v>
      </c>
      <c r="G97" s="186" t="s">
        <v>183</v>
      </c>
      <c r="H97" s="186" t="s">
        <v>1095</v>
      </c>
      <c r="I97" s="187">
        <v>18000</v>
      </c>
      <c r="J97" s="188">
        <v>217100</v>
      </c>
      <c r="K97" s="189"/>
    </row>
    <row r="98" spans="1:11" x14ac:dyDescent="0.3">
      <c r="A98" s="190" t="s">
        <v>1281</v>
      </c>
    </row>
  </sheetData>
  <mergeCells count="1">
    <mergeCell ref="A1:I1"/>
  </mergeCells>
  <phoneticPr fontId="1" type="noConversion"/>
  <pageMargins left="0.7" right="0.7" top="0.75" bottom="0.75" header="0.3" footer="0.3"/>
  <customProperties>
    <customPr name="_pios_id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002060"/>
  </sheetPr>
  <dimension ref="A1:U604"/>
  <sheetViews>
    <sheetView showGridLines="0" view="pageBreakPreview" zoomScaleNormal="70" zoomScaleSheetLayoutView="100" workbookViewId="0"/>
  </sheetViews>
  <sheetFormatPr defaultRowHeight="17" x14ac:dyDescent="0.45"/>
  <cols>
    <col min="1" max="1" width="2.33203125" customWidth="1"/>
    <col min="2" max="2" width="13.08203125" customWidth="1"/>
    <col min="3" max="3" width="21.4140625" customWidth="1"/>
    <col min="4" max="4" width="13" customWidth="1"/>
    <col min="5" max="13" width="16.08203125" customWidth="1"/>
    <col min="14" max="14" width="16.75" customWidth="1"/>
    <col min="15" max="15" width="15.33203125" bestFit="1" customWidth="1"/>
    <col min="16" max="16" width="20.75" bestFit="1" customWidth="1"/>
    <col min="17" max="17" width="13.25" bestFit="1" customWidth="1"/>
    <col min="18" max="18" width="13.08203125" bestFit="1" customWidth="1"/>
    <col min="19" max="19" width="17.33203125" bestFit="1" customWidth="1"/>
    <col min="20" max="20" width="25.5" bestFit="1" customWidth="1"/>
  </cols>
  <sheetData>
    <row r="1" spans="2:15" ht="18" thickBot="1" x14ac:dyDescent="0.5">
      <c r="B1" s="70" t="s">
        <v>778</v>
      </c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</row>
    <row r="2" spans="2:15" ht="17.5" thickTop="1" x14ac:dyDescent="0.45">
      <c r="B2" s="244" t="s">
        <v>732</v>
      </c>
      <c r="C2" s="218" t="s">
        <v>720</v>
      </c>
      <c r="D2" s="219"/>
      <c r="E2" s="222" t="s">
        <v>1212</v>
      </c>
      <c r="F2" s="222"/>
      <c r="G2" s="222"/>
      <c r="H2" s="223"/>
      <c r="I2" s="244" t="s">
        <v>732</v>
      </c>
      <c r="J2" s="218" t="s">
        <v>720</v>
      </c>
      <c r="K2" s="219"/>
      <c r="L2" s="222" t="s">
        <v>1213</v>
      </c>
      <c r="M2" s="222"/>
      <c r="N2" s="222"/>
      <c r="O2" s="223"/>
    </row>
    <row r="3" spans="2:15" ht="17.5" thickBot="1" x14ac:dyDescent="0.5">
      <c r="B3" s="253"/>
      <c r="C3" s="254"/>
      <c r="D3" s="255"/>
      <c r="E3" s="47" t="s">
        <v>611</v>
      </c>
      <c r="F3" s="47" t="s">
        <v>612</v>
      </c>
      <c r="G3" s="47" t="s">
        <v>731</v>
      </c>
      <c r="H3" s="48" t="s">
        <v>593</v>
      </c>
      <c r="I3" s="253"/>
      <c r="J3" s="254"/>
      <c r="K3" s="255"/>
      <c r="L3" s="182" t="s">
        <v>611</v>
      </c>
      <c r="M3" s="182" t="s">
        <v>612</v>
      </c>
      <c r="N3" s="182" t="s">
        <v>731</v>
      </c>
      <c r="O3" s="48" t="s">
        <v>593</v>
      </c>
    </row>
    <row r="4" spans="2:15" ht="17.5" customHeight="1" thickTop="1" x14ac:dyDescent="0.45">
      <c r="B4" s="261" t="s">
        <v>1210</v>
      </c>
      <c r="C4" s="251" t="s">
        <v>737</v>
      </c>
      <c r="D4" s="52" t="s">
        <v>723</v>
      </c>
      <c r="E4" s="53">
        <v>41900</v>
      </c>
      <c r="F4" s="53">
        <v>37900</v>
      </c>
      <c r="G4" s="53">
        <f>ROUNDDOWN(F4*90%,-1)</f>
        <v>34110</v>
      </c>
      <c r="H4" s="54">
        <v>264900</v>
      </c>
      <c r="I4" s="261" t="s">
        <v>1208</v>
      </c>
      <c r="J4" s="251" t="s">
        <v>737</v>
      </c>
      <c r="K4" s="52" t="s">
        <v>723</v>
      </c>
      <c r="L4" s="53">
        <v>41900</v>
      </c>
      <c r="M4" s="53">
        <v>37900</v>
      </c>
      <c r="N4" s="53">
        <v>34110</v>
      </c>
      <c r="O4" s="54">
        <v>253700</v>
      </c>
    </row>
    <row r="5" spans="2:15" x14ac:dyDescent="0.45">
      <c r="B5" s="272"/>
      <c r="C5" s="237"/>
      <c r="D5" s="42" t="s">
        <v>724</v>
      </c>
      <c r="E5" s="40">
        <v>39400</v>
      </c>
      <c r="F5" s="40">
        <v>35400</v>
      </c>
      <c r="G5" s="40">
        <f t="shared" ref="G5:G19" si="0">ROUNDDOWN(F5*90%,-1)</f>
        <v>31860</v>
      </c>
      <c r="H5" s="50">
        <v>264900</v>
      </c>
      <c r="I5" s="272"/>
      <c r="J5" s="237"/>
      <c r="K5" s="42" t="s">
        <v>724</v>
      </c>
      <c r="L5" s="40">
        <v>38900</v>
      </c>
      <c r="M5" s="40">
        <v>34900</v>
      </c>
      <c r="N5" s="40">
        <v>31410</v>
      </c>
      <c r="O5" s="50">
        <v>253700</v>
      </c>
    </row>
    <row r="6" spans="2:15" x14ac:dyDescent="0.45">
      <c r="B6" s="272"/>
      <c r="C6" s="237"/>
      <c r="D6" s="42" t="s">
        <v>725</v>
      </c>
      <c r="E6" s="40">
        <v>37900</v>
      </c>
      <c r="F6" s="40">
        <v>33900</v>
      </c>
      <c r="G6" s="40">
        <f t="shared" si="0"/>
        <v>30510</v>
      </c>
      <c r="H6" s="50">
        <v>331100</v>
      </c>
      <c r="I6" s="272"/>
      <c r="J6" s="237"/>
      <c r="K6" s="42" t="s">
        <v>725</v>
      </c>
      <c r="L6" s="40">
        <v>36900</v>
      </c>
      <c r="M6" s="40">
        <v>32900</v>
      </c>
      <c r="N6" s="40">
        <v>29610</v>
      </c>
      <c r="O6" s="50">
        <v>317100</v>
      </c>
    </row>
    <row r="7" spans="2:15" x14ac:dyDescent="0.45">
      <c r="B7" s="272"/>
      <c r="C7" s="237"/>
      <c r="D7" s="43" t="s">
        <v>726</v>
      </c>
      <c r="E7" s="55">
        <v>36400</v>
      </c>
      <c r="F7" s="55">
        <v>32400</v>
      </c>
      <c r="G7" s="55">
        <f t="shared" si="0"/>
        <v>29160</v>
      </c>
      <c r="H7" s="56">
        <v>331100</v>
      </c>
      <c r="I7" s="272"/>
      <c r="J7" s="237"/>
      <c r="K7" s="43" t="s">
        <v>726</v>
      </c>
      <c r="L7" s="55">
        <v>34900</v>
      </c>
      <c r="M7" s="55">
        <v>30900</v>
      </c>
      <c r="N7" s="55">
        <v>27810</v>
      </c>
      <c r="O7" s="56">
        <v>317100</v>
      </c>
    </row>
    <row r="8" spans="2:15" x14ac:dyDescent="0.45">
      <c r="B8" s="272"/>
      <c r="C8" s="237"/>
      <c r="D8" s="45" t="s">
        <v>727</v>
      </c>
      <c r="E8" s="46">
        <v>37900</v>
      </c>
      <c r="F8" s="46">
        <v>33900</v>
      </c>
      <c r="G8" s="46">
        <f t="shared" si="0"/>
        <v>30510</v>
      </c>
      <c r="H8" s="49">
        <v>242500</v>
      </c>
      <c r="I8" s="272"/>
      <c r="J8" s="237"/>
      <c r="K8" s="45" t="s">
        <v>727</v>
      </c>
      <c r="L8" s="46">
        <v>38900</v>
      </c>
      <c r="M8" s="46">
        <v>34900</v>
      </c>
      <c r="N8" s="46">
        <v>31410</v>
      </c>
      <c r="O8" s="49">
        <v>242500</v>
      </c>
    </row>
    <row r="9" spans="2:15" x14ac:dyDescent="0.45">
      <c r="B9" s="272"/>
      <c r="C9" s="237"/>
      <c r="D9" s="42" t="s">
        <v>728</v>
      </c>
      <c r="E9" s="40">
        <v>35400</v>
      </c>
      <c r="F9" s="40">
        <v>31400</v>
      </c>
      <c r="G9" s="40">
        <f t="shared" si="0"/>
        <v>28260</v>
      </c>
      <c r="H9" s="50">
        <v>242500</v>
      </c>
      <c r="I9" s="272"/>
      <c r="J9" s="237"/>
      <c r="K9" s="42" t="s">
        <v>728</v>
      </c>
      <c r="L9" s="40">
        <v>35900</v>
      </c>
      <c r="M9" s="40">
        <v>31900</v>
      </c>
      <c r="N9" s="40">
        <v>28710</v>
      </c>
      <c r="O9" s="50">
        <v>242500</v>
      </c>
    </row>
    <row r="10" spans="2:15" x14ac:dyDescent="0.45">
      <c r="B10" s="272"/>
      <c r="C10" s="237"/>
      <c r="D10" s="42" t="s">
        <v>729</v>
      </c>
      <c r="E10" s="40">
        <v>33900</v>
      </c>
      <c r="F10" s="40">
        <v>29900</v>
      </c>
      <c r="G10" s="40">
        <f t="shared" si="0"/>
        <v>26910</v>
      </c>
      <c r="H10" s="50">
        <v>303100</v>
      </c>
      <c r="I10" s="272"/>
      <c r="J10" s="237"/>
      <c r="K10" s="42" t="s">
        <v>729</v>
      </c>
      <c r="L10" s="40">
        <v>33900</v>
      </c>
      <c r="M10" s="40">
        <v>29900</v>
      </c>
      <c r="N10" s="40">
        <v>26910</v>
      </c>
      <c r="O10" s="50">
        <v>303100</v>
      </c>
    </row>
    <row r="11" spans="2:15" x14ac:dyDescent="0.45">
      <c r="B11" s="289"/>
      <c r="C11" s="237"/>
      <c r="D11" s="57" t="s">
        <v>730</v>
      </c>
      <c r="E11" s="58">
        <v>32400</v>
      </c>
      <c r="F11" s="58">
        <v>28400</v>
      </c>
      <c r="G11" s="58">
        <f t="shared" si="0"/>
        <v>25560</v>
      </c>
      <c r="H11" s="59">
        <v>303100</v>
      </c>
      <c r="I11" s="289"/>
      <c r="J11" s="237"/>
      <c r="K11" s="57" t="s">
        <v>730</v>
      </c>
      <c r="L11" s="58">
        <v>31900</v>
      </c>
      <c r="M11" s="58">
        <v>27900</v>
      </c>
      <c r="N11" s="58">
        <v>25110</v>
      </c>
      <c r="O11" s="59">
        <v>303100</v>
      </c>
    </row>
    <row r="12" spans="2:15" x14ac:dyDescent="0.45">
      <c r="B12" s="258" t="s">
        <v>1211</v>
      </c>
      <c r="C12" s="237"/>
      <c r="D12" s="41" t="s">
        <v>723</v>
      </c>
      <c r="E12" s="39">
        <v>39900</v>
      </c>
      <c r="F12" s="39">
        <v>35900</v>
      </c>
      <c r="G12" s="39">
        <f t="shared" si="0"/>
        <v>32310</v>
      </c>
      <c r="H12" s="51">
        <v>253700</v>
      </c>
      <c r="I12" s="258" t="s">
        <v>1209</v>
      </c>
      <c r="J12" s="237"/>
      <c r="K12" s="41" t="s">
        <v>723</v>
      </c>
      <c r="L12" s="39">
        <v>39900</v>
      </c>
      <c r="M12" s="39">
        <v>35900</v>
      </c>
      <c r="N12" s="39">
        <v>32310</v>
      </c>
      <c r="O12" s="51">
        <v>242500</v>
      </c>
    </row>
    <row r="13" spans="2:15" x14ac:dyDescent="0.45">
      <c r="B13" s="272"/>
      <c r="C13" s="237"/>
      <c r="D13" s="42" t="s">
        <v>724</v>
      </c>
      <c r="E13" s="40">
        <v>37400</v>
      </c>
      <c r="F13" s="40">
        <v>33400</v>
      </c>
      <c r="G13" s="40">
        <f t="shared" si="0"/>
        <v>30060</v>
      </c>
      <c r="H13" s="50">
        <v>253700</v>
      </c>
      <c r="I13" s="272"/>
      <c r="J13" s="237"/>
      <c r="K13" s="42" t="s">
        <v>724</v>
      </c>
      <c r="L13" s="40">
        <v>36900</v>
      </c>
      <c r="M13" s="40">
        <v>32900</v>
      </c>
      <c r="N13" s="40">
        <v>29610</v>
      </c>
      <c r="O13" s="50">
        <v>242500</v>
      </c>
    </row>
    <row r="14" spans="2:15" x14ac:dyDescent="0.45">
      <c r="B14" s="272"/>
      <c r="C14" s="237"/>
      <c r="D14" s="42" t="s">
        <v>725</v>
      </c>
      <c r="E14" s="40">
        <v>35900</v>
      </c>
      <c r="F14" s="40">
        <v>31900</v>
      </c>
      <c r="G14" s="40">
        <f t="shared" si="0"/>
        <v>28710</v>
      </c>
      <c r="H14" s="50">
        <v>317100</v>
      </c>
      <c r="I14" s="272"/>
      <c r="J14" s="237"/>
      <c r="K14" s="42" t="s">
        <v>725</v>
      </c>
      <c r="L14" s="40">
        <v>34900</v>
      </c>
      <c r="M14" s="40">
        <v>30900</v>
      </c>
      <c r="N14" s="40">
        <v>27810</v>
      </c>
      <c r="O14" s="50">
        <v>303100</v>
      </c>
    </row>
    <row r="15" spans="2:15" x14ac:dyDescent="0.45">
      <c r="B15" s="272"/>
      <c r="C15" s="237"/>
      <c r="D15" s="57" t="s">
        <v>726</v>
      </c>
      <c r="E15" s="58">
        <v>34400</v>
      </c>
      <c r="F15" s="58">
        <v>30400</v>
      </c>
      <c r="G15" s="58">
        <f t="shared" si="0"/>
        <v>27360</v>
      </c>
      <c r="H15" s="59">
        <v>317100</v>
      </c>
      <c r="I15" s="272"/>
      <c r="J15" s="237"/>
      <c r="K15" s="57" t="s">
        <v>726</v>
      </c>
      <c r="L15" s="58">
        <v>32900</v>
      </c>
      <c r="M15" s="58">
        <v>28900</v>
      </c>
      <c r="N15" s="58">
        <v>26010</v>
      </c>
      <c r="O15" s="56">
        <v>303100</v>
      </c>
    </row>
    <row r="16" spans="2:15" x14ac:dyDescent="0.45">
      <c r="B16" s="272"/>
      <c r="C16" s="237"/>
      <c r="D16" s="41" t="s">
        <v>727</v>
      </c>
      <c r="E16" s="39">
        <v>35900</v>
      </c>
      <c r="F16" s="39">
        <v>31900</v>
      </c>
      <c r="G16" s="39">
        <f t="shared" si="0"/>
        <v>28710</v>
      </c>
      <c r="H16" s="51">
        <v>231200</v>
      </c>
      <c r="I16" s="272"/>
      <c r="J16" s="237"/>
      <c r="K16" s="41" t="s">
        <v>727</v>
      </c>
      <c r="L16" s="39">
        <v>36900</v>
      </c>
      <c r="M16" s="39">
        <v>32900</v>
      </c>
      <c r="N16" s="39">
        <v>29610</v>
      </c>
      <c r="O16" s="49">
        <v>231200</v>
      </c>
    </row>
    <row r="17" spans="2:15" x14ac:dyDescent="0.45">
      <c r="B17" s="272"/>
      <c r="C17" s="237"/>
      <c r="D17" s="42" t="s">
        <v>728</v>
      </c>
      <c r="E17" s="40">
        <v>33400</v>
      </c>
      <c r="F17" s="40">
        <v>29400</v>
      </c>
      <c r="G17" s="40">
        <f t="shared" si="0"/>
        <v>26460</v>
      </c>
      <c r="H17" s="50">
        <v>231200</v>
      </c>
      <c r="I17" s="272"/>
      <c r="J17" s="237"/>
      <c r="K17" s="42" t="s">
        <v>728</v>
      </c>
      <c r="L17" s="40">
        <v>33900</v>
      </c>
      <c r="M17" s="40">
        <v>29900</v>
      </c>
      <c r="N17" s="40">
        <v>26910</v>
      </c>
      <c r="O17" s="50">
        <v>231200</v>
      </c>
    </row>
    <row r="18" spans="2:15" x14ac:dyDescent="0.45">
      <c r="B18" s="272"/>
      <c r="C18" s="237"/>
      <c r="D18" s="42" t="s">
        <v>729</v>
      </c>
      <c r="E18" s="40">
        <v>31900</v>
      </c>
      <c r="F18" s="40">
        <v>27900</v>
      </c>
      <c r="G18" s="40">
        <f t="shared" si="0"/>
        <v>25110</v>
      </c>
      <c r="H18" s="50">
        <v>289000</v>
      </c>
      <c r="I18" s="272"/>
      <c r="J18" s="237"/>
      <c r="K18" s="42" t="s">
        <v>729</v>
      </c>
      <c r="L18" s="40">
        <v>31900</v>
      </c>
      <c r="M18" s="40">
        <v>27900</v>
      </c>
      <c r="N18" s="40">
        <v>25110</v>
      </c>
      <c r="O18" s="50">
        <v>289000</v>
      </c>
    </row>
    <row r="19" spans="2:15" ht="17.5" thickBot="1" x14ac:dyDescent="0.5">
      <c r="B19" s="273"/>
      <c r="C19" s="238"/>
      <c r="D19" s="44" t="s">
        <v>730</v>
      </c>
      <c r="E19" s="66">
        <v>30400</v>
      </c>
      <c r="F19" s="66">
        <v>26400</v>
      </c>
      <c r="G19" s="66">
        <f t="shared" si="0"/>
        <v>23760</v>
      </c>
      <c r="H19" s="67">
        <v>289000</v>
      </c>
      <c r="I19" s="273"/>
      <c r="J19" s="238"/>
      <c r="K19" s="44" t="s">
        <v>730</v>
      </c>
      <c r="L19" s="66">
        <v>29900</v>
      </c>
      <c r="M19" s="66">
        <v>25900</v>
      </c>
      <c r="N19" s="66">
        <v>23310</v>
      </c>
      <c r="O19" s="59">
        <v>289000</v>
      </c>
    </row>
    <row r="20" spans="2:15" ht="17.5" thickTop="1" x14ac:dyDescent="0.45">
      <c r="B20" s="244" t="s">
        <v>732</v>
      </c>
      <c r="C20" s="218" t="s">
        <v>720</v>
      </c>
      <c r="D20" s="219"/>
      <c r="E20" s="222" t="s">
        <v>865</v>
      </c>
      <c r="F20" s="222"/>
      <c r="G20" s="271"/>
      <c r="H20" s="223"/>
      <c r="I20" s="224" t="s">
        <v>732</v>
      </c>
      <c r="J20" s="218" t="s">
        <v>720</v>
      </c>
      <c r="K20" s="219"/>
      <c r="L20" s="222" t="s">
        <v>740</v>
      </c>
      <c r="M20" s="283"/>
      <c r="N20" s="283"/>
      <c r="O20" s="284"/>
    </row>
    <row r="21" spans="2:15" ht="17.5" thickBot="1" x14ac:dyDescent="0.5">
      <c r="B21" s="253"/>
      <c r="C21" s="254"/>
      <c r="D21" s="255"/>
      <c r="E21" s="90" t="s">
        <v>611</v>
      </c>
      <c r="F21" s="90" t="s">
        <v>612</v>
      </c>
      <c r="G21" s="60" t="s">
        <v>731</v>
      </c>
      <c r="H21" s="48" t="s">
        <v>593</v>
      </c>
      <c r="I21" s="285"/>
      <c r="J21" s="254"/>
      <c r="K21" s="255"/>
      <c r="L21" s="47" t="s">
        <v>611</v>
      </c>
      <c r="M21" s="47" t="s">
        <v>612</v>
      </c>
      <c r="N21" s="60" t="s">
        <v>731</v>
      </c>
      <c r="O21" s="48" t="s">
        <v>593</v>
      </c>
    </row>
    <row r="22" spans="2:15" ht="17.5" thickTop="1" x14ac:dyDescent="0.45">
      <c r="B22" s="261" t="s">
        <v>866</v>
      </c>
      <c r="C22" s="251" t="s">
        <v>738</v>
      </c>
      <c r="D22" s="52" t="s">
        <v>723</v>
      </c>
      <c r="E22" s="53">
        <v>57900</v>
      </c>
      <c r="F22" s="53">
        <v>52900</v>
      </c>
      <c r="G22" s="53">
        <f>ROUNDDOWN(F22*90%,-1)</f>
        <v>47610</v>
      </c>
      <c r="H22" s="54">
        <v>287400</v>
      </c>
      <c r="I22" s="248" t="s">
        <v>741</v>
      </c>
      <c r="J22" s="282" t="s">
        <v>738</v>
      </c>
      <c r="K22" s="52" t="s">
        <v>723</v>
      </c>
      <c r="L22" s="53">
        <v>61900</v>
      </c>
      <c r="M22" s="53">
        <v>56900</v>
      </c>
      <c r="N22" s="53">
        <f>ROUNDDOWN(M22*90%,-1)</f>
        <v>51210</v>
      </c>
      <c r="O22" s="54">
        <v>298700</v>
      </c>
    </row>
    <row r="23" spans="2:15" x14ac:dyDescent="0.45">
      <c r="B23" s="272"/>
      <c r="C23" s="232"/>
      <c r="D23" s="42" t="s">
        <v>724</v>
      </c>
      <c r="E23" s="40">
        <v>54900</v>
      </c>
      <c r="F23" s="40">
        <v>49900</v>
      </c>
      <c r="G23" s="62">
        <f t="shared" ref="G23:G29" si="1">ROUNDDOWN(F23*90%,-1)</f>
        <v>44910</v>
      </c>
      <c r="H23" s="50">
        <v>287400</v>
      </c>
      <c r="I23" s="249"/>
      <c r="J23" s="237"/>
      <c r="K23" s="42" t="s">
        <v>724</v>
      </c>
      <c r="L23" s="40">
        <v>57900</v>
      </c>
      <c r="M23" s="40">
        <v>52900</v>
      </c>
      <c r="N23" s="62">
        <f t="shared" ref="N23:N37" si="2">ROUNDDOWN(M23*90%,-1)</f>
        <v>47610</v>
      </c>
      <c r="O23" s="50">
        <v>298700</v>
      </c>
    </row>
    <row r="24" spans="2:15" x14ac:dyDescent="0.45">
      <c r="B24" s="272"/>
      <c r="C24" s="232"/>
      <c r="D24" s="42" t="s">
        <v>725</v>
      </c>
      <c r="E24" s="40">
        <v>52900</v>
      </c>
      <c r="F24" s="40">
        <v>47900</v>
      </c>
      <c r="G24" s="62">
        <f t="shared" si="1"/>
        <v>43110</v>
      </c>
      <c r="H24" s="50">
        <v>359300</v>
      </c>
      <c r="I24" s="249"/>
      <c r="J24" s="237"/>
      <c r="K24" s="42" t="s">
        <v>725</v>
      </c>
      <c r="L24" s="40">
        <v>55900</v>
      </c>
      <c r="M24" s="40">
        <v>50900</v>
      </c>
      <c r="N24" s="62">
        <f t="shared" si="2"/>
        <v>45810</v>
      </c>
      <c r="O24" s="50">
        <v>373400</v>
      </c>
    </row>
    <row r="25" spans="2:15" x14ac:dyDescent="0.45">
      <c r="B25" s="272"/>
      <c r="C25" s="270"/>
      <c r="D25" s="43" t="s">
        <v>726</v>
      </c>
      <c r="E25" s="55">
        <v>50900</v>
      </c>
      <c r="F25" s="55">
        <v>45900</v>
      </c>
      <c r="G25" s="63">
        <f t="shared" si="1"/>
        <v>41310</v>
      </c>
      <c r="H25" s="56">
        <v>359300</v>
      </c>
      <c r="I25" s="249"/>
      <c r="J25" s="237"/>
      <c r="K25" s="43" t="s">
        <v>726</v>
      </c>
      <c r="L25" s="55">
        <v>53900</v>
      </c>
      <c r="M25" s="55">
        <v>48900</v>
      </c>
      <c r="N25" s="63">
        <f t="shared" si="2"/>
        <v>44010</v>
      </c>
      <c r="O25" s="56">
        <v>373400</v>
      </c>
    </row>
    <row r="26" spans="2:15" x14ac:dyDescent="0.45">
      <c r="B26" s="272"/>
      <c r="C26" s="231" t="s">
        <v>739</v>
      </c>
      <c r="D26" s="45" t="s">
        <v>723</v>
      </c>
      <c r="E26" s="46">
        <v>54900</v>
      </c>
      <c r="F26" s="46">
        <v>49900</v>
      </c>
      <c r="G26" s="64">
        <f t="shared" si="1"/>
        <v>44910</v>
      </c>
      <c r="H26" s="49">
        <v>287400</v>
      </c>
      <c r="I26" s="256" t="s">
        <v>742</v>
      </c>
      <c r="J26" s="237"/>
      <c r="K26" s="45" t="s">
        <v>723</v>
      </c>
      <c r="L26" s="46">
        <v>57900</v>
      </c>
      <c r="M26" s="46">
        <v>52900</v>
      </c>
      <c r="N26" s="64">
        <f t="shared" si="2"/>
        <v>47610</v>
      </c>
      <c r="O26" s="49">
        <v>287400</v>
      </c>
    </row>
    <row r="27" spans="2:15" x14ac:dyDescent="0.45">
      <c r="B27" s="272"/>
      <c r="C27" s="232"/>
      <c r="D27" s="42" t="s">
        <v>724</v>
      </c>
      <c r="E27" s="40">
        <v>51900</v>
      </c>
      <c r="F27" s="40">
        <v>46900</v>
      </c>
      <c r="G27" s="62">
        <f t="shared" si="1"/>
        <v>42210</v>
      </c>
      <c r="H27" s="50">
        <v>287400</v>
      </c>
      <c r="I27" s="249"/>
      <c r="J27" s="237"/>
      <c r="K27" s="42" t="s">
        <v>724</v>
      </c>
      <c r="L27" s="40">
        <v>53900</v>
      </c>
      <c r="M27" s="40">
        <v>48900</v>
      </c>
      <c r="N27" s="62">
        <f t="shared" si="2"/>
        <v>44010</v>
      </c>
      <c r="O27" s="50">
        <v>287400</v>
      </c>
    </row>
    <row r="28" spans="2:15" x14ac:dyDescent="0.45">
      <c r="B28" s="272"/>
      <c r="C28" s="232"/>
      <c r="D28" s="42" t="s">
        <v>725</v>
      </c>
      <c r="E28" s="40">
        <v>49900</v>
      </c>
      <c r="F28" s="40">
        <v>44900</v>
      </c>
      <c r="G28" s="62">
        <f t="shared" si="1"/>
        <v>40410</v>
      </c>
      <c r="H28" s="50">
        <v>359300</v>
      </c>
      <c r="I28" s="249"/>
      <c r="J28" s="237"/>
      <c r="K28" s="42" t="s">
        <v>725</v>
      </c>
      <c r="L28" s="40">
        <v>51900</v>
      </c>
      <c r="M28" s="40">
        <v>46900</v>
      </c>
      <c r="N28" s="62">
        <f t="shared" si="2"/>
        <v>42210</v>
      </c>
      <c r="O28" s="50">
        <v>359300</v>
      </c>
    </row>
    <row r="29" spans="2:15" ht="17.5" thickBot="1" x14ac:dyDescent="0.5">
      <c r="B29" s="273"/>
      <c r="C29" s="233"/>
      <c r="D29" s="44" t="s">
        <v>726</v>
      </c>
      <c r="E29" s="66">
        <v>47900</v>
      </c>
      <c r="F29" s="66">
        <v>42900</v>
      </c>
      <c r="G29" s="68">
        <f t="shared" si="1"/>
        <v>38610</v>
      </c>
      <c r="H29" s="67">
        <v>359300</v>
      </c>
      <c r="I29" s="249"/>
      <c r="J29" s="237"/>
      <c r="K29" s="57" t="s">
        <v>726</v>
      </c>
      <c r="L29" s="58">
        <v>49900</v>
      </c>
      <c r="M29" s="58">
        <v>44900</v>
      </c>
      <c r="N29" s="65">
        <f t="shared" si="2"/>
        <v>40410</v>
      </c>
      <c r="O29" s="59">
        <v>359300</v>
      </c>
    </row>
    <row r="30" spans="2:15" ht="17.5" thickTop="1" x14ac:dyDescent="0.45">
      <c r="B30" s="244" t="s">
        <v>732</v>
      </c>
      <c r="C30" s="218" t="s">
        <v>720</v>
      </c>
      <c r="D30" s="219"/>
      <c r="E30" s="222" t="s">
        <v>733</v>
      </c>
      <c r="F30" s="222"/>
      <c r="G30" s="271"/>
      <c r="H30" s="223"/>
      <c r="I30" s="256" t="s">
        <v>741</v>
      </c>
      <c r="J30" s="234" t="s">
        <v>739</v>
      </c>
      <c r="K30" s="41" t="s">
        <v>723</v>
      </c>
      <c r="L30" s="39">
        <v>58900</v>
      </c>
      <c r="M30" s="39">
        <v>53900</v>
      </c>
      <c r="N30" s="69">
        <f t="shared" si="2"/>
        <v>48510</v>
      </c>
      <c r="O30" s="51">
        <v>287400</v>
      </c>
    </row>
    <row r="31" spans="2:15" ht="17.5" thickBot="1" x14ac:dyDescent="0.5">
      <c r="B31" s="253"/>
      <c r="C31" s="254"/>
      <c r="D31" s="255"/>
      <c r="E31" s="47" t="s">
        <v>611</v>
      </c>
      <c r="F31" s="47" t="s">
        <v>612</v>
      </c>
      <c r="G31" s="60" t="s">
        <v>731</v>
      </c>
      <c r="H31" s="48" t="s">
        <v>593</v>
      </c>
      <c r="I31" s="249"/>
      <c r="J31" s="237"/>
      <c r="K31" s="42" t="s">
        <v>724</v>
      </c>
      <c r="L31" s="40">
        <v>54900</v>
      </c>
      <c r="M31" s="40">
        <v>49900</v>
      </c>
      <c r="N31" s="62">
        <f t="shared" si="2"/>
        <v>44910</v>
      </c>
      <c r="O31" s="50">
        <v>287400</v>
      </c>
    </row>
    <row r="32" spans="2:15" ht="17.5" thickTop="1" x14ac:dyDescent="0.45">
      <c r="B32" s="261" t="s">
        <v>734</v>
      </c>
      <c r="C32" s="251" t="s">
        <v>737</v>
      </c>
      <c r="D32" s="52" t="s">
        <v>723</v>
      </c>
      <c r="E32" s="53">
        <v>45900</v>
      </c>
      <c r="F32" s="53">
        <v>39900</v>
      </c>
      <c r="G32" s="53">
        <f>ROUNDDOWN(F32*90%,-1)</f>
        <v>35910</v>
      </c>
      <c r="H32" s="54">
        <v>264900</v>
      </c>
      <c r="I32" s="249"/>
      <c r="J32" s="237"/>
      <c r="K32" s="42" t="s">
        <v>725</v>
      </c>
      <c r="L32" s="40">
        <v>52900</v>
      </c>
      <c r="M32" s="40">
        <v>47900</v>
      </c>
      <c r="N32" s="62">
        <f t="shared" si="2"/>
        <v>43110</v>
      </c>
      <c r="O32" s="50">
        <v>359300</v>
      </c>
    </row>
    <row r="33" spans="2:15" x14ac:dyDescent="0.45">
      <c r="B33" s="272"/>
      <c r="C33" s="232"/>
      <c r="D33" s="42" t="s">
        <v>724</v>
      </c>
      <c r="E33" s="40">
        <v>42900</v>
      </c>
      <c r="F33" s="40">
        <v>36900</v>
      </c>
      <c r="G33" s="62">
        <f t="shared" ref="G33:G39" si="3">ROUNDDOWN(F33*90%,-1)</f>
        <v>33210</v>
      </c>
      <c r="H33" s="50">
        <v>264900</v>
      </c>
      <c r="I33" s="249"/>
      <c r="J33" s="237"/>
      <c r="K33" s="43" t="s">
        <v>726</v>
      </c>
      <c r="L33" s="58">
        <v>50900</v>
      </c>
      <c r="M33" s="58">
        <v>45900</v>
      </c>
      <c r="N33" s="65">
        <f t="shared" si="2"/>
        <v>41310</v>
      </c>
      <c r="O33" s="59">
        <v>359300</v>
      </c>
    </row>
    <row r="34" spans="2:15" x14ac:dyDescent="0.45">
      <c r="B34" s="272"/>
      <c r="C34" s="232"/>
      <c r="D34" s="42" t="s">
        <v>725</v>
      </c>
      <c r="E34" s="40">
        <v>40900</v>
      </c>
      <c r="F34" s="40">
        <v>34900</v>
      </c>
      <c r="G34" s="62">
        <f t="shared" si="3"/>
        <v>31410</v>
      </c>
      <c r="H34" s="50">
        <v>331100</v>
      </c>
      <c r="I34" s="256" t="s">
        <v>742</v>
      </c>
      <c r="J34" s="237"/>
      <c r="K34" s="45" t="s">
        <v>723</v>
      </c>
      <c r="L34" s="39">
        <v>54900</v>
      </c>
      <c r="M34" s="39">
        <v>49900</v>
      </c>
      <c r="N34" s="69">
        <f t="shared" si="2"/>
        <v>44910</v>
      </c>
      <c r="O34" s="51">
        <v>287400</v>
      </c>
    </row>
    <row r="35" spans="2:15" x14ac:dyDescent="0.45">
      <c r="B35" s="272"/>
      <c r="C35" s="232"/>
      <c r="D35" s="43" t="s">
        <v>726</v>
      </c>
      <c r="E35" s="55">
        <v>38900</v>
      </c>
      <c r="F35" s="55">
        <v>32900</v>
      </c>
      <c r="G35" s="63">
        <f t="shared" si="3"/>
        <v>29610</v>
      </c>
      <c r="H35" s="56">
        <v>331100</v>
      </c>
      <c r="I35" s="249"/>
      <c r="J35" s="237"/>
      <c r="K35" s="42" t="s">
        <v>724</v>
      </c>
      <c r="L35" s="40">
        <v>50900</v>
      </c>
      <c r="M35" s="40">
        <v>45900</v>
      </c>
      <c r="N35" s="62">
        <f t="shared" si="2"/>
        <v>41310</v>
      </c>
      <c r="O35" s="50">
        <v>287400</v>
      </c>
    </row>
    <row r="36" spans="2:15" x14ac:dyDescent="0.45">
      <c r="B36" s="272"/>
      <c r="C36" s="232"/>
      <c r="D36" s="45" t="s">
        <v>727</v>
      </c>
      <c r="E36" s="46">
        <v>41900</v>
      </c>
      <c r="F36" s="46">
        <v>36900</v>
      </c>
      <c r="G36" s="64">
        <f t="shared" si="3"/>
        <v>33210</v>
      </c>
      <c r="H36" s="49">
        <v>253700</v>
      </c>
      <c r="I36" s="249"/>
      <c r="J36" s="237"/>
      <c r="K36" s="42" t="s">
        <v>725</v>
      </c>
      <c r="L36" s="40">
        <v>48900</v>
      </c>
      <c r="M36" s="40">
        <v>43900</v>
      </c>
      <c r="N36" s="62">
        <f t="shared" si="2"/>
        <v>39510</v>
      </c>
      <c r="O36" s="50">
        <v>359300</v>
      </c>
    </row>
    <row r="37" spans="2:15" ht="17.5" thickBot="1" x14ac:dyDescent="0.5">
      <c r="B37" s="272"/>
      <c r="C37" s="232"/>
      <c r="D37" s="42" t="s">
        <v>728</v>
      </c>
      <c r="E37" s="40">
        <v>38900</v>
      </c>
      <c r="F37" s="40">
        <v>33900</v>
      </c>
      <c r="G37" s="62">
        <f t="shared" si="3"/>
        <v>30510</v>
      </c>
      <c r="H37" s="50">
        <v>253700</v>
      </c>
      <c r="I37" s="250"/>
      <c r="J37" s="238"/>
      <c r="K37" s="44" t="s">
        <v>726</v>
      </c>
      <c r="L37" s="66">
        <v>46900</v>
      </c>
      <c r="M37" s="66">
        <v>41900</v>
      </c>
      <c r="N37" s="68">
        <f t="shared" si="2"/>
        <v>37710</v>
      </c>
      <c r="O37" s="67">
        <v>359300</v>
      </c>
    </row>
    <row r="38" spans="2:15" ht="17.5" thickTop="1" x14ac:dyDescent="0.45">
      <c r="B38" s="272"/>
      <c r="C38" s="232"/>
      <c r="D38" s="42" t="s">
        <v>729</v>
      </c>
      <c r="E38" s="40">
        <v>36900</v>
      </c>
      <c r="F38" s="40">
        <v>31900</v>
      </c>
      <c r="G38" s="62">
        <f t="shared" si="3"/>
        <v>28710</v>
      </c>
      <c r="H38" s="50">
        <v>317100</v>
      </c>
      <c r="I38" s="244" t="s">
        <v>732</v>
      </c>
      <c r="J38" s="218" t="s">
        <v>720</v>
      </c>
      <c r="K38" s="219"/>
      <c r="L38" s="222" t="s">
        <v>786</v>
      </c>
      <c r="M38" s="222"/>
      <c r="N38" s="222"/>
      <c r="O38" s="223"/>
    </row>
    <row r="39" spans="2:15" ht="17.5" thickBot="1" x14ac:dyDescent="0.5">
      <c r="B39" s="273"/>
      <c r="C39" s="233"/>
      <c r="D39" s="44" t="s">
        <v>730</v>
      </c>
      <c r="E39" s="66">
        <v>34900</v>
      </c>
      <c r="F39" s="66">
        <v>29900</v>
      </c>
      <c r="G39" s="68">
        <f t="shared" si="3"/>
        <v>26910</v>
      </c>
      <c r="H39" s="67">
        <v>317100</v>
      </c>
      <c r="I39" s="253"/>
      <c r="J39" s="254"/>
      <c r="K39" s="255"/>
      <c r="L39" s="47" t="s">
        <v>611</v>
      </c>
      <c r="M39" s="47" t="s">
        <v>612</v>
      </c>
      <c r="N39" s="47" t="s">
        <v>731</v>
      </c>
      <c r="O39" s="48" t="s">
        <v>593</v>
      </c>
    </row>
    <row r="40" spans="2:15" ht="17.5" thickTop="1" x14ac:dyDescent="0.45">
      <c r="B40" s="244" t="s">
        <v>732</v>
      </c>
      <c r="C40" s="218" t="s">
        <v>720</v>
      </c>
      <c r="D40" s="219"/>
      <c r="E40" s="222" t="s">
        <v>743</v>
      </c>
      <c r="F40" s="222"/>
      <c r="G40" s="271"/>
      <c r="H40" s="223"/>
      <c r="I40" s="261" t="s">
        <v>787</v>
      </c>
      <c r="J40" s="251" t="s">
        <v>738</v>
      </c>
      <c r="K40" s="52" t="s">
        <v>723</v>
      </c>
      <c r="L40" s="53">
        <v>34900</v>
      </c>
      <c r="M40" s="53">
        <v>31900</v>
      </c>
      <c r="N40" s="267" t="s">
        <v>751</v>
      </c>
      <c r="O40" s="54">
        <v>109800</v>
      </c>
    </row>
    <row r="41" spans="2:15" ht="17.5" thickBot="1" x14ac:dyDescent="0.5">
      <c r="B41" s="253"/>
      <c r="C41" s="254"/>
      <c r="D41" s="255"/>
      <c r="E41" s="47" t="s">
        <v>611</v>
      </c>
      <c r="F41" s="47" t="s">
        <v>612</v>
      </c>
      <c r="G41" s="60" t="s">
        <v>731</v>
      </c>
      <c r="H41" s="48" t="s">
        <v>593</v>
      </c>
      <c r="I41" s="272"/>
      <c r="J41" s="232"/>
      <c r="K41" s="42" t="s">
        <v>724</v>
      </c>
      <c r="L41" s="40">
        <v>33900</v>
      </c>
      <c r="M41" s="40">
        <v>30900</v>
      </c>
      <c r="N41" s="268"/>
      <c r="O41" s="50">
        <v>109800</v>
      </c>
    </row>
    <row r="42" spans="2:15" ht="17.5" customHeight="1" thickTop="1" x14ac:dyDescent="0.45">
      <c r="B42" s="248" t="s">
        <v>745</v>
      </c>
      <c r="C42" s="251" t="s">
        <v>738</v>
      </c>
      <c r="D42" s="52" t="s">
        <v>723</v>
      </c>
      <c r="E42" s="53">
        <v>54400</v>
      </c>
      <c r="F42" s="53">
        <v>50400</v>
      </c>
      <c r="G42" s="53">
        <f>ROUNDDOWN(F42*90%,-1)</f>
        <v>45360</v>
      </c>
      <c r="H42" s="54">
        <v>287400</v>
      </c>
      <c r="I42" s="272"/>
      <c r="J42" s="232"/>
      <c r="K42" s="42" t="s">
        <v>725</v>
      </c>
      <c r="L42" s="40">
        <v>32900</v>
      </c>
      <c r="M42" s="40">
        <v>29900</v>
      </c>
      <c r="N42" s="268"/>
      <c r="O42" s="50">
        <v>109800</v>
      </c>
    </row>
    <row r="43" spans="2:15" ht="17.5" thickBot="1" x14ac:dyDescent="0.5">
      <c r="B43" s="249"/>
      <c r="C43" s="232"/>
      <c r="D43" s="42" t="s">
        <v>724</v>
      </c>
      <c r="E43" s="40">
        <v>51400</v>
      </c>
      <c r="F43" s="40">
        <v>47400</v>
      </c>
      <c r="G43" s="62">
        <f t="shared" ref="G43:G49" si="4">ROUNDDOWN(F43*90%,-1)</f>
        <v>42660</v>
      </c>
      <c r="H43" s="50">
        <v>287400</v>
      </c>
      <c r="I43" s="273"/>
      <c r="J43" s="233"/>
      <c r="K43" s="44" t="s">
        <v>726</v>
      </c>
      <c r="L43" s="66">
        <v>31900</v>
      </c>
      <c r="M43" s="66">
        <v>28900</v>
      </c>
      <c r="N43" s="269"/>
      <c r="O43" s="67">
        <v>109800</v>
      </c>
    </row>
    <row r="44" spans="2:15" ht="17.5" thickTop="1" x14ac:dyDescent="0.45">
      <c r="B44" s="249"/>
      <c r="C44" s="232"/>
      <c r="D44" s="42" t="s">
        <v>725</v>
      </c>
      <c r="E44" s="40">
        <v>49400</v>
      </c>
      <c r="F44" s="40">
        <v>45400</v>
      </c>
      <c r="G44" s="62">
        <f t="shared" si="4"/>
        <v>40860</v>
      </c>
      <c r="H44" s="50">
        <v>359300</v>
      </c>
      <c r="I44" s="244" t="s">
        <v>732</v>
      </c>
      <c r="J44" s="218" t="s">
        <v>720</v>
      </c>
      <c r="K44" s="219"/>
      <c r="L44" s="222" t="s">
        <v>788</v>
      </c>
      <c r="M44" s="222"/>
      <c r="N44" s="222"/>
      <c r="O44" s="223"/>
    </row>
    <row r="45" spans="2:15" ht="17.5" thickBot="1" x14ac:dyDescent="0.5">
      <c r="B45" s="249"/>
      <c r="C45" s="232"/>
      <c r="D45" s="57" t="s">
        <v>726</v>
      </c>
      <c r="E45" s="58">
        <v>47400</v>
      </c>
      <c r="F45" s="58">
        <v>43400</v>
      </c>
      <c r="G45" s="65">
        <f t="shared" si="4"/>
        <v>39060</v>
      </c>
      <c r="H45" s="59">
        <v>359300</v>
      </c>
      <c r="I45" s="253"/>
      <c r="J45" s="254"/>
      <c r="K45" s="255"/>
      <c r="L45" s="47" t="s">
        <v>611</v>
      </c>
      <c r="M45" s="47" t="s">
        <v>612</v>
      </c>
      <c r="N45" s="47" t="s">
        <v>731</v>
      </c>
      <c r="O45" s="48" t="s">
        <v>593</v>
      </c>
    </row>
    <row r="46" spans="2:15" ht="17.5" thickTop="1" x14ac:dyDescent="0.45">
      <c r="B46" s="249"/>
      <c r="C46" s="231" t="s">
        <v>739</v>
      </c>
      <c r="D46" s="41" t="s">
        <v>723</v>
      </c>
      <c r="E46" s="39">
        <v>51400</v>
      </c>
      <c r="F46" s="39">
        <v>47400</v>
      </c>
      <c r="G46" s="69">
        <f t="shared" si="4"/>
        <v>42660</v>
      </c>
      <c r="H46" s="51">
        <v>276200</v>
      </c>
      <c r="I46" s="261" t="s">
        <v>909</v>
      </c>
      <c r="J46" s="251" t="s">
        <v>738</v>
      </c>
      <c r="K46" s="52" t="s">
        <v>723</v>
      </c>
      <c r="L46" s="53">
        <v>25900</v>
      </c>
      <c r="M46" s="53">
        <v>23900</v>
      </c>
      <c r="N46" s="267" t="s">
        <v>751</v>
      </c>
      <c r="O46" s="54">
        <v>200100</v>
      </c>
    </row>
    <row r="47" spans="2:15" x14ac:dyDescent="0.45">
      <c r="B47" s="249"/>
      <c r="C47" s="232"/>
      <c r="D47" s="42" t="s">
        <v>724</v>
      </c>
      <c r="E47" s="40">
        <v>48400</v>
      </c>
      <c r="F47" s="40">
        <v>44400</v>
      </c>
      <c r="G47" s="62">
        <f t="shared" si="4"/>
        <v>39960</v>
      </c>
      <c r="H47" s="50">
        <v>276200</v>
      </c>
      <c r="I47" s="272"/>
      <c r="J47" s="232"/>
      <c r="K47" s="42" t="s">
        <v>724</v>
      </c>
      <c r="L47" s="40">
        <v>24900</v>
      </c>
      <c r="M47" s="40">
        <v>22900</v>
      </c>
      <c r="N47" s="268"/>
      <c r="O47" s="50">
        <v>200100</v>
      </c>
    </row>
    <row r="48" spans="2:15" x14ac:dyDescent="0.45">
      <c r="B48" s="249"/>
      <c r="C48" s="232"/>
      <c r="D48" s="42" t="s">
        <v>725</v>
      </c>
      <c r="E48" s="40">
        <v>46400</v>
      </c>
      <c r="F48" s="40">
        <v>42400</v>
      </c>
      <c r="G48" s="62">
        <f t="shared" si="4"/>
        <v>38160</v>
      </c>
      <c r="H48" s="50">
        <v>345300</v>
      </c>
      <c r="I48" s="272"/>
      <c r="J48" s="232"/>
      <c r="K48" s="42" t="s">
        <v>725</v>
      </c>
      <c r="L48" s="40">
        <v>23900</v>
      </c>
      <c r="M48" s="40">
        <v>21900</v>
      </c>
      <c r="N48" s="268"/>
      <c r="O48" s="50">
        <v>250100</v>
      </c>
    </row>
    <row r="49" spans="2:15" ht="17.5" thickBot="1" x14ac:dyDescent="0.5">
      <c r="B49" s="250"/>
      <c r="C49" s="233"/>
      <c r="D49" s="44" t="s">
        <v>726</v>
      </c>
      <c r="E49" s="66">
        <v>44400</v>
      </c>
      <c r="F49" s="66">
        <v>40400</v>
      </c>
      <c r="G49" s="68">
        <f t="shared" si="4"/>
        <v>36360</v>
      </c>
      <c r="H49" s="67">
        <v>345300</v>
      </c>
      <c r="I49" s="273"/>
      <c r="J49" s="233"/>
      <c r="K49" s="44" t="s">
        <v>726</v>
      </c>
      <c r="L49" s="66">
        <v>22900</v>
      </c>
      <c r="M49" s="66">
        <v>20900</v>
      </c>
      <c r="N49" s="269"/>
      <c r="O49" s="67">
        <v>250100</v>
      </c>
    </row>
    <row r="50" spans="2:15" ht="17.5" customHeight="1" thickTop="1" x14ac:dyDescent="0.45">
      <c r="B50" s="224" t="s">
        <v>732</v>
      </c>
      <c r="C50" s="218" t="s">
        <v>720</v>
      </c>
      <c r="D50" s="219"/>
      <c r="E50" s="222" t="s">
        <v>744</v>
      </c>
      <c r="F50" s="283"/>
      <c r="G50" s="283"/>
      <c r="H50" s="284"/>
      <c r="I50" s="244" t="s">
        <v>732</v>
      </c>
      <c r="J50" s="218" t="s">
        <v>720</v>
      </c>
      <c r="K50" s="219"/>
      <c r="L50" s="222" t="s">
        <v>783</v>
      </c>
      <c r="M50" s="222"/>
      <c r="N50" s="222"/>
      <c r="O50" s="223"/>
    </row>
    <row r="51" spans="2:15" ht="17.5" thickBot="1" x14ac:dyDescent="0.5">
      <c r="B51" s="285"/>
      <c r="C51" s="254"/>
      <c r="D51" s="255"/>
      <c r="E51" s="47" t="s">
        <v>611</v>
      </c>
      <c r="F51" s="47" t="s">
        <v>612</v>
      </c>
      <c r="G51" s="60" t="s">
        <v>731</v>
      </c>
      <c r="H51" s="48" t="s">
        <v>593</v>
      </c>
      <c r="I51" s="253"/>
      <c r="J51" s="254"/>
      <c r="K51" s="255"/>
      <c r="L51" s="47" t="s">
        <v>611</v>
      </c>
      <c r="M51" s="47" t="s">
        <v>612</v>
      </c>
      <c r="N51" s="47" t="s">
        <v>731</v>
      </c>
      <c r="O51" s="48" t="s">
        <v>593</v>
      </c>
    </row>
    <row r="52" spans="2:15" ht="17.5" thickTop="1" x14ac:dyDescent="0.45">
      <c r="B52" s="248" t="s">
        <v>746</v>
      </c>
      <c r="C52" s="282" t="s">
        <v>738</v>
      </c>
      <c r="D52" s="52" t="s">
        <v>723</v>
      </c>
      <c r="E52" s="53">
        <v>54900</v>
      </c>
      <c r="F52" s="53">
        <v>50900</v>
      </c>
      <c r="G52" s="53">
        <f>ROUNDDOWN(F52*90%,-1)</f>
        <v>45810</v>
      </c>
      <c r="H52" s="54">
        <v>287400</v>
      </c>
      <c r="I52" s="248" t="s">
        <v>784</v>
      </c>
      <c r="J52" s="251" t="s">
        <v>738</v>
      </c>
      <c r="K52" s="52" t="s">
        <v>723</v>
      </c>
      <c r="L52" s="53">
        <v>37900</v>
      </c>
      <c r="M52" s="53">
        <v>33900</v>
      </c>
      <c r="N52" s="53">
        <f>ROUNDDOWN(M52*90%,-1)</f>
        <v>30510</v>
      </c>
      <c r="O52" s="54">
        <v>242500</v>
      </c>
    </row>
    <row r="53" spans="2:15" x14ac:dyDescent="0.45">
      <c r="B53" s="249"/>
      <c r="C53" s="237"/>
      <c r="D53" s="42" t="s">
        <v>724</v>
      </c>
      <c r="E53" s="40">
        <v>52400</v>
      </c>
      <c r="F53" s="40">
        <v>48400</v>
      </c>
      <c r="G53" s="62">
        <f t="shared" ref="G53:G67" si="5">ROUNDDOWN(F53*90%,-1)</f>
        <v>43560</v>
      </c>
      <c r="H53" s="50">
        <v>287400</v>
      </c>
      <c r="I53" s="249"/>
      <c r="J53" s="232"/>
      <c r="K53" s="42" t="s">
        <v>724</v>
      </c>
      <c r="L53" s="40">
        <v>36900</v>
      </c>
      <c r="M53" s="40">
        <v>32900</v>
      </c>
      <c r="N53" s="62">
        <f t="shared" ref="N53:N59" si="6">ROUNDDOWN(M53*90%,-1)</f>
        <v>29610</v>
      </c>
      <c r="O53" s="50">
        <v>242500</v>
      </c>
    </row>
    <row r="54" spans="2:15" x14ac:dyDescent="0.45">
      <c r="B54" s="249"/>
      <c r="C54" s="237"/>
      <c r="D54" s="42" t="s">
        <v>725</v>
      </c>
      <c r="E54" s="40">
        <v>50900</v>
      </c>
      <c r="F54" s="40">
        <v>46900</v>
      </c>
      <c r="G54" s="62">
        <f t="shared" si="5"/>
        <v>42210</v>
      </c>
      <c r="H54" s="50">
        <v>359300</v>
      </c>
      <c r="I54" s="249"/>
      <c r="J54" s="232"/>
      <c r="K54" s="42" t="s">
        <v>725</v>
      </c>
      <c r="L54" s="40">
        <v>35900</v>
      </c>
      <c r="M54" s="40">
        <v>31900</v>
      </c>
      <c r="N54" s="62">
        <f t="shared" si="6"/>
        <v>28710</v>
      </c>
      <c r="O54" s="50">
        <v>303100</v>
      </c>
    </row>
    <row r="55" spans="2:15" x14ac:dyDescent="0.45">
      <c r="B55" s="249"/>
      <c r="C55" s="237"/>
      <c r="D55" s="43" t="s">
        <v>726</v>
      </c>
      <c r="E55" s="55">
        <v>49400</v>
      </c>
      <c r="F55" s="55">
        <v>45400</v>
      </c>
      <c r="G55" s="63">
        <f t="shared" si="5"/>
        <v>40860</v>
      </c>
      <c r="H55" s="56">
        <v>359300</v>
      </c>
      <c r="I55" s="261"/>
      <c r="J55" s="232"/>
      <c r="K55" s="43" t="s">
        <v>726</v>
      </c>
      <c r="L55" s="55">
        <v>34900</v>
      </c>
      <c r="M55" s="55">
        <v>30900</v>
      </c>
      <c r="N55" s="63">
        <f t="shared" si="6"/>
        <v>27810</v>
      </c>
      <c r="O55" s="56">
        <v>303100</v>
      </c>
    </row>
    <row r="56" spans="2:15" x14ac:dyDescent="0.45">
      <c r="B56" s="256" t="s">
        <v>747</v>
      </c>
      <c r="C56" s="237"/>
      <c r="D56" s="45" t="s">
        <v>723</v>
      </c>
      <c r="E56" s="46">
        <v>50900</v>
      </c>
      <c r="F56" s="46">
        <v>46900</v>
      </c>
      <c r="G56" s="64">
        <f t="shared" si="5"/>
        <v>42210</v>
      </c>
      <c r="H56" s="49">
        <v>276200</v>
      </c>
      <c r="I56" s="286" t="s">
        <v>785</v>
      </c>
      <c r="J56" s="231" t="s">
        <v>738</v>
      </c>
      <c r="K56" s="45" t="s">
        <v>910</v>
      </c>
      <c r="L56" s="46">
        <v>34900</v>
      </c>
      <c r="M56" s="46">
        <v>31900</v>
      </c>
      <c r="N56" s="64">
        <f t="shared" si="6"/>
        <v>28710</v>
      </c>
      <c r="O56" s="49">
        <v>242500</v>
      </c>
    </row>
    <row r="57" spans="2:15" x14ac:dyDescent="0.45">
      <c r="B57" s="249"/>
      <c r="C57" s="237"/>
      <c r="D57" s="42" t="s">
        <v>724</v>
      </c>
      <c r="E57" s="40">
        <v>48400</v>
      </c>
      <c r="F57" s="40">
        <v>44400</v>
      </c>
      <c r="G57" s="62">
        <f t="shared" si="5"/>
        <v>39960</v>
      </c>
      <c r="H57" s="50">
        <v>276200</v>
      </c>
      <c r="I57" s="287"/>
      <c r="J57" s="232"/>
      <c r="K57" s="42" t="s">
        <v>911</v>
      </c>
      <c r="L57" s="40">
        <v>33900</v>
      </c>
      <c r="M57" s="40">
        <v>30900</v>
      </c>
      <c r="N57" s="62">
        <f t="shared" si="6"/>
        <v>27810</v>
      </c>
      <c r="O57" s="50">
        <v>242500</v>
      </c>
    </row>
    <row r="58" spans="2:15" x14ac:dyDescent="0.45">
      <c r="B58" s="249"/>
      <c r="C58" s="237"/>
      <c r="D58" s="42" t="s">
        <v>725</v>
      </c>
      <c r="E58" s="40">
        <v>46900</v>
      </c>
      <c r="F58" s="40">
        <v>42900</v>
      </c>
      <c r="G58" s="62">
        <f t="shared" si="5"/>
        <v>38610</v>
      </c>
      <c r="H58" s="50">
        <v>345300</v>
      </c>
      <c r="I58" s="287"/>
      <c r="J58" s="232"/>
      <c r="K58" s="42" t="s">
        <v>912</v>
      </c>
      <c r="L58" s="40">
        <v>32900</v>
      </c>
      <c r="M58" s="40">
        <v>29900</v>
      </c>
      <c r="N58" s="62">
        <f t="shared" si="6"/>
        <v>26910</v>
      </c>
      <c r="O58" s="50">
        <v>303100</v>
      </c>
    </row>
    <row r="59" spans="2:15" ht="17.5" thickBot="1" x14ac:dyDescent="0.5">
      <c r="B59" s="249"/>
      <c r="C59" s="237"/>
      <c r="D59" s="57" t="s">
        <v>726</v>
      </c>
      <c r="E59" s="58">
        <v>45400</v>
      </c>
      <c r="F59" s="58">
        <v>41400</v>
      </c>
      <c r="G59" s="65">
        <f t="shared" si="5"/>
        <v>37260</v>
      </c>
      <c r="H59" s="59">
        <v>345300</v>
      </c>
      <c r="I59" s="288"/>
      <c r="J59" s="233"/>
      <c r="K59" s="44" t="s">
        <v>913</v>
      </c>
      <c r="L59" s="66">
        <v>31900</v>
      </c>
      <c r="M59" s="66">
        <v>28900</v>
      </c>
      <c r="N59" s="68">
        <f t="shared" si="6"/>
        <v>26010</v>
      </c>
      <c r="O59" s="67">
        <v>303100</v>
      </c>
    </row>
    <row r="60" spans="2:15" ht="17.5" thickTop="1" x14ac:dyDescent="0.45">
      <c r="B60" s="256" t="s">
        <v>746</v>
      </c>
      <c r="C60" s="234" t="s">
        <v>739</v>
      </c>
      <c r="D60" s="41" t="s">
        <v>723</v>
      </c>
      <c r="E60" s="39">
        <v>51900</v>
      </c>
      <c r="F60" s="39">
        <v>47900</v>
      </c>
      <c r="G60" s="69">
        <f t="shared" si="5"/>
        <v>43110</v>
      </c>
      <c r="H60" s="51">
        <v>287400</v>
      </c>
      <c r="I60" s="244" t="s">
        <v>732</v>
      </c>
      <c r="J60" s="218" t="s">
        <v>720</v>
      </c>
      <c r="K60" s="219"/>
      <c r="L60" s="222" t="s">
        <v>791</v>
      </c>
      <c r="M60" s="222"/>
      <c r="N60" s="222"/>
      <c r="O60" s="223"/>
    </row>
    <row r="61" spans="2:15" ht="17.5" thickBot="1" x14ac:dyDescent="0.5">
      <c r="B61" s="249"/>
      <c r="C61" s="237"/>
      <c r="D61" s="42" t="s">
        <v>724</v>
      </c>
      <c r="E61" s="40">
        <v>49400</v>
      </c>
      <c r="F61" s="40">
        <v>45400</v>
      </c>
      <c r="G61" s="62">
        <f t="shared" si="5"/>
        <v>40860</v>
      </c>
      <c r="H61" s="50">
        <v>287400</v>
      </c>
      <c r="I61" s="253"/>
      <c r="J61" s="254"/>
      <c r="K61" s="255"/>
      <c r="L61" s="47" t="s">
        <v>611</v>
      </c>
      <c r="M61" s="47" t="s">
        <v>612</v>
      </c>
      <c r="N61" s="47" t="s">
        <v>731</v>
      </c>
      <c r="O61" s="48" t="s">
        <v>593</v>
      </c>
    </row>
    <row r="62" spans="2:15" ht="17.5" thickTop="1" x14ac:dyDescent="0.45">
      <c r="B62" s="249"/>
      <c r="C62" s="237"/>
      <c r="D62" s="42" t="s">
        <v>725</v>
      </c>
      <c r="E62" s="40">
        <v>47900</v>
      </c>
      <c r="F62" s="40">
        <v>43900</v>
      </c>
      <c r="G62" s="62">
        <f t="shared" si="5"/>
        <v>39510</v>
      </c>
      <c r="H62" s="50">
        <v>359300</v>
      </c>
      <c r="I62" s="261" t="s">
        <v>792</v>
      </c>
      <c r="J62" s="251" t="s">
        <v>750</v>
      </c>
      <c r="K62" s="52" t="s">
        <v>723</v>
      </c>
      <c r="L62" s="53">
        <v>21900</v>
      </c>
      <c r="M62" s="53">
        <v>19900</v>
      </c>
      <c r="N62" s="267" t="s">
        <v>751</v>
      </c>
      <c r="O62" s="54">
        <v>188900</v>
      </c>
    </row>
    <row r="63" spans="2:15" x14ac:dyDescent="0.45">
      <c r="B63" s="249"/>
      <c r="C63" s="237"/>
      <c r="D63" s="43" t="s">
        <v>726</v>
      </c>
      <c r="E63" s="55">
        <v>46400</v>
      </c>
      <c r="F63" s="55">
        <v>42400</v>
      </c>
      <c r="G63" s="63">
        <f t="shared" si="5"/>
        <v>38160</v>
      </c>
      <c r="H63" s="56">
        <v>359300</v>
      </c>
      <c r="I63" s="272"/>
      <c r="J63" s="232"/>
      <c r="K63" s="42" t="s">
        <v>724</v>
      </c>
      <c r="L63" s="40">
        <v>20900</v>
      </c>
      <c r="M63" s="40">
        <v>18900</v>
      </c>
      <c r="N63" s="268"/>
      <c r="O63" s="50">
        <v>188900</v>
      </c>
    </row>
    <row r="64" spans="2:15" x14ac:dyDescent="0.45">
      <c r="B64" s="256" t="s">
        <v>747</v>
      </c>
      <c r="C64" s="237"/>
      <c r="D64" s="45" t="s">
        <v>723</v>
      </c>
      <c r="E64" s="46">
        <v>47900</v>
      </c>
      <c r="F64" s="46">
        <v>43900</v>
      </c>
      <c r="G64" s="64">
        <f t="shared" si="5"/>
        <v>39510</v>
      </c>
      <c r="H64" s="49">
        <v>276200</v>
      </c>
      <c r="I64" s="272"/>
      <c r="J64" s="232"/>
      <c r="K64" s="42" t="s">
        <v>725</v>
      </c>
      <c r="L64" s="40">
        <v>19900</v>
      </c>
      <c r="M64" s="40">
        <v>17900</v>
      </c>
      <c r="N64" s="268"/>
      <c r="O64" s="50">
        <v>236100</v>
      </c>
    </row>
    <row r="65" spans="2:15" x14ac:dyDescent="0.45">
      <c r="B65" s="249"/>
      <c r="C65" s="237"/>
      <c r="D65" s="42" t="s">
        <v>724</v>
      </c>
      <c r="E65" s="40">
        <v>45400</v>
      </c>
      <c r="F65" s="40">
        <v>41400</v>
      </c>
      <c r="G65" s="62">
        <f t="shared" si="5"/>
        <v>37260</v>
      </c>
      <c r="H65" s="50">
        <v>276200</v>
      </c>
      <c r="I65" s="272"/>
      <c r="J65" s="232"/>
      <c r="K65" s="43" t="s">
        <v>726</v>
      </c>
      <c r="L65" s="55">
        <v>18900</v>
      </c>
      <c r="M65" s="55">
        <v>16900</v>
      </c>
      <c r="N65" s="268"/>
      <c r="O65" s="56">
        <v>236100</v>
      </c>
    </row>
    <row r="66" spans="2:15" x14ac:dyDescent="0.45">
      <c r="B66" s="249"/>
      <c r="C66" s="237"/>
      <c r="D66" s="42" t="s">
        <v>725</v>
      </c>
      <c r="E66" s="40">
        <v>43900</v>
      </c>
      <c r="F66" s="40">
        <v>39900</v>
      </c>
      <c r="G66" s="62">
        <f t="shared" si="5"/>
        <v>35910</v>
      </c>
      <c r="H66" s="50">
        <v>345300</v>
      </c>
      <c r="I66" s="272"/>
      <c r="J66" s="231" t="s">
        <v>722</v>
      </c>
      <c r="K66" s="45" t="s">
        <v>727</v>
      </c>
      <c r="L66" s="46">
        <v>20900</v>
      </c>
      <c r="M66" s="46">
        <v>18900</v>
      </c>
      <c r="N66" s="268"/>
      <c r="O66" s="49">
        <v>188900</v>
      </c>
    </row>
    <row r="67" spans="2:15" ht="17.5" thickBot="1" x14ac:dyDescent="0.5">
      <c r="B67" s="250"/>
      <c r="C67" s="238"/>
      <c r="D67" s="44" t="s">
        <v>726</v>
      </c>
      <c r="E67" s="66">
        <v>42400</v>
      </c>
      <c r="F67" s="66">
        <v>38400</v>
      </c>
      <c r="G67" s="68">
        <f t="shared" si="5"/>
        <v>34560</v>
      </c>
      <c r="H67" s="67">
        <v>345300</v>
      </c>
      <c r="I67" s="272"/>
      <c r="J67" s="232"/>
      <c r="K67" s="42" t="s">
        <v>728</v>
      </c>
      <c r="L67" s="40">
        <v>19900</v>
      </c>
      <c r="M67" s="40">
        <v>17900</v>
      </c>
      <c r="N67" s="268"/>
      <c r="O67" s="50">
        <v>188900</v>
      </c>
    </row>
    <row r="68" spans="2:15" ht="17.5" thickTop="1" x14ac:dyDescent="0.45">
      <c r="B68" s="224" t="s">
        <v>732</v>
      </c>
      <c r="C68" s="218" t="s">
        <v>720</v>
      </c>
      <c r="D68" s="219"/>
      <c r="E68" s="222" t="s">
        <v>779</v>
      </c>
      <c r="F68" s="283"/>
      <c r="G68" s="283"/>
      <c r="H68" s="284"/>
      <c r="I68" s="272"/>
      <c r="J68" s="232"/>
      <c r="K68" s="42" t="s">
        <v>729</v>
      </c>
      <c r="L68" s="40">
        <v>18900</v>
      </c>
      <c r="M68" s="40">
        <v>16900</v>
      </c>
      <c r="N68" s="268"/>
      <c r="O68" s="50">
        <v>236100</v>
      </c>
    </row>
    <row r="69" spans="2:15" ht="17.5" thickBot="1" x14ac:dyDescent="0.5">
      <c r="B69" s="285"/>
      <c r="C69" s="254"/>
      <c r="D69" s="255"/>
      <c r="E69" s="47" t="s">
        <v>611</v>
      </c>
      <c r="F69" s="47" t="s">
        <v>612</v>
      </c>
      <c r="G69" s="60" t="s">
        <v>731</v>
      </c>
      <c r="H69" s="48" t="s">
        <v>593</v>
      </c>
      <c r="I69" s="273"/>
      <c r="J69" s="233"/>
      <c r="K69" s="44" t="s">
        <v>730</v>
      </c>
      <c r="L69" s="66">
        <v>17900</v>
      </c>
      <c r="M69" s="66">
        <v>15900</v>
      </c>
      <c r="N69" s="269"/>
      <c r="O69" s="67">
        <v>236100</v>
      </c>
    </row>
    <row r="70" spans="2:15" ht="17.5" thickTop="1" x14ac:dyDescent="0.45">
      <c r="B70" s="248" t="s">
        <v>780</v>
      </c>
      <c r="C70" s="251" t="s">
        <v>738</v>
      </c>
      <c r="D70" s="52" t="s">
        <v>723</v>
      </c>
      <c r="E70" s="53">
        <v>54900</v>
      </c>
      <c r="F70" s="53">
        <v>52900</v>
      </c>
      <c r="G70" s="53">
        <f>ROUNDDOWN(F70*90%,-1)</f>
        <v>47610</v>
      </c>
      <c r="H70" s="54">
        <v>298700</v>
      </c>
      <c r="I70" s="224" t="s">
        <v>732</v>
      </c>
      <c r="J70" s="218" t="s">
        <v>720</v>
      </c>
      <c r="K70" s="219"/>
      <c r="L70" s="222" t="s">
        <v>1214</v>
      </c>
      <c r="M70" s="283"/>
      <c r="N70" s="283"/>
      <c r="O70" s="284"/>
    </row>
    <row r="71" spans="2:15" ht="17.5" thickBot="1" x14ac:dyDescent="0.5">
      <c r="B71" s="249"/>
      <c r="C71" s="232"/>
      <c r="D71" s="42" t="s">
        <v>724</v>
      </c>
      <c r="E71" s="40">
        <v>52400</v>
      </c>
      <c r="F71" s="40">
        <v>50400</v>
      </c>
      <c r="G71" s="62">
        <f t="shared" ref="G71:G72" si="7">ROUNDDOWN(F71*90%,-1)</f>
        <v>45360</v>
      </c>
      <c r="H71" s="50">
        <v>298700</v>
      </c>
      <c r="I71" s="285"/>
      <c r="J71" s="254"/>
      <c r="K71" s="255"/>
      <c r="L71" s="47" t="s">
        <v>611</v>
      </c>
      <c r="M71" s="47" t="s">
        <v>612</v>
      </c>
      <c r="N71" s="60" t="s">
        <v>731</v>
      </c>
      <c r="O71" s="48" t="s">
        <v>593</v>
      </c>
    </row>
    <row r="72" spans="2:15" ht="18" customHeight="1" thickTop="1" thickBot="1" x14ac:dyDescent="0.5">
      <c r="B72" s="250"/>
      <c r="C72" s="233"/>
      <c r="D72" s="44" t="s">
        <v>725</v>
      </c>
      <c r="E72" s="66">
        <v>50900</v>
      </c>
      <c r="F72" s="66">
        <v>48900</v>
      </c>
      <c r="G72" s="68">
        <f t="shared" si="7"/>
        <v>44010</v>
      </c>
      <c r="H72" s="67">
        <v>373400</v>
      </c>
      <c r="I72" s="248" t="s">
        <v>735</v>
      </c>
      <c r="J72" s="282" t="s">
        <v>738</v>
      </c>
      <c r="K72" s="52" t="s">
        <v>723</v>
      </c>
      <c r="L72" s="53">
        <v>59900</v>
      </c>
      <c r="M72" s="53">
        <v>54900</v>
      </c>
      <c r="N72" s="53">
        <f>ROUNDDOWN(M72*90%,-1)</f>
        <v>49410</v>
      </c>
      <c r="O72" s="54">
        <v>298700</v>
      </c>
    </row>
    <row r="73" spans="2:15" ht="17.5" thickTop="1" x14ac:dyDescent="0.45">
      <c r="B73" s="244" t="s">
        <v>732</v>
      </c>
      <c r="C73" s="218" t="s">
        <v>720</v>
      </c>
      <c r="D73" s="219"/>
      <c r="E73" s="222" t="s">
        <v>927</v>
      </c>
      <c r="F73" s="222"/>
      <c r="G73" s="271"/>
      <c r="H73" s="223"/>
      <c r="I73" s="249"/>
      <c r="J73" s="237"/>
      <c r="K73" s="42" t="s">
        <v>724</v>
      </c>
      <c r="L73" s="40">
        <v>56400</v>
      </c>
      <c r="M73" s="40">
        <v>51400</v>
      </c>
      <c r="N73" s="62">
        <f t="shared" ref="N73:N87" si="8">ROUNDDOWN(M73*90%,-1)</f>
        <v>46260</v>
      </c>
      <c r="O73" s="50">
        <v>298700</v>
      </c>
    </row>
    <row r="74" spans="2:15" ht="17.5" thickBot="1" x14ac:dyDescent="0.5">
      <c r="B74" s="253"/>
      <c r="C74" s="254"/>
      <c r="D74" s="255"/>
      <c r="E74" s="112" t="s">
        <v>611</v>
      </c>
      <c r="F74" s="112" t="s">
        <v>612</v>
      </c>
      <c r="G74" s="60" t="s">
        <v>731</v>
      </c>
      <c r="H74" s="48" t="s">
        <v>593</v>
      </c>
      <c r="I74" s="249"/>
      <c r="J74" s="237"/>
      <c r="K74" s="42" t="s">
        <v>725</v>
      </c>
      <c r="L74" s="40">
        <v>54900</v>
      </c>
      <c r="M74" s="40">
        <v>49900</v>
      </c>
      <c r="N74" s="62">
        <f t="shared" si="8"/>
        <v>44910</v>
      </c>
      <c r="O74" s="50">
        <v>373400</v>
      </c>
    </row>
    <row r="75" spans="2:15" ht="17.5" thickTop="1" x14ac:dyDescent="0.45">
      <c r="B75" s="261" t="s">
        <v>928</v>
      </c>
      <c r="C75" s="251" t="s">
        <v>738</v>
      </c>
      <c r="D75" s="52" t="s">
        <v>723</v>
      </c>
      <c r="E75" s="53">
        <v>65900</v>
      </c>
      <c r="F75" s="53">
        <v>60900</v>
      </c>
      <c r="G75" s="53">
        <f>ROUNDDOWN(F75*90%,-1)</f>
        <v>54810</v>
      </c>
      <c r="H75" s="54">
        <v>309900</v>
      </c>
      <c r="I75" s="249"/>
      <c r="J75" s="237"/>
      <c r="K75" s="43" t="s">
        <v>726</v>
      </c>
      <c r="L75" s="55">
        <v>53400</v>
      </c>
      <c r="M75" s="55">
        <v>48400</v>
      </c>
      <c r="N75" s="63">
        <f t="shared" si="8"/>
        <v>43560</v>
      </c>
      <c r="O75" s="56">
        <v>373400</v>
      </c>
    </row>
    <row r="76" spans="2:15" x14ac:dyDescent="0.45">
      <c r="B76" s="272"/>
      <c r="C76" s="232"/>
      <c r="D76" s="42" t="s">
        <v>724</v>
      </c>
      <c r="E76" s="40">
        <v>61900</v>
      </c>
      <c r="F76" s="40">
        <v>56900</v>
      </c>
      <c r="G76" s="62">
        <f t="shared" ref="G76:G82" si="9">ROUNDDOWN(F76*90%,-1)</f>
        <v>51210</v>
      </c>
      <c r="H76" s="50">
        <v>309900</v>
      </c>
      <c r="I76" s="256" t="s">
        <v>736</v>
      </c>
      <c r="J76" s="237"/>
      <c r="K76" s="45" t="s">
        <v>723</v>
      </c>
      <c r="L76" s="46">
        <v>56900</v>
      </c>
      <c r="M76" s="46">
        <v>50900</v>
      </c>
      <c r="N76" s="64">
        <f t="shared" si="8"/>
        <v>45810</v>
      </c>
      <c r="O76" s="49">
        <v>287400</v>
      </c>
    </row>
    <row r="77" spans="2:15" x14ac:dyDescent="0.45">
      <c r="B77" s="272"/>
      <c r="C77" s="232"/>
      <c r="D77" s="42" t="s">
        <v>725</v>
      </c>
      <c r="E77" s="40">
        <v>58900</v>
      </c>
      <c r="F77" s="40">
        <v>53900</v>
      </c>
      <c r="G77" s="62">
        <f t="shared" si="9"/>
        <v>48510</v>
      </c>
      <c r="H77" s="50">
        <v>387400</v>
      </c>
      <c r="I77" s="249"/>
      <c r="J77" s="237"/>
      <c r="K77" s="42" t="s">
        <v>724</v>
      </c>
      <c r="L77" s="40">
        <v>52400</v>
      </c>
      <c r="M77" s="40">
        <v>47400</v>
      </c>
      <c r="N77" s="62">
        <f t="shared" si="8"/>
        <v>42660</v>
      </c>
      <c r="O77" s="50">
        <v>287400</v>
      </c>
    </row>
    <row r="78" spans="2:15" x14ac:dyDescent="0.45">
      <c r="B78" s="272"/>
      <c r="C78" s="270"/>
      <c r="D78" s="43" t="s">
        <v>726</v>
      </c>
      <c r="E78" s="55">
        <v>56900</v>
      </c>
      <c r="F78" s="55">
        <v>51900</v>
      </c>
      <c r="G78" s="63">
        <f t="shared" si="9"/>
        <v>46710</v>
      </c>
      <c r="H78" s="56">
        <v>387400</v>
      </c>
      <c r="I78" s="249"/>
      <c r="J78" s="237"/>
      <c r="K78" s="42" t="s">
        <v>725</v>
      </c>
      <c r="L78" s="40">
        <v>50900</v>
      </c>
      <c r="M78" s="40">
        <v>45900</v>
      </c>
      <c r="N78" s="62">
        <f t="shared" si="8"/>
        <v>41310</v>
      </c>
      <c r="O78" s="50">
        <v>359300</v>
      </c>
    </row>
    <row r="79" spans="2:15" x14ac:dyDescent="0.45">
      <c r="B79" s="272"/>
      <c r="C79" s="231" t="s">
        <v>739</v>
      </c>
      <c r="D79" s="45" t="s">
        <v>723</v>
      </c>
      <c r="E79" s="46">
        <v>62900</v>
      </c>
      <c r="F79" s="46">
        <v>57900</v>
      </c>
      <c r="G79" s="64">
        <f t="shared" si="9"/>
        <v>52110</v>
      </c>
      <c r="H79" s="49">
        <v>298700</v>
      </c>
      <c r="I79" s="249"/>
      <c r="J79" s="237"/>
      <c r="K79" s="57" t="s">
        <v>726</v>
      </c>
      <c r="L79" s="58">
        <v>49400</v>
      </c>
      <c r="M79" s="58">
        <v>44400</v>
      </c>
      <c r="N79" s="65">
        <f t="shared" si="8"/>
        <v>39960</v>
      </c>
      <c r="O79" s="59">
        <v>359300</v>
      </c>
    </row>
    <row r="80" spans="2:15" x14ac:dyDescent="0.45">
      <c r="B80" s="272"/>
      <c r="C80" s="232"/>
      <c r="D80" s="42" t="s">
        <v>724</v>
      </c>
      <c r="E80" s="40">
        <v>58900</v>
      </c>
      <c r="F80" s="40">
        <v>53900</v>
      </c>
      <c r="G80" s="62">
        <f t="shared" si="9"/>
        <v>48510</v>
      </c>
      <c r="H80" s="50">
        <v>298700</v>
      </c>
      <c r="I80" s="256" t="s">
        <v>735</v>
      </c>
      <c r="J80" s="234" t="s">
        <v>739</v>
      </c>
      <c r="K80" s="41" t="s">
        <v>723</v>
      </c>
      <c r="L80" s="39">
        <v>56900</v>
      </c>
      <c r="M80" s="39">
        <v>51900</v>
      </c>
      <c r="N80" s="69">
        <f t="shared" si="8"/>
        <v>46710</v>
      </c>
      <c r="O80" s="51">
        <v>287400</v>
      </c>
    </row>
    <row r="81" spans="2:15" x14ac:dyDescent="0.45">
      <c r="B81" s="272"/>
      <c r="C81" s="232"/>
      <c r="D81" s="42" t="s">
        <v>725</v>
      </c>
      <c r="E81" s="40">
        <v>55900</v>
      </c>
      <c r="F81" s="40">
        <v>50900</v>
      </c>
      <c r="G81" s="62">
        <f t="shared" si="9"/>
        <v>45810</v>
      </c>
      <c r="H81" s="50">
        <v>373400</v>
      </c>
      <c r="I81" s="249"/>
      <c r="J81" s="237"/>
      <c r="K81" s="42" t="s">
        <v>724</v>
      </c>
      <c r="L81" s="40">
        <v>53400</v>
      </c>
      <c r="M81" s="40">
        <v>48400</v>
      </c>
      <c r="N81" s="62">
        <f t="shared" si="8"/>
        <v>43560</v>
      </c>
      <c r="O81" s="50">
        <v>287400</v>
      </c>
    </row>
    <row r="82" spans="2:15" ht="17.5" thickBot="1" x14ac:dyDescent="0.5">
      <c r="B82" s="273"/>
      <c r="C82" s="233"/>
      <c r="D82" s="44" t="s">
        <v>726</v>
      </c>
      <c r="E82" s="66">
        <v>53900</v>
      </c>
      <c r="F82" s="66">
        <v>48900</v>
      </c>
      <c r="G82" s="68">
        <f t="shared" si="9"/>
        <v>44010</v>
      </c>
      <c r="H82" s="67">
        <v>373400</v>
      </c>
      <c r="I82" s="249"/>
      <c r="J82" s="237"/>
      <c r="K82" s="42" t="s">
        <v>725</v>
      </c>
      <c r="L82" s="40">
        <v>51900</v>
      </c>
      <c r="M82" s="40">
        <v>46900</v>
      </c>
      <c r="N82" s="62">
        <f t="shared" si="8"/>
        <v>42210</v>
      </c>
      <c r="O82" s="50">
        <v>359300</v>
      </c>
    </row>
    <row r="83" spans="2:15" ht="17.5" thickTop="1" x14ac:dyDescent="0.45">
      <c r="B83" s="244" t="s">
        <v>732</v>
      </c>
      <c r="C83" s="218" t="s">
        <v>720</v>
      </c>
      <c r="D83" s="219"/>
      <c r="E83" s="222" t="s">
        <v>1045</v>
      </c>
      <c r="F83" s="222"/>
      <c r="G83" s="222"/>
      <c r="H83" s="223"/>
      <c r="I83" s="249"/>
      <c r="J83" s="237"/>
      <c r="K83" s="43" t="s">
        <v>726</v>
      </c>
      <c r="L83" s="58">
        <v>50400</v>
      </c>
      <c r="M83" s="58">
        <v>45400</v>
      </c>
      <c r="N83" s="65">
        <f t="shared" si="8"/>
        <v>40860</v>
      </c>
      <c r="O83" s="59">
        <v>359300</v>
      </c>
    </row>
    <row r="84" spans="2:15" ht="17.5" thickBot="1" x14ac:dyDescent="0.5">
      <c r="B84" s="253"/>
      <c r="C84" s="254"/>
      <c r="D84" s="255"/>
      <c r="E84" s="132" t="s">
        <v>611</v>
      </c>
      <c r="F84" s="132" t="s">
        <v>612</v>
      </c>
      <c r="G84" s="142" t="s">
        <v>731</v>
      </c>
      <c r="H84" s="143" t="s">
        <v>593</v>
      </c>
      <c r="I84" s="256" t="s">
        <v>736</v>
      </c>
      <c r="J84" s="237"/>
      <c r="K84" s="45" t="s">
        <v>723</v>
      </c>
      <c r="L84" s="39">
        <v>52900</v>
      </c>
      <c r="M84" s="39">
        <v>47900</v>
      </c>
      <c r="N84" s="69">
        <f t="shared" si="8"/>
        <v>43110</v>
      </c>
      <c r="O84" s="51">
        <v>276200</v>
      </c>
    </row>
    <row r="85" spans="2:15" ht="17.5" thickTop="1" x14ac:dyDescent="0.45">
      <c r="B85" s="274" t="s">
        <v>1048</v>
      </c>
      <c r="C85" s="277" t="s">
        <v>737</v>
      </c>
      <c r="D85" s="75" t="s">
        <v>723</v>
      </c>
      <c r="E85" s="53">
        <v>42900</v>
      </c>
      <c r="F85" s="61">
        <v>38900</v>
      </c>
      <c r="G85" s="53">
        <f>ROUNDDOWN(F85*90%,-1)</f>
        <v>35010</v>
      </c>
      <c r="H85" s="135">
        <v>264900</v>
      </c>
      <c r="I85" s="249"/>
      <c r="J85" s="237"/>
      <c r="K85" s="42" t="s">
        <v>724</v>
      </c>
      <c r="L85" s="40">
        <v>49400</v>
      </c>
      <c r="M85" s="40">
        <v>44400</v>
      </c>
      <c r="N85" s="62">
        <f t="shared" si="8"/>
        <v>39960</v>
      </c>
      <c r="O85" s="50">
        <v>276200</v>
      </c>
    </row>
    <row r="86" spans="2:15" x14ac:dyDescent="0.45">
      <c r="B86" s="275"/>
      <c r="C86" s="278"/>
      <c r="D86" s="73" t="s">
        <v>724</v>
      </c>
      <c r="E86" s="40">
        <v>39900</v>
      </c>
      <c r="F86" s="62">
        <v>35900</v>
      </c>
      <c r="G86" s="40">
        <f t="shared" ref="G86:G100" si="10">ROUNDDOWN(F86*90%,-1)</f>
        <v>32310</v>
      </c>
      <c r="H86" s="136">
        <v>264900</v>
      </c>
      <c r="I86" s="249"/>
      <c r="J86" s="237"/>
      <c r="K86" s="42" t="s">
        <v>725</v>
      </c>
      <c r="L86" s="40">
        <v>47900</v>
      </c>
      <c r="M86" s="40">
        <v>42900</v>
      </c>
      <c r="N86" s="62">
        <f t="shared" si="8"/>
        <v>38610</v>
      </c>
      <c r="O86" s="50">
        <v>345300</v>
      </c>
    </row>
    <row r="87" spans="2:15" ht="17.5" thickBot="1" x14ac:dyDescent="0.5">
      <c r="B87" s="275"/>
      <c r="C87" s="278"/>
      <c r="D87" s="73" t="s">
        <v>725</v>
      </c>
      <c r="E87" s="40">
        <v>37900</v>
      </c>
      <c r="F87" s="62">
        <v>33900</v>
      </c>
      <c r="G87" s="40">
        <f t="shared" si="10"/>
        <v>30510</v>
      </c>
      <c r="H87" s="136">
        <v>331100</v>
      </c>
      <c r="I87" s="250"/>
      <c r="J87" s="238"/>
      <c r="K87" s="44" t="s">
        <v>726</v>
      </c>
      <c r="L87" s="66">
        <v>46400</v>
      </c>
      <c r="M87" s="66">
        <v>41400</v>
      </c>
      <c r="N87" s="68">
        <f t="shared" si="8"/>
        <v>37260</v>
      </c>
      <c r="O87" s="67">
        <v>345300</v>
      </c>
    </row>
    <row r="88" spans="2:15" ht="17.5" thickTop="1" x14ac:dyDescent="0.45">
      <c r="B88" s="275"/>
      <c r="C88" s="278"/>
      <c r="D88" s="133" t="s">
        <v>726</v>
      </c>
      <c r="E88" s="55">
        <v>35900</v>
      </c>
      <c r="F88" s="63">
        <v>31900</v>
      </c>
      <c r="G88" s="55">
        <f t="shared" si="10"/>
        <v>28710</v>
      </c>
      <c r="H88" s="137">
        <v>331100</v>
      </c>
      <c r="I88" s="93"/>
      <c r="J88" s="77"/>
      <c r="K88" s="78"/>
      <c r="L88" s="79"/>
      <c r="M88" s="79"/>
      <c r="N88" s="80"/>
      <c r="O88" s="80"/>
    </row>
    <row r="89" spans="2:15" x14ac:dyDescent="0.45">
      <c r="B89" s="275"/>
      <c r="C89" s="278"/>
      <c r="D89" s="134" t="s">
        <v>727</v>
      </c>
      <c r="E89" s="46">
        <v>39900</v>
      </c>
      <c r="F89" s="64">
        <v>35900</v>
      </c>
      <c r="G89" s="46">
        <f t="shared" si="10"/>
        <v>32310</v>
      </c>
      <c r="H89" s="138">
        <v>242500</v>
      </c>
      <c r="I89" s="93"/>
      <c r="K89" s="78"/>
      <c r="L89" s="79"/>
      <c r="M89" s="79"/>
      <c r="N89" s="80"/>
      <c r="O89" s="80"/>
    </row>
    <row r="90" spans="2:15" x14ac:dyDescent="0.45">
      <c r="B90" s="275"/>
      <c r="C90" s="278"/>
      <c r="D90" s="73" t="s">
        <v>728</v>
      </c>
      <c r="E90" s="40">
        <v>36900</v>
      </c>
      <c r="F90" s="62">
        <v>32900</v>
      </c>
      <c r="G90" s="40">
        <f t="shared" si="10"/>
        <v>29610</v>
      </c>
      <c r="H90" s="136">
        <v>242500</v>
      </c>
      <c r="I90" s="93"/>
      <c r="J90" s="77"/>
      <c r="K90" s="77"/>
      <c r="L90" s="79"/>
      <c r="M90" s="79"/>
      <c r="N90" s="80"/>
      <c r="O90" s="80"/>
    </row>
    <row r="91" spans="2:15" x14ac:dyDescent="0.45">
      <c r="B91" s="275"/>
      <c r="C91" s="278"/>
      <c r="D91" s="73" t="s">
        <v>729</v>
      </c>
      <c r="E91" s="40">
        <v>34900</v>
      </c>
      <c r="F91" s="62">
        <v>30900</v>
      </c>
      <c r="G91" s="40">
        <f t="shared" si="10"/>
        <v>27810</v>
      </c>
      <c r="H91" s="136">
        <v>303100</v>
      </c>
      <c r="I91" s="93"/>
      <c r="J91" s="77"/>
      <c r="K91" s="78"/>
      <c r="L91" s="79"/>
      <c r="M91" s="79"/>
      <c r="N91" s="80"/>
      <c r="O91" s="80"/>
    </row>
    <row r="92" spans="2:15" x14ac:dyDescent="0.45">
      <c r="B92" s="276"/>
      <c r="C92" s="278"/>
      <c r="D92" s="76" t="s">
        <v>730</v>
      </c>
      <c r="E92" s="58">
        <v>32900</v>
      </c>
      <c r="F92" s="65">
        <v>28900</v>
      </c>
      <c r="G92" s="58">
        <f t="shared" si="10"/>
        <v>26010</v>
      </c>
      <c r="H92" s="139">
        <v>303100</v>
      </c>
      <c r="I92" s="93"/>
      <c r="J92" s="77"/>
      <c r="K92" s="78"/>
      <c r="L92" s="79"/>
      <c r="M92" s="79"/>
      <c r="N92" s="80"/>
      <c r="O92" s="80"/>
    </row>
    <row r="93" spans="2:15" x14ac:dyDescent="0.45">
      <c r="B93" s="280" t="s">
        <v>1049</v>
      </c>
      <c r="C93" s="278"/>
      <c r="D93" s="72" t="s">
        <v>723</v>
      </c>
      <c r="E93" s="39">
        <v>40900</v>
      </c>
      <c r="F93" s="69">
        <v>36900</v>
      </c>
      <c r="G93" s="39">
        <f t="shared" si="10"/>
        <v>33210</v>
      </c>
      <c r="H93" s="140">
        <v>253700</v>
      </c>
      <c r="I93" s="93"/>
      <c r="J93" s="77"/>
      <c r="K93" s="78"/>
      <c r="L93" s="79"/>
      <c r="M93" s="79"/>
      <c r="N93" s="80"/>
      <c r="O93" s="80"/>
    </row>
    <row r="94" spans="2:15" x14ac:dyDescent="0.45">
      <c r="B94" s="275"/>
      <c r="C94" s="278"/>
      <c r="D94" s="73" t="s">
        <v>724</v>
      </c>
      <c r="E94" s="40">
        <v>37900</v>
      </c>
      <c r="F94" s="62">
        <v>33900</v>
      </c>
      <c r="G94" s="40">
        <f t="shared" si="10"/>
        <v>30510</v>
      </c>
      <c r="H94" s="136">
        <v>253700</v>
      </c>
      <c r="I94" s="93"/>
      <c r="J94" s="77"/>
      <c r="K94" s="78"/>
      <c r="L94" s="79"/>
      <c r="M94" s="79"/>
      <c r="N94" s="80"/>
      <c r="O94" s="80"/>
    </row>
    <row r="95" spans="2:15" x14ac:dyDescent="0.45">
      <c r="B95" s="275"/>
      <c r="C95" s="278"/>
      <c r="D95" s="73" t="s">
        <v>725</v>
      </c>
      <c r="E95" s="40">
        <v>35900</v>
      </c>
      <c r="F95" s="62">
        <v>31900</v>
      </c>
      <c r="G95" s="40">
        <f t="shared" si="10"/>
        <v>28710</v>
      </c>
      <c r="H95" s="136">
        <v>317100</v>
      </c>
      <c r="I95" s="93"/>
      <c r="J95" s="77"/>
      <c r="K95" s="78"/>
      <c r="L95" s="79"/>
      <c r="M95" s="79"/>
      <c r="N95" s="80"/>
      <c r="O95" s="80"/>
    </row>
    <row r="96" spans="2:15" x14ac:dyDescent="0.45">
      <c r="B96" s="275"/>
      <c r="C96" s="278"/>
      <c r="D96" s="76" t="s">
        <v>726</v>
      </c>
      <c r="E96" s="58">
        <v>33900</v>
      </c>
      <c r="F96" s="65">
        <v>29900</v>
      </c>
      <c r="G96" s="58">
        <f t="shared" si="10"/>
        <v>26910</v>
      </c>
      <c r="H96" s="139">
        <v>317100</v>
      </c>
      <c r="I96" s="93"/>
      <c r="J96" s="77"/>
      <c r="K96" s="78"/>
      <c r="L96" s="79"/>
      <c r="M96" s="79"/>
      <c r="N96" s="80"/>
      <c r="O96" s="80"/>
    </row>
    <row r="97" spans="2:15" x14ac:dyDescent="0.45">
      <c r="B97" s="275"/>
      <c r="C97" s="278"/>
      <c r="D97" s="72" t="s">
        <v>727</v>
      </c>
      <c r="E97" s="39">
        <v>37900</v>
      </c>
      <c r="F97" s="69">
        <v>33900</v>
      </c>
      <c r="G97" s="39">
        <f t="shared" si="10"/>
        <v>30510</v>
      </c>
      <c r="H97" s="140">
        <v>242500</v>
      </c>
      <c r="I97" s="93"/>
      <c r="J97" s="77"/>
      <c r="K97" s="78"/>
      <c r="L97" s="79"/>
      <c r="M97" s="79"/>
      <c r="N97" s="80"/>
      <c r="O97" s="80"/>
    </row>
    <row r="98" spans="2:15" x14ac:dyDescent="0.45">
      <c r="B98" s="275"/>
      <c r="C98" s="278"/>
      <c r="D98" s="73" t="s">
        <v>728</v>
      </c>
      <c r="E98" s="40">
        <v>34900</v>
      </c>
      <c r="F98" s="62">
        <v>30900</v>
      </c>
      <c r="G98" s="40">
        <f t="shared" si="10"/>
        <v>27810</v>
      </c>
      <c r="H98" s="136">
        <v>242500</v>
      </c>
      <c r="I98" s="93"/>
      <c r="J98" s="77"/>
      <c r="K98" s="78"/>
      <c r="L98" s="79"/>
      <c r="M98" s="79"/>
      <c r="N98" s="80"/>
      <c r="O98" s="80"/>
    </row>
    <row r="99" spans="2:15" x14ac:dyDescent="0.45">
      <c r="B99" s="275"/>
      <c r="C99" s="278"/>
      <c r="D99" s="73" t="s">
        <v>729</v>
      </c>
      <c r="E99" s="40">
        <v>32900</v>
      </c>
      <c r="F99" s="62">
        <v>28900</v>
      </c>
      <c r="G99" s="40">
        <f t="shared" si="10"/>
        <v>26010</v>
      </c>
      <c r="H99" s="136">
        <v>303100</v>
      </c>
      <c r="I99" s="93"/>
      <c r="J99" s="77"/>
      <c r="K99" s="78"/>
      <c r="L99" s="79"/>
      <c r="M99" s="79"/>
      <c r="N99" s="80"/>
      <c r="O99" s="80"/>
    </row>
    <row r="100" spans="2:15" ht="17.5" thickBot="1" x14ac:dyDescent="0.5">
      <c r="B100" s="281"/>
      <c r="C100" s="279"/>
      <c r="D100" s="74" t="s">
        <v>730</v>
      </c>
      <c r="E100" s="66">
        <v>30900</v>
      </c>
      <c r="F100" s="68">
        <v>26900</v>
      </c>
      <c r="G100" s="66">
        <f t="shared" si="10"/>
        <v>24210</v>
      </c>
      <c r="H100" s="141">
        <v>303100</v>
      </c>
      <c r="I100" s="93"/>
      <c r="J100" s="77"/>
      <c r="K100" s="78"/>
      <c r="L100" s="79"/>
      <c r="M100" s="79"/>
      <c r="N100" s="80"/>
      <c r="O100" s="80"/>
    </row>
    <row r="101" spans="2:15" ht="18.5" thickTop="1" thickBot="1" x14ac:dyDescent="0.5">
      <c r="B101" s="70" t="s">
        <v>807</v>
      </c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</row>
    <row r="102" spans="2:15" ht="17.5" thickTop="1" x14ac:dyDescent="0.45">
      <c r="B102" s="244" t="s">
        <v>732</v>
      </c>
      <c r="C102" s="218" t="s">
        <v>720</v>
      </c>
      <c r="D102" s="219"/>
      <c r="E102" s="222" t="s">
        <v>789</v>
      </c>
      <c r="F102" s="222"/>
      <c r="G102" s="222"/>
      <c r="H102" s="223"/>
      <c r="I102" s="224" t="s">
        <v>732</v>
      </c>
      <c r="J102" s="218" t="s">
        <v>720</v>
      </c>
      <c r="K102" s="219"/>
      <c r="L102" s="222" t="s">
        <v>748</v>
      </c>
      <c r="M102" s="283"/>
      <c r="N102" s="283"/>
      <c r="O102" s="284"/>
    </row>
    <row r="103" spans="2:15" ht="17.5" thickBot="1" x14ac:dyDescent="0.5">
      <c r="B103" s="253"/>
      <c r="C103" s="254"/>
      <c r="D103" s="255"/>
      <c r="E103" s="47" t="s">
        <v>611</v>
      </c>
      <c r="F103" s="47" t="s">
        <v>612</v>
      </c>
      <c r="G103" s="47" t="s">
        <v>731</v>
      </c>
      <c r="H103" s="48" t="s">
        <v>593</v>
      </c>
      <c r="I103" s="285"/>
      <c r="J103" s="254"/>
      <c r="K103" s="255"/>
      <c r="L103" s="47" t="s">
        <v>611</v>
      </c>
      <c r="M103" s="47" t="s">
        <v>612</v>
      </c>
      <c r="N103" s="60" t="s">
        <v>731</v>
      </c>
      <c r="O103" s="48" t="s">
        <v>593</v>
      </c>
    </row>
    <row r="104" spans="2:15" ht="17.5" customHeight="1" thickTop="1" x14ac:dyDescent="0.45">
      <c r="B104" s="266" t="s">
        <v>790</v>
      </c>
      <c r="C104" s="251" t="s">
        <v>750</v>
      </c>
      <c r="D104" s="52" t="s">
        <v>723</v>
      </c>
      <c r="E104" s="53">
        <v>23800</v>
      </c>
      <c r="F104" s="53">
        <v>23800</v>
      </c>
      <c r="G104" s="267" t="s">
        <v>751</v>
      </c>
      <c r="H104" s="54">
        <v>200100</v>
      </c>
      <c r="I104" s="248" t="s">
        <v>749</v>
      </c>
      <c r="J104" s="282" t="s">
        <v>750</v>
      </c>
      <c r="K104" s="52" t="s">
        <v>723</v>
      </c>
      <c r="L104" s="53">
        <v>23900</v>
      </c>
      <c r="M104" s="53">
        <v>21900</v>
      </c>
      <c r="N104" s="267" t="s">
        <v>751</v>
      </c>
      <c r="O104" s="54">
        <v>188900</v>
      </c>
    </row>
    <row r="105" spans="2:15" x14ac:dyDescent="0.45">
      <c r="B105" s="272"/>
      <c r="C105" s="232"/>
      <c r="D105" s="42" t="s">
        <v>724</v>
      </c>
      <c r="E105" s="40">
        <v>21300</v>
      </c>
      <c r="F105" s="40">
        <v>21300</v>
      </c>
      <c r="G105" s="268"/>
      <c r="H105" s="50">
        <v>200100</v>
      </c>
      <c r="I105" s="249"/>
      <c r="J105" s="237"/>
      <c r="K105" s="42" t="s">
        <v>724</v>
      </c>
      <c r="L105" s="40">
        <v>21900</v>
      </c>
      <c r="M105" s="40">
        <v>19900</v>
      </c>
      <c r="N105" s="268"/>
      <c r="O105" s="50">
        <v>188900</v>
      </c>
    </row>
    <row r="106" spans="2:15" ht="17.5" thickBot="1" x14ac:dyDescent="0.5">
      <c r="B106" s="273"/>
      <c r="C106" s="233"/>
      <c r="D106" s="44" t="s">
        <v>725</v>
      </c>
      <c r="E106" s="66">
        <v>19800</v>
      </c>
      <c r="F106" s="66">
        <v>19800</v>
      </c>
      <c r="G106" s="269"/>
      <c r="H106" s="67">
        <v>250100</v>
      </c>
      <c r="I106" s="249"/>
      <c r="J106" s="237"/>
      <c r="K106" s="42" t="s">
        <v>725</v>
      </c>
      <c r="L106" s="40">
        <v>20900</v>
      </c>
      <c r="M106" s="40">
        <v>18900</v>
      </c>
      <c r="N106" s="268"/>
      <c r="O106" s="50">
        <v>236100</v>
      </c>
    </row>
    <row r="107" spans="2:15" ht="17.5" thickTop="1" x14ac:dyDescent="0.45">
      <c r="B107" s="244" t="s">
        <v>732</v>
      </c>
      <c r="C107" s="218" t="s">
        <v>720</v>
      </c>
      <c r="D107" s="219"/>
      <c r="E107" s="222" t="s">
        <v>781</v>
      </c>
      <c r="F107" s="222"/>
      <c r="G107" s="222"/>
      <c r="H107" s="223"/>
      <c r="I107" s="249"/>
      <c r="J107" s="237"/>
      <c r="K107" s="43" t="s">
        <v>726</v>
      </c>
      <c r="L107" s="55">
        <v>19900</v>
      </c>
      <c r="M107" s="55">
        <v>17900</v>
      </c>
      <c r="N107" s="268"/>
      <c r="O107" s="56">
        <v>236100</v>
      </c>
    </row>
    <row r="108" spans="2:15" ht="17.5" thickBot="1" x14ac:dyDescent="0.5">
      <c r="B108" s="253"/>
      <c r="C108" s="254"/>
      <c r="D108" s="255"/>
      <c r="E108" s="47" t="s">
        <v>611</v>
      </c>
      <c r="F108" s="47" t="s">
        <v>612</v>
      </c>
      <c r="G108" s="47" t="s">
        <v>731</v>
      </c>
      <c r="H108" s="48" t="s">
        <v>593</v>
      </c>
      <c r="I108" s="249"/>
      <c r="J108" s="234" t="s">
        <v>722</v>
      </c>
      <c r="K108" s="45" t="s">
        <v>727</v>
      </c>
      <c r="L108" s="46">
        <v>21900</v>
      </c>
      <c r="M108" s="46">
        <v>19900</v>
      </c>
      <c r="N108" s="268"/>
      <c r="O108" s="49">
        <v>188900</v>
      </c>
    </row>
    <row r="109" spans="2:15" ht="17.5" thickTop="1" x14ac:dyDescent="0.45">
      <c r="B109" s="261" t="s">
        <v>782</v>
      </c>
      <c r="C109" s="251" t="s">
        <v>750</v>
      </c>
      <c r="D109" s="52" t="s">
        <v>723</v>
      </c>
      <c r="E109" s="53">
        <v>44900</v>
      </c>
      <c r="F109" s="53">
        <v>40900</v>
      </c>
      <c r="G109" s="61">
        <v>36810</v>
      </c>
      <c r="H109" s="54">
        <v>264900</v>
      </c>
      <c r="I109" s="249"/>
      <c r="J109" s="237"/>
      <c r="K109" s="42" t="s">
        <v>728</v>
      </c>
      <c r="L109" s="40">
        <v>19900</v>
      </c>
      <c r="M109" s="40">
        <v>17900</v>
      </c>
      <c r="N109" s="268"/>
      <c r="O109" s="50">
        <v>188900</v>
      </c>
    </row>
    <row r="110" spans="2:15" x14ac:dyDescent="0.45">
      <c r="B110" s="272"/>
      <c r="C110" s="232"/>
      <c r="D110" s="42" t="s">
        <v>724</v>
      </c>
      <c r="E110" s="40">
        <v>41900</v>
      </c>
      <c r="F110" s="40">
        <v>37900</v>
      </c>
      <c r="G110" s="62">
        <v>34110</v>
      </c>
      <c r="H110" s="50">
        <v>264900</v>
      </c>
      <c r="I110" s="249"/>
      <c r="J110" s="237"/>
      <c r="K110" s="42" t="s">
        <v>729</v>
      </c>
      <c r="L110" s="40">
        <v>18900</v>
      </c>
      <c r="M110" s="40">
        <v>16900</v>
      </c>
      <c r="N110" s="268"/>
      <c r="O110" s="50">
        <v>236100</v>
      </c>
    </row>
    <row r="111" spans="2:15" ht="17.5" thickBot="1" x14ac:dyDescent="0.5">
      <c r="B111" s="272"/>
      <c r="C111" s="232"/>
      <c r="D111" s="42" t="s">
        <v>725</v>
      </c>
      <c r="E111" s="40">
        <v>39900</v>
      </c>
      <c r="F111" s="40">
        <v>35900</v>
      </c>
      <c r="G111" s="62">
        <v>32310</v>
      </c>
      <c r="H111" s="50">
        <v>331100</v>
      </c>
      <c r="I111" s="250"/>
      <c r="J111" s="238"/>
      <c r="K111" s="44" t="s">
        <v>730</v>
      </c>
      <c r="L111" s="66">
        <v>17900</v>
      </c>
      <c r="M111" s="66">
        <v>15900</v>
      </c>
      <c r="N111" s="269"/>
      <c r="O111" s="67">
        <v>236100</v>
      </c>
    </row>
    <row r="112" spans="2:15" ht="17.5" thickTop="1" x14ac:dyDescent="0.45">
      <c r="B112" s="272"/>
      <c r="C112" s="232"/>
      <c r="D112" s="43" t="s">
        <v>726</v>
      </c>
      <c r="E112" s="55">
        <v>37900</v>
      </c>
      <c r="F112" s="55">
        <v>33900</v>
      </c>
      <c r="G112" s="63">
        <v>30510</v>
      </c>
      <c r="H112" s="56">
        <v>331100</v>
      </c>
      <c r="I112" s="224" t="s">
        <v>732</v>
      </c>
      <c r="J112" s="218" t="s">
        <v>720</v>
      </c>
      <c r="K112" s="219"/>
      <c r="L112" s="222" t="s">
        <v>945</v>
      </c>
      <c r="M112" s="283"/>
      <c r="N112" s="283"/>
      <c r="O112" s="284"/>
    </row>
    <row r="113" spans="2:15" ht="17.5" thickBot="1" x14ac:dyDescent="0.5">
      <c r="B113" s="272"/>
      <c r="C113" s="231" t="s">
        <v>722</v>
      </c>
      <c r="D113" s="45" t="s">
        <v>727</v>
      </c>
      <c r="E113" s="46">
        <v>41900</v>
      </c>
      <c r="F113" s="46">
        <v>37900</v>
      </c>
      <c r="G113" s="64">
        <v>34110</v>
      </c>
      <c r="H113" s="49">
        <v>253700</v>
      </c>
      <c r="I113" s="285"/>
      <c r="J113" s="254"/>
      <c r="K113" s="255"/>
      <c r="L113" s="117" t="s">
        <v>611</v>
      </c>
      <c r="M113" s="117" t="s">
        <v>612</v>
      </c>
      <c r="N113" s="60" t="s">
        <v>731</v>
      </c>
      <c r="O113" s="48" t="s">
        <v>593</v>
      </c>
    </row>
    <row r="114" spans="2:15" ht="17.5" thickTop="1" x14ac:dyDescent="0.45">
      <c r="B114" s="272"/>
      <c r="C114" s="232"/>
      <c r="D114" s="42" t="s">
        <v>728</v>
      </c>
      <c r="E114" s="40">
        <v>38900</v>
      </c>
      <c r="F114" s="40">
        <v>34900</v>
      </c>
      <c r="G114" s="62">
        <v>31410</v>
      </c>
      <c r="H114" s="50">
        <v>253700</v>
      </c>
      <c r="I114" s="248" t="s">
        <v>946</v>
      </c>
      <c r="J114" s="282" t="s">
        <v>750</v>
      </c>
      <c r="K114" s="52" t="s">
        <v>723</v>
      </c>
      <c r="L114" s="53">
        <v>24900</v>
      </c>
      <c r="M114" s="53">
        <v>22900</v>
      </c>
      <c r="N114" s="267" t="s">
        <v>751</v>
      </c>
      <c r="O114" s="54">
        <v>200100</v>
      </c>
    </row>
    <row r="115" spans="2:15" x14ac:dyDescent="0.45">
      <c r="B115" s="272"/>
      <c r="C115" s="232"/>
      <c r="D115" s="42" t="s">
        <v>729</v>
      </c>
      <c r="E115" s="40">
        <v>36900</v>
      </c>
      <c r="F115" s="40">
        <v>32900</v>
      </c>
      <c r="G115" s="62">
        <v>29610</v>
      </c>
      <c r="H115" s="50">
        <v>317100</v>
      </c>
      <c r="I115" s="249"/>
      <c r="J115" s="237"/>
      <c r="K115" s="42" t="s">
        <v>724</v>
      </c>
      <c r="L115" s="40">
        <v>22900</v>
      </c>
      <c r="M115" s="40">
        <v>20900</v>
      </c>
      <c r="N115" s="268"/>
      <c r="O115" s="50">
        <v>200100</v>
      </c>
    </row>
    <row r="116" spans="2:15" ht="17.5" thickBot="1" x14ac:dyDescent="0.5">
      <c r="B116" s="273"/>
      <c r="C116" s="233"/>
      <c r="D116" s="44" t="s">
        <v>730</v>
      </c>
      <c r="E116" s="66">
        <v>34900</v>
      </c>
      <c r="F116" s="66">
        <v>30900</v>
      </c>
      <c r="G116" s="68">
        <v>27810</v>
      </c>
      <c r="H116" s="67">
        <v>317100</v>
      </c>
      <c r="I116" s="249"/>
      <c r="J116" s="237"/>
      <c r="K116" s="42" t="s">
        <v>725</v>
      </c>
      <c r="L116" s="40">
        <v>21900</v>
      </c>
      <c r="M116" s="40">
        <v>19900</v>
      </c>
      <c r="N116" s="268"/>
      <c r="O116" s="50">
        <v>250100</v>
      </c>
    </row>
    <row r="117" spans="2:15" ht="17.5" thickTop="1" x14ac:dyDescent="0.45">
      <c r="I117" s="249"/>
      <c r="J117" s="237"/>
      <c r="K117" s="43" t="s">
        <v>726</v>
      </c>
      <c r="L117" s="55">
        <v>20900</v>
      </c>
      <c r="M117" s="55">
        <v>18900</v>
      </c>
      <c r="N117" s="268"/>
      <c r="O117" s="56">
        <v>250100</v>
      </c>
    </row>
    <row r="118" spans="2:15" x14ac:dyDescent="0.45">
      <c r="I118" s="249"/>
      <c r="J118" s="234" t="s">
        <v>722</v>
      </c>
      <c r="K118" s="45" t="s">
        <v>727</v>
      </c>
      <c r="L118" s="46">
        <v>22900</v>
      </c>
      <c r="M118" s="46">
        <v>20900</v>
      </c>
      <c r="N118" s="268"/>
      <c r="O118" s="49">
        <v>188900</v>
      </c>
    </row>
    <row r="119" spans="2:15" x14ac:dyDescent="0.45">
      <c r="I119" s="249"/>
      <c r="J119" s="237"/>
      <c r="K119" s="42" t="s">
        <v>728</v>
      </c>
      <c r="L119" s="40">
        <v>20900</v>
      </c>
      <c r="M119" s="40">
        <v>18900</v>
      </c>
      <c r="N119" s="268"/>
      <c r="O119" s="50">
        <v>188900</v>
      </c>
    </row>
    <row r="120" spans="2:15" x14ac:dyDescent="0.45">
      <c r="I120" s="249"/>
      <c r="J120" s="237"/>
      <c r="K120" s="42" t="s">
        <v>729</v>
      </c>
      <c r="L120" s="40">
        <v>19900</v>
      </c>
      <c r="M120" s="40">
        <v>17900</v>
      </c>
      <c r="N120" s="268"/>
      <c r="O120" s="50">
        <v>236100</v>
      </c>
    </row>
    <row r="121" spans="2:15" ht="17.5" thickBot="1" x14ac:dyDescent="0.5">
      <c r="I121" s="250"/>
      <c r="J121" s="238"/>
      <c r="K121" s="44" t="s">
        <v>730</v>
      </c>
      <c r="L121" s="66">
        <v>18900</v>
      </c>
      <c r="M121" s="66">
        <v>16900</v>
      </c>
      <c r="N121" s="269"/>
      <c r="O121" s="67">
        <v>236100</v>
      </c>
    </row>
    <row r="122" spans="2:15" ht="17.5" thickTop="1" x14ac:dyDescent="0.45"/>
    <row r="124" spans="2:15" ht="18" thickBot="1" x14ac:dyDescent="0.5">
      <c r="B124" s="70" t="s">
        <v>808</v>
      </c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</row>
    <row r="125" spans="2:15" ht="17.5" thickTop="1" x14ac:dyDescent="0.45">
      <c r="B125" s="244" t="s">
        <v>732</v>
      </c>
      <c r="C125" s="218" t="s">
        <v>720</v>
      </c>
      <c r="D125" s="219"/>
      <c r="E125" s="222" t="s">
        <v>803</v>
      </c>
      <c r="F125" s="222"/>
      <c r="G125" s="222"/>
      <c r="H125" s="223"/>
      <c r="I125" s="224" t="s">
        <v>732</v>
      </c>
      <c r="J125" s="218" t="s">
        <v>720</v>
      </c>
      <c r="K125" s="219"/>
      <c r="L125" s="271" t="s">
        <v>793</v>
      </c>
      <c r="M125" s="283"/>
      <c r="N125" s="283"/>
      <c r="O125" s="284"/>
    </row>
    <row r="126" spans="2:15" ht="17.5" thickBot="1" x14ac:dyDescent="0.5">
      <c r="B126" s="253"/>
      <c r="C126" s="254"/>
      <c r="D126" s="255"/>
      <c r="E126" s="47" t="s">
        <v>611</v>
      </c>
      <c r="F126" s="47" t="s">
        <v>612</v>
      </c>
      <c r="G126" s="47" t="s">
        <v>731</v>
      </c>
      <c r="H126" s="48" t="s">
        <v>593</v>
      </c>
      <c r="I126" s="285"/>
      <c r="J126" s="254"/>
      <c r="K126" s="255"/>
      <c r="L126" s="47" t="s">
        <v>611</v>
      </c>
      <c r="M126" s="47" t="s">
        <v>612</v>
      </c>
      <c r="N126" s="60" t="s">
        <v>731</v>
      </c>
      <c r="O126" s="48" t="s">
        <v>593</v>
      </c>
    </row>
    <row r="127" spans="2:15" ht="17.5" thickTop="1" x14ac:dyDescent="0.45">
      <c r="B127" s="248" t="s">
        <v>804</v>
      </c>
      <c r="C127" s="251" t="s">
        <v>813</v>
      </c>
      <c r="D127" s="52" t="s">
        <v>723</v>
      </c>
      <c r="E127" s="53">
        <v>62900</v>
      </c>
      <c r="F127" s="53">
        <v>59900</v>
      </c>
      <c r="G127" s="53">
        <f>ROUNDDOWN(F127*90%,-1)</f>
        <v>53910</v>
      </c>
      <c r="H127" s="54">
        <v>309900</v>
      </c>
      <c r="I127" s="248" t="s">
        <v>797</v>
      </c>
      <c r="J127" s="282" t="s">
        <v>738</v>
      </c>
      <c r="K127" s="75" t="s">
        <v>723</v>
      </c>
      <c r="L127" s="53">
        <v>46500</v>
      </c>
      <c r="M127" s="53">
        <v>32900</v>
      </c>
      <c r="N127" s="53">
        <f>ROUNDDOWN(M127*90%,-1)</f>
        <v>29610</v>
      </c>
      <c r="O127" s="54">
        <v>242500</v>
      </c>
    </row>
    <row r="128" spans="2:15" x14ac:dyDescent="0.45">
      <c r="B128" s="249"/>
      <c r="C128" s="232"/>
      <c r="D128" s="42" t="s">
        <v>724</v>
      </c>
      <c r="E128" s="40">
        <v>60400</v>
      </c>
      <c r="F128" s="40">
        <v>57400</v>
      </c>
      <c r="G128" s="40">
        <f t="shared" ref="G128:G132" si="11">ROUNDDOWN(F128*90%,-1)</f>
        <v>51660</v>
      </c>
      <c r="H128" s="50">
        <v>309900</v>
      </c>
      <c r="I128" s="249"/>
      <c r="J128" s="237"/>
      <c r="K128" s="73" t="s">
        <v>724</v>
      </c>
      <c r="L128" s="40">
        <v>44000</v>
      </c>
      <c r="M128" s="40">
        <v>30400</v>
      </c>
      <c r="N128" s="62">
        <f t="shared" ref="N128:N138" si="12">ROUNDDOWN(M128*90%,-1)</f>
        <v>27360</v>
      </c>
      <c r="O128" s="50">
        <v>242500</v>
      </c>
    </row>
    <row r="129" spans="2:15" x14ac:dyDescent="0.45">
      <c r="B129" s="249"/>
      <c r="C129" s="232"/>
      <c r="D129" s="57" t="s">
        <v>725</v>
      </c>
      <c r="E129" s="58">
        <v>58900</v>
      </c>
      <c r="F129" s="58">
        <v>55900</v>
      </c>
      <c r="G129" s="58">
        <f t="shared" si="11"/>
        <v>50310</v>
      </c>
      <c r="H129" s="50">
        <v>387400</v>
      </c>
      <c r="I129" s="257"/>
      <c r="J129" s="237"/>
      <c r="K129" s="76" t="s">
        <v>725</v>
      </c>
      <c r="L129" s="58">
        <v>41500</v>
      </c>
      <c r="M129" s="58">
        <v>27900</v>
      </c>
      <c r="N129" s="65">
        <f t="shared" si="12"/>
        <v>25110</v>
      </c>
      <c r="O129" s="59">
        <v>303100</v>
      </c>
    </row>
    <row r="130" spans="2:15" x14ac:dyDescent="0.45">
      <c r="B130" s="249"/>
      <c r="C130" s="231" t="s">
        <v>814</v>
      </c>
      <c r="D130" s="41" t="s">
        <v>723</v>
      </c>
      <c r="E130" s="39">
        <v>63900</v>
      </c>
      <c r="F130" s="39">
        <v>60900</v>
      </c>
      <c r="G130" s="39">
        <f t="shared" si="11"/>
        <v>54810</v>
      </c>
      <c r="H130" s="49">
        <v>309900</v>
      </c>
      <c r="I130" s="256" t="s">
        <v>795</v>
      </c>
      <c r="J130" s="237"/>
      <c r="K130" s="72" t="s">
        <v>723</v>
      </c>
      <c r="L130" s="39">
        <v>48500</v>
      </c>
      <c r="M130" s="39">
        <v>34900</v>
      </c>
      <c r="N130" s="69">
        <f t="shared" si="12"/>
        <v>31410</v>
      </c>
      <c r="O130" s="51">
        <v>242500</v>
      </c>
    </row>
    <row r="131" spans="2:15" x14ac:dyDescent="0.45">
      <c r="B131" s="249"/>
      <c r="C131" s="232"/>
      <c r="D131" s="42" t="s">
        <v>724</v>
      </c>
      <c r="E131" s="40">
        <v>61400</v>
      </c>
      <c r="F131" s="40">
        <v>58400</v>
      </c>
      <c r="G131" s="40">
        <f t="shared" si="11"/>
        <v>52560</v>
      </c>
      <c r="H131" s="50">
        <v>309900</v>
      </c>
      <c r="I131" s="249"/>
      <c r="J131" s="237"/>
      <c r="K131" s="73" t="s">
        <v>724</v>
      </c>
      <c r="L131" s="40">
        <v>46000</v>
      </c>
      <c r="M131" s="40">
        <v>32400</v>
      </c>
      <c r="N131" s="62">
        <f t="shared" si="12"/>
        <v>29160</v>
      </c>
      <c r="O131" s="50">
        <v>242500</v>
      </c>
    </row>
    <row r="132" spans="2:15" ht="17.5" thickBot="1" x14ac:dyDescent="0.5">
      <c r="B132" s="250"/>
      <c r="C132" s="233"/>
      <c r="D132" s="44" t="s">
        <v>725</v>
      </c>
      <c r="E132" s="66">
        <v>59900</v>
      </c>
      <c r="F132" s="66">
        <v>56900</v>
      </c>
      <c r="G132" s="66">
        <f t="shared" si="11"/>
        <v>51210</v>
      </c>
      <c r="H132" s="67">
        <v>387400</v>
      </c>
      <c r="I132" s="257"/>
      <c r="J132" s="252"/>
      <c r="K132" s="73" t="s">
        <v>725</v>
      </c>
      <c r="L132" s="40">
        <v>43500</v>
      </c>
      <c r="M132" s="40">
        <v>29900</v>
      </c>
      <c r="N132" s="62">
        <f t="shared" si="12"/>
        <v>26910</v>
      </c>
      <c r="O132" s="50">
        <v>303100</v>
      </c>
    </row>
    <row r="133" spans="2:15" ht="17.5" thickTop="1" x14ac:dyDescent="0.45">
      <c r="B133" s="244" t="s">
        <v>732</v>
      </c>
      <c r="C133" s="218" t="s">
        <v>720</v>
      </c>
      <c r="D133" s="219"/>
      <c r="E133" s="222" t="s">
        <v>805</v>
      </c>
      <c r="F133" s="222"/>
      <c r="G133" s="222"/>
      <c r="H133" s="223"/>
      <c r="I133" s="256" t="s">
        <v>796</v>
      </c>
      <c r="J133" s="234" t="s">
        <v>739</v>
      </c>
      <c r="K133" s="72" t="s">
        <v>723</v>
      </c>
      <c r="L133" s="39">
        <v>44500</v>
      </c>
      <c r="M133" s="39">
        <v>30900</v>
      </c>
      <c r="N133" s="69">
        <f t="shared" si="12"/>
        <v>27810</v>
      </c>
      <c r="O133" s="51">
        <v>231200</v>
      </c>
    </row>
    <row r="134" spans="2:15" ht="17.5" thickBot="1" x14ac:dyDescent="0.5">
      <c r="B134" s="253"/>
      <c r="C134" s="254"/>
      <c r="D134" s="255"/>
      <c r="E134" s="47" t="s">
        <v>611</v>
      </c>
      <c r="F134" s="47" t="s">
        <v>612</v>
      </c>
      <c r="G134" s="47" t="s">
        <v>731</v>
      </c>
      <c r="H134" s="48" t="s">
        <v>593</v>
      </c>
      <c r="I134" s="249"/>
      <c r="J134" s="237"/>
      <c r="K134" s="73" t="s">
        <v>724</v>
      </c>
      <c r="L134" s="40">
        <v>42000</v>
      </c>
      <c r="M134" s="40">
        <v>28400</v>
      </c>
      <c r="N134" s="62">
        <f t="shared" si="12"/>
        <v>25560</v>
      </c>
      <c r="O134" s="50">
        <v>231200</v>
      </c>
    </row>
    <row r="135" spans="2:15" ht="17.5" customHeight="1" thickTop="1" x14ac:dyDescent="0.45">
      <c r="B135" s="248" t="s">
        <v>806</v>
      </c>
      <c r="C135" s="251" t="s">
        <v>738</v>
      </c>
      <c r="D135" s="52" t="s">
        <v>723</v>
      </c>
      <c r="E135" s="53">
        <v>55900</v>
      </c>
      <c r="F135" s="53">
        <v>52900</v>
      </c>
      <c r="G135" s="53">
        <f>ROUNDDOWN(F135*90%,-1)</f>
        <v>47610</v>
      </c>
      <c r="H135" s="54">
        <v>298700</v>
      </c>
      <c r="I135" s="249"/>
      <c r="J135" s="237"/>
      <c r="K135" s="76" t="s">
        <v>725</v>
      </c>
      <c r="L135" s="58">
        <v>39500</v>
      </c>
      <c r="M135" s="58">
        <v>25900</v>
      </c>
      <c r="N135" s="65">
        <f t="shared" si="12"/>
        <v>23310</v>
      </c>
      <c r="O135" s="59">
        <v>289000</v>
      </c>
    </row>
    <row r="136" spans="2:15" x14ac:dyDescent="0.45">
      <c r="B136" s="249"/>
      <c r="C136" s="232"/>
      <c r="D136" s="42" t="s">
        <v>724</v>
      </c>
      <c r="E136" s="40">
        <v>53400</v>
      </c>
      <c r="F136" s="40">
        <v>50400</v>
      </c>
      <c r="G136" s="40">
        <f t="shared" ref="G136:G137" si="13">ROUNDDOWN(F136*90%,-1)</f>
        <v>45360</v>
      </c>
      <c r="H136" s="50">
        <v>298700</v>
      </c>
      <c r="I136" s="256" t="s">
        <v>794</v>
      </c>
      <c r="J136" s="237"/>
      <c r="K136" s="72" t="s">
        <v>723</v>
      </c>
      <c r="L136" s="39">
        <v>46500</v>
      </c>
      <c r="M136" s="39">
        <v>32900</v>
      </c>
      <c r="N136" s="69">
        <f t="shared" si="12"/>
        <v>29610</v>
      </c>
      <c r="O136" s="51">
        <v>242500</v>
      </c>
    </row>
    <row r="137" spans="2:15" ht="17.5" thickBot="1" x14ac:dyDescent="0.5">
      <c r="B137" s="250"/>
      <c r="C137" s="232"/>
      <c r="D137" s="57" t="s">
        <v>725</v>
      </c>
      <c r="E137" s="58">
        <v>51900</v>
      </c>
      <c r="F137" s="58">
        <v>48900</v>
      </c>
      <c r="G137" s="58">
        <f t="shared" si="13"/>
        <v>44010</v>
      </c>
      <c r="H137" s="50">
        <v>373400</v>
      </c>
      <c r="I137" s="249"/>
      <c r="J137" s="237"/>
      <c r="K137" s="73" t="s">
        <v>724</v>
      </c>
      <c r="L137" s="40">
        <v>44000</v>
      </c>
      <c r="M137" s="40">
        <v>30400</v>
      </c>
      <c r="N137" s="62">
        <f t="shared" si="12"/>
        <v>27360</v>
      </c>
      <c r="O137" s="50">
        <v>242500</v>
      </c>
    </row>
    <row r="138" spans="2:15" ht="17.149999999999999" customHeight="1" thickTop="1" thickBot="1" x14ac:dyDescent="0.5">
      <c r="B138" s="244" t="s">
        <v>732</v>
      </c>
      <c r="C138" s="218" t="s">
        <v>720</v>
      </c>
      <c r="D138" s="219"/>
      <c r="E138" s="222" t="s">
        <v>801</v>
      </c>
      <c r="F138" s="222"/>
      <c r="G138" s="222"/>
      <c r="H138" s="223"/>
      <c r="I138" s="250"/>
      <c r="J138" s="238"/>
      <c r="K138" s="74" t="s">
        <v>725</v>
      </c>
      <c r="L138" s="66">
        <v>41500</v>
      </c>
      <c r="M138" s="66">
        <v>27900</v>
      </c>
      <c r="N138" s="68">
        <f t="shared" si="12"/>
        <v>25110</v>
      </c>
      <c r="O138" s="67">
        <v>303100</v>
      </c>
    </row>
    <row r="139" spans="2:15" ht="18" thickTop="1" thickBot="1" x14ac:dyDescent="0.5">
      <c r="B139" s="253"/>
      <c r="C139" s="254"/>
      <c r="D139" s="255"/>
      <c r="E139" s="47" t="s">
        <v>611</v>
      </c>
      <c r="F139" s="47" t="s">
        <v>612</v>
      </c>
      <c r="G139" s="47" t="s">
        <v>731</v>
      </c>
      <c r="H139" s="48" t="s">
        <v>593</v>
      </c>
      <c r="I139" s="244" t="s">
        <v>732</v>
      </c>
      <c r="J139" s="218" t="s">
        <v>720</v>
      </c>
      <c r="K139" s="219"/>
      <c r="L139" s="222" t="s">
        <v>798</v>
      </c>
      <c r="M139" s="222"/>
      <c r="N139" s="222"/>
      <c r="O139" s="223"/>
    </row>
    <row r="140" spans="2:15" ht="18" thickTop="1" thickBot="1" x14ac:dyDescent="0.5">
      <c r="B140" s="248" t="s">
        <v>802</v>
      </c>
      <c r="C140" s="251" t="s">
        <v>800</v>
      </c>
      <c r="D140" s="52" t="s">
        <v>723</v>
      </c>
      <c r="E140" s="53">
        <v>68900</v>
      </c>
      <c r="F140" s="53">
        <v>62900</v>
      </c>
      <c r="G140" s="267" t="s">
        <v>751</v>
      </c>
      <c r="H140" s="54">
        <v>321100</v>
      </c>
      <c r="I140" s="253"/>
      <c r="J140" s="254"/>
      <c r="K140" s="255"/>
      <c r="L140" s="47" t="s">
        <v>611</v>
      </c>
      <c r="M140" s="47" t="s">
        <v>612</v>
      </c>
      <c r="N140" s="47" t="s">
        <v>731</v>
      </c>
      <c r="O140" s="48" t="s">
        <v>593</v>
      </c>
    </row>
    <row r="141" spans="2:15" ht="17.5" thickTop="1" x14ac:dyDescent="0.45">
      <c r="B141" s="249"/>
      <c r="C141" s="232"/>
      <c r="D141" s="42" t="s">
        <v>724</v>
      </c>
      <c r="E141" s="40">
        <v>66400</v>
      </c>
      <c r="F141" s="40">
        <v>60400</v>
      </c>
      <c r="G141" s="268"/>
      <c r="H141" s="50">
        <v>321100</v>
      </c>
      <c r="I141" s="248" t="s">
        <v>799</v>
      </c>
      <c r="J141" s="251" t="s">
        <v>800</v>
      </c>
      <c r="K141" s="52" t="s">
        <v>723</v>
      </c>
      <c r="L141" s="53">
        <v>56900</v>
      </c>
      <c r="M141" s="53">
        <v>51900</v>
      </c>
      <c r="N141" s="267" t="s">
        <v>751</v>
      </c>
      <c r="O141" s="54">
        <v>287400</v>
      </c>
    </row>
    <row r="142" spans="2:15" x14ac:dyDescent="0.45">
      <c r="B142" s="249"/>
      <c r="C142" s="270"/>
      <c r="D142" s="42" t="s">
        <v>725</v>
      </c>
      <c r="E142" s="40">
        <v>64900</v>
      </c>
      <c r="F142" s="40">
        <v>58900</v>
      </c>
      <c r="G142" s="268"/>
      <c r="H142" s="50">
        <v>401400</v>
      </c>
      <c r="I142" s="249"/>
      <c r="J142" s="232"/>
      <c r="K142" s="42" t="s">
        <v>724</v>
      </c>
      <c r="L142" s="40">
        <v>54400</v>
      </c>
      <c r="M142" s="40">
        <v>49400</v>
      </c>
      <c r="N142" s="268"/>
      <c r="O142" s="50">
        <v>287400</v>
      </c>
    </row>
    <row r="143" spans="2:15" x14ac:dyDescent="0.45">
      <c r="B143" s="249"/>
      <c r="C143" s="231" t="s">
        <v>739</v>
      </c>
      <c r="D143" s="45" t="s">
        <v>723</v>
      </c>
      <c r="E143" s="46">
        <v>65900</v>
      </c>
      <c r="F143" s="46">
        <v>59900</v>
      </c>
      <c r="G143" s="268"/>
      <c r="H143" s="49">
        <v>309900</v>
      </c>
      <c r="I143" s="249"/>
      <c r="J143" s="270"/>
      <c r="K143" s="42" t="s">
        <v>725</v>
      </c>
      <c r="L143" s="40">
        <v>52900</v>
      </c>
      <c r="M143" s="40">
        <v>47900</v>
      </c>
      <c r="N143" s="268"/>
      <c r="O143" s="50">
        <v>359300</v>
      </c>
    </row>
    <row r="144" spans="2:15" x14ac:dyDescent="0.45">
      <c r="B144" s="249"/>
      <c r="C144" s="232"/>
      <c r="D144" s="42" t="s">
        <v>724</v>
      </c>
      <c r="E144" s="40">
        <v>63400</v>
      </c>
      <c r="F144" s="40">
        <v>57400</v>
      </c>
      <c r="G144" s="268"/>
      <c r="H144" s="50">
        <v>309900</v>
      </c>
      <c r="I144" s="249"/>
      <c r="J144" s="231" t="s">
        <v>739</v>
      </c>
      <c r="K144" s="45" t="s">
        <v>723</v>
      </c>
      <c r="L144" s="46">
        <v>53900</v>
      </c>
      <c r="M144" s="46">
        <v>48900</v>
      </c>
      <c r="N144" s="268"/>
      <c r="O144" s="49">
        <v>287400</v>
      </c>
    </row>
    <row r="145" spans="2:15" ht="17.5" thickBot="1" x14ac:dyDescent="0.5">
      <c r="B145" s="250"/>
      <c r="C145" s="233"/>
      <c r="D145" s="44" t="s">
        <v>725</v>
      </c>
      <c r="E145" s="66">
        <v>61900</v>
      </c>
      <c r="F145" s="66">
        <v>55900</v>
      </c>
      <c r="G145" s="269"/>
      <c r="H145" s="67">
        <v>387400</v>
      </c>
      <c r="I145" s="249"/>
      <c r="J145" s="232"/>
      <c r="K145" s="42" t="s">
        <v>724</v>
      </c>
      <c r="L145" s="40">
        <v>51400</v>
      </c>
      <c r="M145" s="40">
        <v>46400</v>
      </c>
      <c r="N145" s="268"/>
      <c r="O145" s="50">
        <v>287400</v>
      </c>
    </row>
    <row r="146" spans="2:15" ht="18" thickTop="1" thickBot="1" x14ac:dyDescent="0.5">
      <c r="B146" s="244" t="s">
        <v>732</v>
      </c>
      <c r="C146" s="218" t="s">
        <v>720</v>
      </c>
      <c r="D146" s="219"/>
      <c r="E146" s="222" t="s">
        <v>811</v>
      </c>
      <c r="F146" s="222"/>
      <c r="G146" s="222"/>
      <c r="H146" s="223"/>
      <c r="I146" s="250"/>
      <c r="J146" s="233"/>
      <c r="K146" s="44" t="s">
        <v>725</v>
      </c>
      <c r="L146" s="66">
        <v>49900</v>
      </c>
      <c r="M146" s="66">
        <v>44900</v>
      </c>
      <c r="N146" s="269"/>
      <c r="O146" s="67">
        <v>359300</v>
      </c>
    </row>
    <row r="147" spans="2:15" ht="18" thickTop="1" thickBot="1" x14ac:dyDescent="0.5">
      <c r="B147" s="253"/>
      <c r="C147" s="254"/>
      <c r="D147" s="255"/>
      <c r="E147" s="47" t="s">
        <v>611</v>
      </c>
      <c r="F147" s="47" t="s">
        <v>612</v>
      </c>
      <c r="G147" s="47" t="s">
        <v>731</v>
      </c>
      <c r="H147" s="48" t="s">
        <v>593</v>
      </c>
      <c r="I147" s="244" t="s">
        <v>732</v>
      </c>
      <c r="J147" s="218" t="s">
        <v>720</v>
      </c>
      <c r="K147" s="219"/>
      <c r="L147" s="222" t="s">
        <v>810</v>
      </c>
      <c r="M147" s="222"/>
      <c r="N147" s="222"/>
      <c r="O147" s="223"/>
    </row>
    <row r="148" spans="2:15" ht="18" thickTop="1" thickBot="1" x14ac:dyDescent="0.5">
      <c r="B148" s="266" t="s">
        <v>815</v>
      </c>
      <c r="C148" s="251" t="s">
        <v>738</v>
      </c>
      <c r="D148" s="52" t="s">
        <v>723</v>
      </c>
      <c r="E148" s="53">
        <v>64100</v>
      </c>
      <c r="F148" s="53">
        <v>64100</v>
      </c>
      <c r="G148" s="267" t="s">
        <v>751</v>
      </c>
      <c r="H148" s="54">
        <v>321100</v>
      </c>
      <c r="I148" s="253"/>
      <c r="J148" s="254"/>
      <c r="K148" s="255"/>
      <c r="L148" s="47" t="s">
        <v>611</v>
      </c>
      <c r="M148" s="47" t="s">
        <v>612</v>
      </c>
      <c r="N148" s="47" t="s">
        <v>731</v>
      </c>
      <c r="O148" s="48" t="s">
        <v>593</v>
      </c>
    </row>
    <row r="149" spans="2:15" ht="17.5" customHeight="1" thickTop="1" x14ac:dyDescent="0.45">
      <c r="B149" s="272"/>
      <c r="C149" s="232"/>
      <c r="D149" s="42" t="s">
        <v>724</v>
      </c>
      <c r="E149" s="40">
        <v>61600</v>
      </c>
      <c r="F149" s="40">
        <v>61600</v>
      </c>
      <c r="G149" s="268"/>
      <c r="H149" s="50">
        <v>321100</v>
      </c>
      <c r="I149" s="248" t="s">
        <v>809</v>
      </c>
      <c r="J149" s="251" t="s">
        <v>750</v>
      </c>
      <c r="K149" s="52" t="s">
        <v>723</v>
      </c>
      <c r="L149" s="53">
        <v>39900</v>
      </c>
      <c r="M149" s="53">
        <v>32900</v>
      </c>
      <c r="N149" s="53">
        <f>ROUNDDOWN(M149*90%,-1)</f>
        <v>29610</v>
      </c>
      <c r="O149" s="54">
        <v>242500</v>
      </c>
    </row>
    <row r="150" spans="2:15" ht="17.5" thickBot="1" x14ac:dyDescent="0.5">
      <c r="B150" s="273"/>
      <c r="C150" s="233"/>
      <c r="D150" s="44" t="s">
        <v>725</v>
      </c>
      <c r="E150" s="66">
        <v>60100</v>
      </c>
      <c r="F150" s="66">
        <v>60100</v>
      </c>
      <c r="G150" s="269"/>
      <c r="H150" s="67">
        <v>401400</v>
      </c>
      <c r="I150" s="249"/>
      <c r="J150" s="232"/>
      <c r="K150" s="42" t="s">
        <v>724</v>
      </c>
      <c r="L150" s="40">
        <v>37400</v>
      </c>
      <c r="M150" s="40">
        <v>30400</v>
      </c>
      <c r="N150" s="62">
        <f t="shared" ref="N150:N154" si="14">ROUNDDOWN(M150*90%,-1)</f>
        <v>27360</v>
      </c>
      <c r="O150" s="50">
        <v>242500</v>
      </c>
    </row>
    <row r="151" spans="2:15" ht="17.5" thickTop="1" x14ac:dyDescent="0.45">
      <c r="B151" s="244" t="s">
        <v>732</v>
      </c>
      <c r="C151" s="218" t="s">
        <v>720</v>
      </c>
      <c r="D151" s="219"/>
      <c r="E151" s="222" t="s">
        <v>812</v>
      </c>
      <c r="F151" s="222"/>
      <c r="G151" s="222"/>
      <c r="H151" s="223"/>
      <c r="I151" s="249"/>
      <c r="J151" s="232"/>
      <c r="K151" s="57" t="s">
        <v>725</v>
      </c>
      <c r="L151" s="58">
        <v>34900</v>
      </c>
      <c r="M151" s="58">
        <v>27900</v>
      </c>
      <c r="N151" s="65">
        <f t="shared" si="14"/>
        <v>25110</v>
      </c>
      <c r="O151" s="59">
        <v>303100</v>
      </c>
    </row>
    <row r="152" spans="2:15" ht="17.5" thickBot="1" x14ac:dyDescent="0.5">
      <c r="B152" s="253"/>
      <c r="C152" s="254"/>
      <c r="D152" s="255"/>
      <c r="E152" s="47" t="s">
        <v>611</v>
      </c>
      <c r="F152" s="47" t="s">
        <v>612</v>
      </c>
      <c r="G152" s="47" t="s">
        <v>731</v>
      </c>
      <c r="H152" s="48" t="s">
        <v>593</v>
      </c>
      <c r="I152" s="249"/>
      <c r="J152" s="231" t="s">
        <v>722</v>
      </c>
      <c r="K152" s="41" t="s">
        <v>727</v>
      </c>
      <c r="L152" s="39">
        <v>37900</v>
      </c>
      <c r="M152" s="39">
        <v>30900</v>
      </c>
      <c r="N152" s="69">
        <f t="shared" si="14"/>
        <v>27810</v>
      </c>
      <c r="O152" s="51">
        <v>231200</v>
      </c>
    </row>
    <row r="153" spans="2:15" ht="17.5" thickTop="1" x14ac:dyDescent="0.45">
      <c r="B153" s="266" t="s">
        <v>816</v>
      </c>
      <c r="C153" s="251" t="s">
        <v>738</v>
      </c>
      <c r="D153" s="52" t="s">
        <v>723</v>
      </c>
      <c r="E153" s="53">
        <v>55900</v>
      </c>
      <c r="F153" s="53">
        <v>55900</v>
      </c>
      <c r="G153" s="267" t="s">
        <v>751</v>
      </c>
      <c r="H153" s="54">
        <v>298700</v>
      </c>
      <c r="I153" s="249"/>
      <c r="J153" s="232"/>
      <c r="K153" s="42" t="s">
        <v>728</v>
      </c>
      <c r="L153" s="40">
        <v>35400</v>
      </c>
      <c r="M153" s="40">
        <v>28400</v>
      </c>
      <c r="N153" s="62">
        <f t="shared" si="14"/>
        <v>25560</v>
      </c>
      <c r="O153" s="50">
        <v>231200</v>
      </c>
    </row>
    <row r="154" spans="2:15" ht="17.5" thickBot="1" x14ac:dyDescent="0.5">
      <c r="B154" s="272"/>
      <c r="C154" s="232"/>
      <c r="D154" s="42" t="s">
        <v>724</v>
      </c>
      <c r="E154" s="40">
        <v>53400</v>
      </c>
      <c r="F154" s="40">
        <v>53400</v>
      </c>
      <c r="G154" s="268"/>
      <c r="H154" s="50">
        <v>298700</v>
      </c>
      <c r="I154" s="250"/>
      <c r="J154" s="233"/>
      <c r="K154" s="44" t="s">
        <v>729</v>
      </c>
      <c r="L154" s="66">
        <v>32900</v>
      </c>
      <c r="M154" s="66">
        <v>25900</v>
      </c>
      <c r="N154" s="68">
        <f t="shared" si="14"/>
        <v>23310</v>
      </c>
      <c r="O154" s="67">
        <v>289000</v>
      </c>
    </row>
    <row r="155" spans="2:15" ht="18" thickTop="1" thickBot="1" x14ac:dyDescent="0.5">
      <c r="B155" s="273"/>
      <c r="C155" s="233"/>
      <c r="D155" s="44" t="s">
        <v>725</v>
      </c>
      <c r="E155" s="66">
        <v>51900</v>
      </c>
      <c r="F155" s="66">
        <v>51900</v>
      </c>
      <c r="G155" s="269"/>
      <c r="H155" s="67">
        <v>373400</v>
      </c>
      <c r="I155" s="244" t="s">
        <v>732</v>
      </c>
      <c r="J155" s="218" t="s">
        <v>720</v>
      </c>
      <c r="K155" s="219"/>
      <c r="L155" s="271" t="s">
        <v>1010</v>
      </c>
      <c r="M155" s="283"/>
      <c r="N155" s="283"/>
      <c r="O155" s="284"/>
    </row>
    <row r="156" spans="2:15" ht="18" thickTop="1" thickBot="1" x14ac:dyDescent="0.5">
      <c r="B156" s="224" t="s">
        <v>732</v>
      </c>
      <c r="C156" s="218" t="s">
        <v>720</v>
      </c>
      <c r="D156" s="219"/>
      <c r="E156" s="271" t="s">
        <v>938</v>
      </c>
      <c r="F156" s="283"/>
      <c r="G156" s="283"/>
      <c r="H156" s="284"/>
      <c r="I156" s="253"/>
      <c r="J156" s="254"/>
      <c r="K156" s="255"/>
      <c r="L156" s="125" t="s">
        <v>611</v>
      </c>
      <c r="M156" s="125" t="s">
        <v>612</v>
      </c>
      <c r="N156" s="125" t="s">
        <v>731</v>
      </c>
      <c r="O156" s="48" t="s">
        <v>593</v>
      </c>
    </row>
    <row r="157" spans="2:15" ht="18" customHeight="1" thickTop="1" thickBot="1" x14ac:dyDescent="0.5">
      <c r="B157" s="285"/>
      <c r="C157" s="254"/>
      <c r="D157" s="255"/>
      <c r="E157" s="116" t="s">
        <v>611</v>
      </c>
      <c r="F157" s="116" t="s">
        <v>612</v>
      </c>
      <c r="G157" s="60" t="s">
        <v>731</v>
      </c>
      <c r="H157" s="48" t="s">
        <v>593</v>
      </c>
      <c r="I157" s="248" t="s">
        <v>1012</v>
      </c>
      <c r="J157" s="231" t="s">
        <v>738</v>
      </c>
      <c r="K157" s="41" t="s">
        <v>910</v>
      </c>
      <c r="L157" s="39">
        <v>49000</v>
      </c>
      <c r="M157" s="39">
        <v>32900</v>
      </c>
      <c r="N157" s="53">
        <f>ROUNDDOWN(M157*90%,-1)</f>
        <v>29610</v>
      </c>
      <c r="O157" s="51">
        <v>242500</v>
      </c>
    </row>
    <row r="158" spans="2:15" ht="17.5" thickTop="1" x14ac:dyDescent="0.45">
      <c r="B158" s="248" t="s">
        <v>941</v>
      </c>
      <c r="C158" s="282" t="s">
        <v>738</v>
      </c>
      <c r="D158" s="75" t="s">
        <v>723</v>
      </c>
      <c r="E158" s="53">
        <v>49000</v>
      </c>
      <c r="F158" s="53">
        <v>32900</v>
      </c>
      <c r="G158" s="53">
        <f>ROUNDDOWN(F158*90%,-1)</f>
        <v>29610</v>
      </c>
      <c r="H158" s="54">
        <v>242500</v>
      </c>
      <c r="I158" s="249"/>
      <c r="J158" s="232"/>
      <c r="K158" s="42" t="s">
        <v>911</v>
      </c>
      <c r="L158" s="40">
        <v>46000</v>
      </c>
      <c r="M158" s="40">
        <v>30400</v>
      </c>
      <c r="N158" s="40">
        <f t="shared" ref="N158:N159" si="15">ROUNDDOWN(M158*90%,-1)</f>
        <v>27360</v>
      </c>
      <c r="O158" s="50">
        <v>242500</v>
      </c>
    </row>
    <row r="159" spans="2:15" ht="17.5" thickBot="1" x14ac:dyDescent="0.5">
      <c r="B159" s="249"/>
      <c r="C159" s="237"/>
      <c r="D159" s="73" t="s">
        <v>724</v>
      </c>
      <c r="E159" s="40">
        <v>46000</v>
      </c>
      <c r="F159" s="40">
        <v>30400</v>
      </c>
      <c r="G159" s="62">
        <f t="shared" ref="G159:G169" si="16">ROUNDDOWN(F159*90%,-1)</f>
        <v>27360</v>
      </c>
      <c r="H159" s="50">
        <v>242500</v>
      </c>
      <c r="I159" s="250"/>
      <c r="J159" s="233"/>
      <c r="K159" s="44" t="s">
        <v>912</v>
      </c>
      <c r="L159" s="66">
        <v>44000</v>
      </c>
      <c r="M159" s="66">
        <v>27900</v>
      </c>
      <c r="N159" s="66">
        <f t="shared" si="15"/>
        <v>25110</v>
      </c>
      <c r="O159" s="67">
        <v>303100</v>
      </c>
    </row>
    <row r="160" spans="2:15" ht="17.5" thickTop="1" x14ac:dyDescent="0.45">
      <c r="B160" s="257"/>
      <c r="C160" s="237"/>
      <c r="D160" s="76" t="s">
        <v>725</v>
      </c>
      <c r="E160" s="58">
        <v>44000</v>
      </c>
      <c r="F160" s="58">
        <v>27900</v>
      </c>
      <c r="G160" s="65">
        <f t="shared" si="16"/>
        <v>25110</v>
      </c>
      <c r="H160" s="59">
        <v>303100</v>
      </c>
      <c r="I160" s="244" t="s">
        <v>732</v>
      </c>
      <c r="J160" s="218" t="s">
        <v>720</v>
      </c>
      <c r="K160" s="219"/>
      <c r="L160" s="222" t="s">
        <v>1035</v>
      </c>
      <c r="M160" s="222"/>
      <c r="N160" s="222"/>
      <c r="O160" s="223"/>
    </row>
    <row r="161" spans="2:15" ht="17.5" thickBot="1" x14ac:dyDescent="0.5">
      <c r="B161" s="256" t="s">
        <v>942</v>
      </c>
      <c r="C161" s="237"/>
      <c r="D161" s="72" t="s">
        <v>723</v>
      </c>
      <c r="E161" s="39">
        <v>51000</v>
      </c>
      <c r="F161" s="39">
        <v>34900</v>
      </c>
      <c r="G161" s="69">
        <f t="shared" si="16"/>
        <v>31410</v>
      </c>
      <c r="H161" s="51">
        <v>253700</v>
      </c>
      <c r="I161" s="253"/>
      <c r="J161" s="254"/>
      <c r="K161" s="255"/>
      <c r="L161" s="129" t="s">
        <v>611</v>
      </c>
      <c r="M161" s="129" t="s">
        <v>612</v>
      </c>
      <c r="N161" s="129" t="s">
        <v>731</v>
      </c>
      <c r="O161" s="48" t="s">
        <v>593</v>
      </c>
    </row>
    <row r="162" spans="2:15" ht="17.5" thickTop="1" x14ac:dyDescent="0.45">
      <c r="B162" s="249"/>
      <c r="C162" s="237"/>
      <c r="D162" s="73" t="s">
        <v>724</v>
      </c>
      <c r="E162" s="40">
        <v>48000</v>
      </c>
      <c r="F162" s="40">
        <v>32400</v>
      </c>
      <c r="G162" s="62">
        <f t="shared" si="16"/>
        <v>29160</v>
      </c>
      <c r="H162" s="50">
        <v>253700</v>
      </c>
      <c r="I162" s="248" t="s">
        <v>1036</v>
      </c>
      <c r="J162" s="251" t="s">
        <v>800</v>
      </c>
      <c r="K162" s="52" t="s">
        <v>723</v>
      </c>
      <c r="L162" s="53">
        <v>72900</v>
      </c>
      <c r="M162" s="53">
        <v>66900</v>
      </c>
      <c r="N162" s="267" t="s">
        <v>751</v>
      </c>
      <c r="O162" s="54">
        <v>321100</v>
      </c>
    </row>
    <row r="163" spans="2:15" x14ac:dyDescent="0.45">
      <c r="B163" s="257"/>
      <c r="C163" s="252"/>
      <c r="D163" s="73" t="s">
        <v>725</v>
      </c>
      <c r="E163" s="40">
        <v>46000</v>
      </c>
      <c r="F163" s="40">
        <v>29900</v>
      </c>
      <c r="G163" s="62">
        <f t="shared" si="16"/>
        <v>26910</v>
      </c>
      <c r="H163" s="50">
        <v>317100</v>
      </c>
      <c r="I163" s="249"/>
      <c r="J163" s="232"/>
      <c r="K163" s="42" t="s">
        <v>724</v>
      </c>
      <c r="L163" s="40">
        <v>69900</v>
      </c>
      <c r="M163" s="40">
        <v>63900</v>
      </c>
      <c r="N163" s="268"/>
      <c r="O163" s="50">
        <v>321100</v>
      </c>
    </row>
    <row r="164" spans="2:15" x14ac:dyDescent="0.45">
      <c r="B164" s="256" t="s">
        <v>941</v>
      </c>
      <c r="C164" s="234" t="s">
        <v>739</v>
      </c>
      <c r="D164" s="72" t="s">
        <v>723</v>
      </c>
      <c r="E164" s="39">
        <v>47000</v>
      </c>
      <c r="F164" s="39">
        <v>30900</v>
      </c>
      <c r="G164" s="69">
        <f t="shared" si="16"/>
        <v>27810</v>
      </c>
      <c r="H164" s="51">
        <v>242500</v>
      </c>
      <c r="I164" s="249"/>
      <c r="J164" s="232"/>
      <c r="K164" s="57" t="s">
        <v>725</v>
      </c>
      <c r="L164" s="58">
        <v>67900</v>
      </c>
      <c r="M164" s="58">
        <v>61900</v>
      </c>
      <c r="N164" s="268"/>
      <c r="O164" s="50">
        <v>401400</v>
      </c>
    </row>
    <row r="165" spans="2:15" x14ac:dyDescent="0.45">
      <c r="B165" s="249"/>
      <c r="C165" s="237"/>
      <c r="D165" s="73" t="s">
        <v>724</v>
      </c>
      <c r="E165" s="40">
        <v>44000</v>
      </c>
      <c r="F165" s="40">
        <v>28400</v>
      </c>
      <c r="G165" s="62">
        <f t="shared" si="16"/>
        <v>25560</v>
      </c>
      <c r="H165" s="50">
        <v>242500</v>
      </c>
      <c r="I165" s="249"/>
      <c r="J165" s="231" t="s">
        <v>739</v>
      </c>
      <c r="K165" s="41" t="s">
        <v>723</v>
      </c>
      <c r="L165" s="39">
        <v>69900</v>
      </c>
      <c r="M165" s="39">
        <v>63900</v>
      </c>
      <c r="N165" s="268"/>
      <c r="O165" s="49">
        <v>321100</v>
      </c>
    </row>
    <row r="166" spans="2:15" x14ac:dyDescent="0.45">
      <c r="B166" s="249"/>
      <c r="C166" s="237"/>
      <c r="D166" s="76" t="s">
        <v>725</v>
      </c>
      <c r="E166" s="58">
        <v>42000</v>
      </c>
      <c r="F166" s="40">
        <v>25900</v>
      </c>
      <c r="G166" s="62">
        <f t="shared" si="16"/>
        <v>23310</v>
      </c>
      <c r="H166" s="59">
        <v>303100</v>
      </c>
      <c r="I166" s="249"/>
      <c r="J166" s="232"/>
      <c r="K166" s="42" t="s">
        <v>724</v>
      </c>
      <c r="L166" s="40">
        <v>66900</v>
      </c>
      <c r="M166" s="40">
        <v>60900</v>
      </c>
      <c r="N166" s="268"/>
      <c r="O166" s="50">
        <v>321100</v>
      </c>
    </row>
    <row r="167" spans="2:15" ht="17.5" thickBot="1" x14ac:dyDescent="0.5">
      <c r="B167" s="256" t="s">
        <v>942</v>
      </c>
      <c r="C167" s="237"/>
      <c r="D167" s="72" t="s">
        <v>723</v>
      </c>
      <c r="E167" s="39">
        <v>49000</v>
      </c>
      <c r="F167" s="39">
        <v>32900</v>
      </c>
      <c r="G167" s="69">
        <f t="shared" si="16"/>
        <v>29610</v>
      </c>
      <c r="H167" s="51">
        <v>242500</v>
      </c>
      <c r="I167" s="250"/>
      <c r="J167" s="233"/>
      <c r="K167" s="44" t="s">
        <v>725</v>
      </c>
      <c r="L167" s="66">
        <v>64900</v>
      </c>
      <c r="M167" s="66">
        <v>58900</v>
      </c>
      <c r="N167" s="269"/>
      <c r="O167" s="67">
        <v>401400</v>
      </c>
    </row>
    <row r="168" spans="2:15" ht="17.5" thickTop="1" x14ac:dyDescent="0.45">
      <c r="B168" s="249"/>
      <c r="C168" s="237"/>
      <c r="D168" s="73" t="s">
        <v>724</v>
      </c>
      <c r="E168" s="40">
        <v>46000</v>
      </c>
      <c r="F168" s="40">
        <v>30400</v>
      </c>
      <c r="G168" s="62">
        <f t="shared" si="16"/>
        <v>27360</v>
      </c>
      <c r="H168" s="50">
        <v>242500</v>
      </c>
    </row>
    <row r="169" spans="2:15" ht="17.5" thickBot="1" x14ac:dyDescent="0.5">
      <c r="B169" s="250"/>
      <c r="C169" s="238"/>
      <c r="D169" s="74" t="s">
        <v>725</v>
      </c>
      <c r="E169" s="66">
        <v>44000</v>
      </c>
      <c r="F169" s="66">
        <v>27900</v>
      </c>
      <c r="G169" s="68">
        <f t="shared" si="16"/>
        <v>25110</v>
      </c>
      <c r="H169" s="67">
        <v>303100</v>
      </c>
    </row>
    <row r="170" spans="2:15" ht="17.5" thickTop="1" x14ac:dyDescent="0.45">
      <c r="B170" s="244" t="s">
        <v>732</v>
      </c>
      <c r="C170" s="218" t="s">
        <v>720</v>
      </c>
      <c r="D170" s="219"/>
      <c r="E170" s="222" t="s">
        <v>1067</v>
      </c>
      <c r="F170" s="222"/>
      <c r="G170" s="222"/>
      <c r="H170" s="223"/>
    </row>
    <row r="171" spans="2:15" ht="17.5" thickBot="1" x14ac:dyDescent="0.5">
      <c r="B171" s="253"/>
      <c r="C171" s="254"/>
      <c r="D171" s="255"/>
      <c r="E171" s="146" t="s">
        <v>611</v>
      </c>
      <c r="F171" s="146" t="s">
        <v>612</v>
      </c>
      <c r="G171" s="146" t="s">
        <v>731</v>
      </c>
      <c r="H171" s="48" t="s">
        <v>593</v>
      </c>
    </row>
    <row r="172" spans="2:15" ht="17.5" thickTop="1" x14ac:dyDescent="0.45">
      <c r="B172" s="248" t="s">
        <v>1065</v>
      </c>
      <c r="C172" s="251" t="s">
        <v>800</v>
      </c>
      <c r="D172" s="52" t="s">
        <v>723</v>
      </c>
      <c r="E172" s="53">
        <v>64400</v>
      </c>
      <c r="F172" s="53">
        <v>61400</v>
      </c>
      <c r="G172" s="53">
        <f>ROUNDDOWN(F172*90%,-1)</f>
        <v>55260</v>
      </c>
      <c r="H172" s="54">
        <v>309900</v>
      </c>
    </row>
    <row r="173" spans="2:15" x14ac:dyDescent="0.45">
      <c r="B173" s="249"/>
      <c r="C173" s="232"/>
      <c r="D173" s="42" t="s">
        <v>724</v>
      </c>
      <c r="E173" s="40">
        <v>61400</v>
      </c>
      <c r="F173" s="40">
        <v>58400</v>
      </c>
      <c r="G173" s="40">
        <f t="shared" ref="G173:G177" si="17">ROUNDDOWN(F173*90%,-1)</f>
        <v>52560</v>
      </c>
      <c r="H173" s="50">
        <v>309900</v>
      </c>
    </row>
    <row r="174" spans="2:15" x14ac:dyDescent="0.45">
      <c r="B174" s="249"/>
      <c r="C174" s="270"/>
      <c r="D174" s="42" t="s">
        <v>725</v>
      </c>
      <c r="E174" s="40">
        <v>59400</v>
      </c>
      <c r="F174" s="40">
        <v>56400</v>
      </c>
      <c r="G174" s="40">
        <f t="shared" si="17"/>
        <v>50760</v>
      </c>
      <c r="H174" s="50">
        <v>387400</v>
      </c>
    </row>
    <row r="175" spans="2:15" x14ac:dyDescent="0.45">
      <c r="B175" s="249"/>
      <c r="C175" s="231" t="s">
        <v>739</v>
      </c>
      <c r="D175" s="45" t="s">
        <v>723</v>
      </c>
      <c r="E175" s="46">
        <v>61400</v>
      </c>
      <c r="F175" s="46">
        <v>58400</v>
      </c>
      <c r="G175" s="46">
        <f t="shared" si="17"/>
        <v>52560</v>
      </c>
      <c r="H175" s="49">
        <v>309900</v>
      </c>
    </row>
    <row r="176" spans="2:15" x14ac:dyDescent="0.45">
      <c r="B176" s="249"/>
      <c r="C176" s="232"/>
      <c r="D176" s="42" t="s">
        <v>724</v>
      </c>
      <c r="E176" s="40">
        <v>58400</v>
      </c>
      <c r="F176" s="40">
        <v>55400</v>
      </c>
      <c r="G176" s="40">
        <f t="shared" si="17"/>
        <v>49860</v>
      </c>
      <c r="H176" s="50">
        <v>309900</v>
      </c>
    </row>
    <row r="177" spans="2:15" ht="17.5" thickBot="1" x14ac:dyDescent="0.5">
      <c r="B177" s="250"/>
      <c r="C177" s="233"/>
      <c r="D177" s="44" t="s">
        <v>725</v>
      </c>
      <c r="E177" s="66">
        <v>56400</v>
      </c>
      <c r="F177" s="66">
        <v>53400</v>
      </c>
      <c r="G177" s="66">
        <f t="shared" si="17"/>
        <v>48060</v>
      </c>
      <c r="H177" s="67">
        <v>387400</v>
      </c>
    </row>
    <row r="178" spans="2:15" ht="17.5" thickTop="1" x14ac:dyDescent="0.45">
      <c r="B178" s="93"/>
      <c r="C178" s="77"/>
      <c r="D178" s="78"/>
      <c r="E178" s="79"/>
      <c r="F178" s="79"/>
      <c r="G178" s="80"/>
      <c r="H178" s="80"/>
    </row>
    <row r="179" spans="2:15" x14ac:dyDescent="0.45">
      <c r="B179" s="93"/>
      <c r="C179" s="77"/>
      <c r="D179" s="78"/>
      <c r="E179" s="79"/>
      <c r="F179" s="79"/>
      <c r="G179" s="80"/>
      <c r="H179" s="80"/>
    </row>
    <row r="180" spans="2:15" ht="18" thickBot="1" x14ac:dyDescent="0.5">
      <c r="B180" s="70" t="s">
        <v>849</v>
      </c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</row>
    <row r="181" spans="2:15" ht="17.5" thickTop="1" x14ac:dyDescent="0.45">
      <c r="B181" s="244" t="s">
        <v>732</v>
      </c>
      <c r="C181" s="218" t="s">
        <v>720</v>
      </c>
      <c r="D181" s="219"/>
      <c r="E181" s="222" t="s">
        <v>756</v>
      </c>
      <c r="F181" s="222"/>
      <c r="G181" s="222"/>
      <c r="H181" s="223"/>
      <c r="I181" s="244" t="s">
        <v>732</v>
      </c>
      <c r="J181" s="218" t="s">
        <v>720</v>
      </c>
      <c r="K181" s="219"/>
      <c r="L181" s="222" t="s">
        <v>757</v>
      </c>
      <c r="M181" s="222"/>
      <c r="N181" s="222"/>
      <c r="O181" s="223"/>
    </row>
    <row r="182" spans="2:15" ht="17.5" thickBot="1" x14ac:dyDescent="0.5">
      <c r="B182" s="253"/>
      <c r="C182" s="254"/>
      <c r="D182" s="255"/>
      <c r="E182" s="47" t="s">
        <v>611</v>
      </c>
      <c r="F182" s="47" t="s">
        <v>612</v>
      </c>
      <c r="G182" s="47" t="s">
        <v>731</v>
      </c>
      <c r="H182" s="48" t="s">
        <v>593</v>
      </c>
      <c r="I182" s="253"/>
      <c r="J182" s="254"/>
      <c r="K182" s="255"/>
      <c r="L182" s="47" t="s">
        <v>611</v>
      </c>
      <c r="M182" s="47" t="s">
        <v>612</v>
      </c>
      <c r="N182" s="47" t="s">
        <v>731</v>
      </c>
      <c r="O182" s="48" t="s">
        <v>593</v>
      </c>
    </row>
    <row r="183" spans="2:15" ht="17.5" customHeight="1" thickTop="1" x14ac:dyDescent="0.45">
      <c r="B183" s="248" t="s">
        <v>752</v>
      </c>
      <c r="C183" s="251" t="s">
        <v>739</v>
      </c>
      <c r="D183" s="52" t="s">
        <v>723</v>
      </c>
      <c r="E183" s="53">
        <v>42400</v>
      </c>
      <c r="F183" s="53">
        <v>39400</v>
      </c>
      <c r="G183" s="53">
        <v>35460</v>
      </c>
      <c r="H183" s="54">
        <v>273900</v>
      </c>
      <c r="I183" s="248" t="s">
        <v>758</v>
      </c>
      <c r="J183" s="251" t="s">
        <v>738</v>
      </c>
      <c r="K183" s="52" t="s">
        <v>723</v>
      </c>
      <c r="L183" s="53">
        <v>39900</v>
      </c>
      <c r="M183" s="53">
        <v>36900</v>
      </c>
      <c r="N183" s="53">
        <v>33210</v>
      </c>
      <c r="O183" s="54">
        <v>262700</v>
      </c>
    </row>
    <row r="184" spans="2:15" x14ac:dyDescent="0.45">
      <c r="B184" s="249"/>
      <c r="C184" s="232"/>
      <c r="D184" s="42" t="s">
        <v>724</v>
      </c>
      <c r="E184" s="40">
        <v>40400</v>
      </c>
      <c r="F184" s="40">
        <v>37400</v>
      </c>
      <c r="G184" s="40">
        <v>33660</v>
      </c>
      <c r="H184" s="50">
        <v>273900</v>
      </c>
      <c r="I184" s="249"/>
      <c r="J184" s="232"/>
      <c r="K184" s="42" t="s">
        <v>724</v>
      </c>
      <c r="L184" s="40">
        <v>37900</v>
      </c>
      <c r="M184" s="40">
        <v>34900</v>
      </c>
      <c r="N184" s="40">
        <v>31410</v>
      </c>
      <c r="O184" s="50">
        <v>262700</v>
      </c>
    </row>
    <row r="185" spans="2:15" x14ac:dyDescent="0.45">
      <c r="B185" s="249"/>
      <c r="C185" s="232"/>
      <c r="D185" s="42" t="s">
        <v>725</v>
      </c>
      <c r="E185" s="40">
        <v>39400</v>
      </c>
      <c r="F185" s="40">
        <v>36400</v>
      </c>
      <c r="G185" s="40">
        <v>32760</v>
      </c>
      <c r="H185" s="50">
        <v>315000</v>
      </c>
      <c r="I185" s="249"/>
      <c r="J185" s="232"/>
      <c r="K185" s="42" t="s">
        <v>725</v>
      </c>
      <c r="L185" s="40">
        <v>36900</v>
      </c>
      <c r="M185" s="40">
        <v>33900</v>
      </c>
      <c r="N185" s="40">
        <v>30510</v>
      </c>
      <c r="O185" s="50">
        <v>302100</v>
      </c>
    </row>
    <row r="186" spans="2:15" x14ac:dyDescent="0.45">
      <c r="B186" s="249"/>
      <c r="C186" s="232"/>
      <c r="D186" s="43" t="s">
        <v>726</v>
      </c>
      <c r="E186" s="55">
        <v>38400</v>
      </c>
      <c r="F186" s="55">
        <v>35400</v>
      </c>
      <c r="G186" s="55">
        <v>31860</v>
      </c>
      <c r="H186" s="56">
        <v>315000</v>
      </c>
      <c r="I186" s="249"/>
      <c r="J186" s="232"/>
      <c r="K186" s="43" t="s">
        <v>726</v>
      </c>
      <c r="L186" s="55">
        <v>35900</v>
      </c>
      <c r="M186" s="55">
        <v>32900</v>
      </c>
      <c r="N186" s="55">
        <v>29610</v>
      </c>
      <c r="O186" s="56">
        <v>302100</v>
      </c>
    </row>
    <row r="187" spans="2:15" x14ac:dyDescent="0.45">
      <c r="B187" s="249"/>
      <c r="C187" s="234" t="s">
        <v>750</v>
      </c>
      <c r="D187" s="45" t="s">
        <v>723</v>
      </c>
      <c r="E187" s="46">
        <v>40900</v>
      </c>
      <c r="F187" s="46">
        <v>37900</v>
      </c>
      <c r="G187" s="46">
        <v>34110</v>
      </c>
      <c r="H187" s="49">
        <v>273900</v>
      </c>
      <c r="I187" s="249"/>
      <c r="J187" s="234" t="s">
        <v>739</v>
      </c>
      <c r="K187" s="45" t="s">
        <v>723</v>
      </c>
      <c r="L187" s="46">
        <v>37900</v>
      </c>
      <c r="M187" s="46">
        <v>34900</v>
      </c>
      <c r="N187" s="46">
        <v>31410</v>
      </c>
      <c r="O187" s="49">
        <v>251500</v>
      </c>
    </row>
    <row r="188" spans="2:15" x14ac:dyDescent="0.45">
      <c r="B188" s="249"/>
      <c r="C188" s="237"/>
      <c r="D188" s="42" t="s">
        <v>724</v>
      </c>
      <c r="E188" s="40">
        <v>38900</v>
      </c>
      <c r="F188" s="40">
        <v>35900</v>
      </c>
      <c r="G188" s="40">
        <v>32310</v>
      </c>
      <c r="H188" s="50">
        <v>273900</v>
      </c>
      <c r="I188" s="249"/>
      <c r="J188" s="237"/>
      <c r="K188" s="42" t="s">
        <v>724</v>
      </c>
      <c r="L188" s="40">
        <v>35900</v>
      </c>
      <c r="M188" s="40">
        <v>32900</v>
      </c>
      <c r="N188" s="40">
        <v>29610</v>
      </c>
      <c r="O188" s="50">
        <v>251500</v>
      </c>
    </row>
    <row r="189" spans="2:15" x14ac:dyDescent="0.45">
      <c r="B189" s="249"/>
      <c r="C189" s="237"/>
      <c r="D189" s="42" t="s">
        <v>725</v>
      </c>
      <c r="E189" s="40">
        <v>37900</v>
      </c>
      <c r="F189" s="40">
        <v>34900</v>
      </c>
      <c r="G189" s="40">
        <v>31410</v>
      </c>
      <c r="H189" s="50">
        <v>315000</v>
      </c>
      <c r="I189" s="249"/>
      <c r="J189" s="237"/>
      <c r="K189" s="42" t="s">
        <v>725</v>
      </c>
      <c r="L189" s="40">
        <v>34900</v>
      </c>
      <c r="M189" s="40">
        <v>31900</v>
      </c>
      <c r="N189" s="40">
        <v>28710</v>
      </c>
      <c r="O189" s="50">
        <v>289200</v>
      </c>
    </row>
    <row r="190" spans="2:15" x14ac:dyDescent="0.45">
      <c r="B190" s="249"/>
      <c r="C190" s="252"/>
      <c r="D190" s="57" t="s">
        <v>726</v>
      </c>
      <c r="E190" s="58">
        <v>36900</v>
      </c>
      <c r="F190" s="58">
        <v>33900</v>
      </c>
      <c r="G190" s="58">
        <v>30510</v>
      </c>
      <c r="H190" s="59">
        <v>315000</v>
      </c>
      <c r="I190" s="249"/>
      <c r="J190" s="252"/>
      <c r="K190" s="57" t="s">
        <v>726</v>
      </c>
      <c r="L190" s="58">
        <v>33900</v>
      </c>
      <c r="M190" s="58">
        <v>30900</v>
      </c>
      <c r="N190" s="58">
        <v>27810</v>
      </c>
      <c r="O190" s="59">
        <v>289200</v>
      </c>
    </row>
    <row r="191" spans="2:15" x14ac:dyDescent="0.45">
      <c r="B191" s="249"/>
      <c r="C191" s="237" t="s">
        <v>722</v>
      </c>
      <c r="D191" s="41" t="s">
        <v>727</v>
      </c>
      <c r="E191" s="39">
        <v>37900</v>
      </c>
      <c r="F191" s="39">
        <v>34900</v>
      </c>
      <c r="G191" s="39">
        <v>31410</v>
      </c>
      <c r="H191" s="51">
        <v>251500</v>
      </c>
      <c r="I191" s="249"/>
      <c r="J191" s="237" t="s">
        <v>722</v>
      </c>
      <c r="K191" s="41" t="s">
        <v>727</v>
      </c>
      <c r="L191" s="39">
        <v>34900</v>
      </c>
      <c r="M191" s="39">
        <v>31900</v>
      </c>
      <c r="N191" s="39">
        <v>28710</v>
      </c>
      <c r="O191" s="51">
        <v>240200</v>
      </c>
    </row>
    <row r="192" spans="2:15" x14ac:dyDescent="0.45">
      <c r="B192" s="249"/>
      <c r="C192" s="237"/>
      <c r="D192" s="42" t="s">
        <v>728</v>
      </c>
      <c r="E192" s="40">
        <v>35900</v>
      </c>
      <c r="F192" s="40">
        <v>32900</v>
      </c>
      <c r="G192" s="40">
        <v>29610</v>
      </c>
      <c r="H192" s="50">
        <v>251500</v>
      </c>
      <c r="I192" s="249"/>
      <c r="J192" s="237"/>
      <c r="K192" s="42" t="s">
        <v>728</v>
      </c>
      <c r="L192" s="40">
        <v>32900</v>
      </c>
      <c r="M192" s="40">
        <v>29900</v>
      </c>
      <c r="N192" s="40">
        <v>26910</v>
      </c>
      <c r="O192" s="50">
        <v>240200</v>
      </c>
    </row>
    <row r="193" spans="2:15" x14ac:dyDescent="0.45">
      <c r="B193" s="249"/>
      <c r="C193" s="237"/>
      <c r="D193" s="42" t="s">
        <v>729</v>
      </c>
      <c r="E193" s="40">
        <v>34900</v>
      </c>
      <c r="F193" s="40">
        <v>31900</v>
      </c>
      <c r="G193" s="40">
        <v>28710</v>
      </c>
      <c r="H193" s="50">
        <v>289200</v>
      </c>
      <c r="I193" s="249"/>
      <c r="J193" s="237"/>
      <c r="K193" s="42" t="s">
        <v>729</v>
      </c>
      <c r="L193" s="40">
        <v>31900</v>
      </c>
      <c r="M193" s="40">
        <v>28900</v>
      </c>
      <c r="N193" s="40">
        <v>26010</v>
      </c>
      <c r="O193" s="50">
        <v>276200</v>
      </c>
    </row>
    <row r="194" spans="2:15" ht="17.5" thickBot="1" x14ac:dyDescent="0.5">
      <c r="B194" s="250"/>
      <c r="C194" s="238"/>
      <c r="D194" s="44" t="s">
        <v>730</v>
      </c>
      <c r="E194" s="66">
        <v>33900</v>
      </c>
      <c r="F194" s="66">
        <v>30900</v>
      </c>
      <c r="G194" s="66">
        <v>27810</v>
      </c>
      <c r="H194" s="67">
        <v>289200</v>
      </c>
      <c r="I194" s="250"/>
      <c r="J194" s="238"/>
      <c r="K194" s="44" t="s">
        <v>730</v>
      </c>
      <c r="L194" s="66">
        <v>30900</v>
      </c>
      <c r="M194" s="66">
        <v>27900</v>
      </c>
      <c r="N194" s="66">
        <v>25110</v>
      </c>
      <c r="O194" s="67">
        <v>276200</v>
      </c>
    </row>
    <row r="195" spans="2:15" ht="17.5" thickTop="1" x14ac:dyDescent="0.45">
      <c r="B195" s="248" t="s">
        <v>753</v>
      </c>
      <c r="C195" s="251" t="s">
        <v>739</v>
      </c>
      <c r="D195" s="52" t="s">
        <v>723</v>
      </c>
      <c r="E195" s="53">
        <v>44400</v>
      </c>
      <c r="F195" s="53">
        <v>41400</v>
      </c>
      <c r="G195" s="53">
        <v>37260</v>
      </c>
      <c r="H195" s="54">
        <v>273900</v>
      </c>
      <c r="I195" s="244" t="s">
        <v>732</v>
      </c>
      <c r="J195" s="218" t="s">
        <v>720</v>
      </c>
      <c r="K195" s="219"/>
      <c r="L195" s="222" t="s">
        <v>761</v>
      </c>
      <c r="M195" s="222"/>
      <c r="N195" s="222"/>
      <c r="O195" s="223"/>
    </row>
    <row r="196" spans="2:15" ht="17.5" thickBot="1" x14ac:dyDescent="0.5">
      <c r="B196" s="249"/>
      <c r="C196" s="232"/>
      <c r="D196" s="42" t="s">
        <v>724</v>
      </c>
      <c r="E196" s="40">
        <v>42400</v>
      </c>
      <c r="F196" s="40">
        <v>39400</v>
      </c>
      <c r="G196" s="40">
        <v>35460</v>
      </c>
      <c r="H196" s="50">
        <v>273900</v>
      </c>
      <c r="I196" s="253"/>
      <c r="J196" s="254"/>
      <c r="K196" s="255"/>
      <c r="L196" s="47" t="s">
        <v>611</v>
      </c>
      <c r="M196" s="47" t="s">
        <v>612</v>
      </c>
      <c r="N196" s="47" t="s">
        <v>731</v>
      </c>
      <c r="O196" s="48" t="s">
        <v>593</v>
      </c>
    </row>
    <row r="197" spans="2:15" ht="17.5" customHeight="1" thickTop="1" x14ac:dyDescent="0.45">
      <c r="B197" s="249"/>
      <c r="C197" s="232"/>
      <c r="D197" s="42" t="s">
        <v>725</v>
      </c>
      <c r="E197" s="40">
        <v>41400</v>
      </c>
      <c r="F197" s="40">
        <v>38400</v>
      </c>
      <c r="G197" s="40">
        <v>34560</v>
      </c>
      <c r="H197" s="50">
        <v>315000</v>
      </c>
      <c r="I197" s="248" t="s">
        <v>762</v>
      </c>
      <c r="J197" s="251" t="s">
        <v>738</v>
      </c>
      <c r="K197" s="52" t="s">
        <v>723</v>
      </c>
      <c r="L197" s="53">
        <v>28900</v>
      </c>
      <c r="M197" s="53">
        <v>25900</v>
      </c>
      <c r="N197" s="53">
        <v>23310</v>
      </c>
      <c r="O197" s="54">
        <v>220300</v>
      </c>
    </row>
    <row r="198" spans="2:15" x14ac:dyDescent="0.45">
      <c r="B198" s="249"/>
      <c r="C198" s="232"/>
      <c r="D198" s="43" t="s">
        <v>726</v>
      </c>
      <c r="E198" s="55">
        <v>40400</v>
      </c>
      <c r="F198" s="55">
        <v>37400</v>
      </c>
      <c r="G198" s="55">
        <v>33660</v>
      </c>
      <c r="H198" s="56">
        <v>315000</v>
      </c>
      <c r="I198" s="249"/>
      <c r="J198" s="232"/>
      <c r="K198" s="42" t="s">
        <v>724</v>
      </c>
      <c r="L198" s="40">
        <v>26900</v>
      </c>
      <c r="M198" s="40">
        <v>23900</v>
      </c>
      <c r="N198" s="40">
        <v>21510</v>
      </c>
      <c r="O198" s="50">
        <v>220300</v>
      </c>
    </row>
    <row r="199" spans="2:15" x14ac:dyDescent="0.45">
      <c r="B199" s="249"/>
      <c r="C199" s="234" t="s">
        <v>750</v>
      </c>
      <c r="D199" s="45" t="s">
        <v>723</v>
      </c>
      <c r="E199" s="46">
        <v>42900</v>
      </c>
      <c r="F199" s="46">
        <v>39900</v>
      </c>
      <c r="G199" s="46">
        <v>35910</v>
      </c>
      <c r="H199" s="49">
        <v>273900</v>
      </c>
      <c r="I199" s="249"/>
      <c r="J199" s="232"/>
      <c r="K199" s="42" t="s">
        <v>725</v>
      </c>
      <c r="L199" s="40">
        <v>25900</v>
      </c>
      <c r="M199" s="40">
        <v>22900</v>
      </c>
      <c r="N199" s="40">
        <v>20610</v>
      </c>
      <c r="O199" s="50">
        <v>253300</v>
      </c>
    </row>
    <row r="200" spans="2:15" x14ac:dyDescent="0.45">
      <c r="B200" s="249"/>
      <c r="C200" s="237"/>
      <c r="D200" s="42" t="s">
        <v>724</v>
      </c>
      <c r="E200" s="40">
        <v>40900</v>
      </c>
      <c r="F200" s="40">
        <v>37900</v>
      </c>
      <c r="G200" s="40">
        <v>34110</v>
      </c>
      <c r="H200" s="50">
        <v>273900</v>
      </c>
      <c r="I200" s="249"/>
      <c r="J200" s="232"/>
      <c r="K200" s="43" t="s">
        <v>726</v>
      </c>
      <c r="L200" s="55">
        <v>24900</v>
      </c>
      <c r="M200" s="55">
        <v>21900</v>
      </c>
      <c r="N200" s="55">
        <v>19710</v>
      </c>
      <c r="O200" s="56">
        <v>253300</v>
      </c>
    </row>
    <row r="201" spans="2:15" x14ac:dyDescent="0.45">
      <c r="B201" s="249"/>
      <c r="C201" s="237"/>
      <c r="D201" s="42" t="s">
        <v>725</v>
      </c>
      <c r="E201" s="40">
        <v>39900</v>
      </c>
      <c r="F201" s="40">
        <v>36900</v>
      </c>
      <c r="G201" s="40">
        <v>33210</v>
      </c>
      <c r="H201" s="50">
        <v>315000</v>
      </c>
      <c r="I201" s="249"/>
      <c r="J201" s="234" t="s">
        <v>722</v>
      </c>
      <c r="K201" s="45" t="s">
        <v>727</v>
      </c>
      <c r="L201" s="46">
        <v>25400</v>
      </c>
      <c r="M201" s="46">
        <v>22400</v>
      </c>
      <c r="N201" s="46">
        <v>20160</v>
      </c>
      <c r="O201" s="49">
        <v>209100</v>
      </c>
    </row>
    <row r="202" spans="2:15" x14ac:dyDescent="0.45">
      <c r="B202" s="249"/>
      <c r="C202" s="252"/>
      <c r="D202" s="57" t="s">
        <v>726</v>
      </c>
      <c r="E202" s="58">
        <v>38900</v>
      </c>
      <c r="F202" s="58">
        <v>35900</v>
      </c>
      <c r="G202" s="58">
        <v>32310</v>
      </c>
      <c r="H202" s="59">
        <v>315000</v>
      </c>
      <c r="I202" s="249"/>
      <c r="J202" s="237"/>
      <c r="K202" s="42" t="s">
        <v>728</v>
      </c>
      <c r="L202" s="40">
        <v>23400</v>
      </c>
      <c r="M202" s="40">
        <v>20400</v>
      </c>
      <c r="N202" s="40">
        <v>18360</v>
      </c>
      <c r="O202" s="50">
        <v>209100</v>
      </c>
    </row>
    <row r="203" spans="2:15" x14ac:dyDescent="0.45">
      <c r="B203" s="249"/>
      <c r="C203" s="237" t="s">
        <v>722</v>
      </c>
      <c r="D203" s="41" t="s">
        <v>727</v>
      </c>
      <c r="E203" s="39">
        <v>40900</v>
      </c>
      <c r="F203" s="39">
        <v>37900</v>
      </c>
      <c r="G203" s="39">
        <v>34110</v>
      </c>
      <c r="H203" s="51">
        <v>273900</v>
      </c>
      <c r="I203" s="249"/>
      <c r="J203" s="237"/>
      <c r="K203" s="42" t="s">
        <v>729</v>
      </c>
      <c r="L203" s="40">
        <v>22400</v>
      </c>
      <c r="M203" s="40">
        <v>19400</v>
      </c>
      <c r="N203" s="40">
        <v>17460</v>
      </c>
      <c r="O203" s="50">
        <v>240500</v>
      </c>
    </row>
    <row r="204" spans="2:15" ht="17.5" thickBot="1" x14ac:dyDescent="0.5">
      <c r="B204" s="249"/>
      <c r="C204" s="237"/>
      <c r="D204" s="42" t="s">
        <v>728</v>
      </c>
      <c r="E204" s="40">
        <v>38900</v>
      </c>
      <c r="F204" s="40">
        <v>35900</v>
      </c>
      <c r="G204" s="40">
        <v>32310</v>
      </c>
      <c r="H204" s="50">
        <v>273900</v>
      </c>
      <c r="I204" s="250"/>
      <c r="J204" s="238"/>
      <c r="K204" s="44" t="s">
        <v>730</v>
      </c>
      <c r="L204" s="66">
        <v>21400</v>
      </c>
      <c r="M204" s="66">
        <v>18400</v>
      </c>
      <c r="N204" s="66">
        <v>16560</v>
      </c>
      <c r="O204" s="67">
        <v>240500</v>
      </c>
    </row>
    <row r="205" spans="2:15" ht="17.5" thickTop="1" x14ac:dyDescent="0.45">
      <c r="B205" s="249"/>
      <c r="C205" s="237"/>
      <c r="D205" s="42" t="s">
        <v>729</v>
      </c>
      <c r="E205" s="40">
        <v>37900</v>
      </c>
      <c r="F205" s="40">
        <v>34900</v>
      </c>
      <c r="G205" s="40">
        <v>31410</v>
      </c>
      <c r="H205" s="50">
        <v>315000</v>
      </c>
      <c r="I205" s="244" t="s">
        <v>732</v>
      </c>
      <c r="J205" s="218" t="s">
        <v>720</v>
      </c>
      <c r="K205" s="219"/>
      <c r="L205" s="222" t="s">
        <v>765</v>
      </c>
      <c r="M205" s="222"/>
      <c r="N205" s="222"/>
      <c r="O205" s="223"/>
    </row>
    <row r="206" spans="2:15" ht="17.5" thickBot="1" x14ac:dyDescent="0.5">
      <c r="B206" s="250"/>
      <c r="C206" s="238"/>
      <c r="D206" s="44" t="s">
        <v>730</v>
      </c>
      <c r="E206" s="66">
        <v>36900</v>
      </c>
      <c r="F206" s="66">
        <v>33900</v>
      </c>
      <c r="G206" s="66">
        <v>30510</v>
      </c>
      <c r="H206" s="67">
        <v>315000</v>
      </c>
      <c r="I206" s="253"/>
      <c r="J206" s="254"/>
      <c r="K206" s="255"/>
      <c r="L206" s="47" t="s">
        <v>611</v>
      </c>
      <c r="M206" s="47" t="s">
        <v>612</v>
      </c>
      <c r="N206" s="47" t="s">
        <v>731</v>
      </c>
      <c r="O206" s="48" t="s">
        <v>593</v>
      </c>
    </row>
    <row r="207" spans="2:15" ht="17.5" customHeight="1" thickTop="1" x14ac:dyDescent="0.45">
      <c r="B207" s="248" t="s">
        <v>754</v>
      </c>
      <c r="C207" s="251" t="s">
        <v>739</v>
      </c>
      <c r="D207" s="52" t="s">
        <v>723</v>
      </c>
      <c r="E207" s="53">
        <v>62400</v>
      </c>
      <c r="F207" s="53">
        <v>59400</v>
      </c>
      <c r="G207" s="53">
        <v>53460</v>
      </c>
      <c r="H207" s="54">
        <v>318900</v>
      </c>
      <c r="I207" s="248" t="s">
        <v>766</v>
      </c>
      <c r="J207" s="251" t="s">
        <v>739</v>
      </c>
      <c r="K207" s="52" t="s">
        <v>723</v>
      </c>
      <c r="L207" s="53">
        <v>52400</v>
      </c>
      <c r="M207" s="53">
        <v>49400</v>
      </c>
      <c r="N207" s="53">
        <v>44460</v>
      </c>
      <c r="O207" s="54">
        <v>296400</v>
      </c>
    </row>
    <row r="208" spans="2:15" x14ac:dyDescent="0.45">
      <c r="B208" s="249"/>
      <c r="C208" s="232"/>
      <c r="D208" s="42" t="s">
        <v>724</v>
      </c>
      <c r="E208" s="40">
        <v>59400</v>
      </c>
      <c r="F208" s="40">
        <v>56400</v>
      </c>
      <c r="G208" s="40">
        <v>50760</v>
      </c>
      <c r="H208" s="50">
        <v>318900</v>
      </c>
      <c r="I208" s="249"/>
      <c r="J208" s="232"/>
      <c r="K208" s="42" t="s">
        <v>724</v>
      </c>
      <c r="L208" s="40">
        <v>49400</v>
      </c>
      <c r="M208" s="40">
        <v>46400</v>
      </c>
      <c r="N208" s="40">
        <v>41760</v>
      </c>
      <c r="O208" s="50">
        <v>296400</v>
      </c>
    </row>
    <row r="209" spans="2:15" x14ac:dyDescent="0.45">
      <c r="B209" s="249"/>
      <c r="C209" s="232"/>
      <c r="D209" s="42" t="s">
        <v>725</v>
      </c>
      <c r="E209" s="40">
        <v>57400</v>
      </c>
      <c r="F209" s="40">
        <v>54400</v>
      </c>
      <c r="G209" s="40">
        <v>48960</v>
      </c>
      <c r="H209" s="50">
        <v>366700</v>
      </c>
      <c r="I209" s="249"/>
      <c r="J209" s="232"/>
      <c r="K209" s="42" t="s">
        <v>725</v>
      </c>
      <c r="L209" s="40">
        <v>47400</v>
      </c>
      <c r="M209" s="40">
        <v>44400</v>
      </c>
      <c r="N209" s="40">
        <v>39960</v>
      </c>
      <c r="O209" s="50">
        <v>340900</v>
      </c>
    </row>
    <row r="210" spans="2:15" x14ac:dyDescent="0.45">
      <c r="B210" s="249"/>
      <c r="C210" s="232"/>
      <c r="D210" s="43" t="s">
        <v>726</v>
      </c>
      <c r="E210" s="55">
        <v>55400</v>
      </c>
      <c r="F210" s="55">
        <v>52400</v>
      </c>
      <c r="G210" s="55">
        <v>47160</v>
      </c>
      <c r="H210" s="56">
        <v>366700</v>
      </c>
      <c r="I210" s="249"/>
      <c r="J210" s="232"/>
      <c r="K210" s="43" t="s">
        <v>726</v>
      </c>
      <c r="L210" s="55">
        <v>45400</v>
      </c>
      <c r="M210" s="55">
        <v>42400</v>
      </c>
      <c r="N210" s="55">
        <v>38160</v>
      </c>
      <c r="O210" s="56">
        <v>340900</v>
      </c>
    </row>
    <row r="211" spans="2:15" x14ac:dyDescent="0.45">
      <c r="B211" s="249"/>
      <c r="C211" s="234" t="s">
        <v>750</v>
      </c>
      <c r="D211" s="45" t="s">
        <v>723</v>
      </c>
      <c r="E211" s="46">
        <v>60900</v>
      </c>
      <c r="F211" s="46">
        <v>57900</v>
      </c>
      <c r="G211" s="46">
        <v>52110</v>
      </c>
      <c r="H211" s="49">
        <v>307700</v>
      </c>
      <c r="I211" s="249"/>
      <c r="J211" s="234" t="s">
        <v>750</v>
      </c>
      <c r="K211" s="45" t="s">
        <v>723</v>
      </c>
      <c r="L211" s="46">
        <v>50900</v>
      </c>
      <c r="M211" s="46">
        <v>47900</v>
      </c>
      <c r="N211" s="46">
        <v>43110</v>
      </c>
      <c r="O211" s="49">
        <v>285200</v>
      </c>
    </row>
    <row r="212" spans="2:15" x14ac:dyDescent="0.45">
      <c r="B212" s="249"/>
      <c r="C212" s="237"/>
      <c r="D212" s="42" t="s">
        <v>724</v>
      </c>
      <c r="E212" s="40">
        <v>57900</v>
      </c>
      <c r="F212" s="40">
        <v>54900</v>
      </c>
      <c r="G212" s="40">
        <v>49410</v>
      </c>
      <c r="H212" s="50">
        <v>307700</v>
      </c>
      <c r="I212" s="249"/>
      <c r="J212" s="237"/>
      <c r="K212" s="42" t="s">
        <v>724</v>
      </c>
      <c r="L212" s="40">
        <v>47900</v>
      </c>
      <c r="M212" s="40">
        <v>44900</v>
      </c>
      <c r="N212" s="40">
        <v>40410</v>
      </c>
      <c r="O212" s="50">
        <v>285200</v>
      </c>
    </row>
    <row r="213" spans="2:15" x14ac:dyDescent="0.45">
      <c r="B213" s="249"/>
      <c r="C213" s="237"/>
      <c r="D213" s="42" t="s">
        <v>725</v>
      </c>
      <c r="E213" s="40">
        <v>55900</v>
      </c>
      <c r="F213" s="40">
        <v>52900</v>
      </c>
      <c r="G213" s="40">
        <v>47610</v>
      </c>
      <c r="H213" s="50">
        <v>353900</v>
      </c>
      <c r="I213" s="249"/>
      <c r="J213" s="237"/>
      <c r="K213" s="42" t="s">
        <v>725</v>
      </c>
      <c r="L213" s="40">
        <v>45900</v>
      </c>
      <c r="M213" s="40">
        <v>42900</v>
      </c>
      <c r="N213" s="40">
        <v>38610</v>
      </c>
      <c r="O213" s="50">
        <v>328000</v>
      </c>
    </row>
    <row r="214" spans="2:15" x14ac:dyDescent="0.45">
      <c r="B214" s="249"/>
      <c r="C214" s="252"/>
      <c r="D214" s="57" t="s">
        <v>726</v>
      </c>
      <c r="E214" s="58">
        <v>53900</v>
      </c>
      <c r="F214" s="58">
        <v>50900</v>
      </c>
      <c r="G214" s="58">
        <v>45810</v>
      </c>
      <c r="H214" s="59">
        <v>353900</v>
      </c>
      <c r="I214" s="249"/>
      <c r="J214" s="252"/>
      <c r="K214" s="57" t="s">
        <v>726</v>
      </c>
      <c r="L214" s="58">
        <v>43900</v>
      </c>
      <c r="M214" s="58">
        <v>40900</v>
      </c>
      <c r="N214" s="58">
        <v>36810</v>
      </c>
      <c r="O214" s="59">
        <v>328000</v>
      </c>
    </row>
    <row r="215" spans="2:15" x14ac:dyDescent="0.45">
      <c r="B215" s="249"/>
      <c r="C215" s="237" t="s">
        <v>722</v>
      </c>
      <c r="D215" s="41" t="s">
        <v>727</v>
      </c>
      <c r="E215" s="39">
        <v>57900</v>
      </c>
      <c r="F215" s="39">
        <v>54900</v>
      </c>
      <c r="G215" s="39">
        <v>49410</v>
      </c>
      <c r="H215" s="51">
        <v>307700</v>
      </c>
      <c r="I215" s="249"/>
      <c r="J215" s="237" t="s">
        <v>722</v>
      </c>
      <c r="K215" s="41" t="s">
        <v>727</v>
      </c>
      <c r="L215" s="39">
        <v>47900</v>
      </c>
      <c r="M215" s="39">
        <v>44900</v>
      </c>
      <c r="N215" s="39">
        <v>40410</v>
      </c>
      <c r="O215" s="51">
        <v>285200</v>
      </c>
    </row>
    <row r="216" spans="2:15" x14ac:dyDescent="0.45">
      <c r="B216" s="249"/>
      <c r="C216" s="237"/>
      <c r="D216" s="42" t="s">
        <v>728</v>
      </c>
      <c r="E216" s="40">
        <v>54900</v>
      </c>
      <c r="F216" s="40">
        <v>51900</v>
      </c>
      <c r="G216" s="40">
        <v>46710</v>
      </c>
      <c r="H216" s="50">
        <v>307700</v>
      </c>
      <c r="I216" s="249"/>
      <c r="J216" s="237"/>
      <c r="K216" s="42" t="s">
        <v>728</v>
      </c>
      <c r="L216" s="40">
        <v>44900</v>
      </c>
      <c r="M216" s="40">
        <v>41900</v>
      </c>
      <c r="N216" s="40">
        <v>37710</v>
      </c>
      <c r="O216" s="50">
        <v>285200</v>
      </c>
    </row>
    <row r="217" spans="2:15" x14ac:dyDescent="0.45">
      <c r="B217" s="249"/>
      <c r="C217" s="237"/>
      <c r="D217" s="42" t="s">
        <v>729</v>
      </c>
      <c r="E217" s="40">
        <v>52900</v>
      </c>
      <c r="F217" s="40">
        <v>49900</v>
      </c>
      <c r="G217" s="40">
        <v>44910</v>
      </c>
      <c r="H217" s="50">
        <v>353900</v>
      </c>
      <c r="I217" s="249"/>
      <c r="J217" s="237"/>
      <c r="K217" s="42" t="s">
        <v>729</v>
      </c>
      <c r="L217" s="40">
        <v>42900</v>
      </c>
      <c r="M217" s="40">
        <v>39900</v>
      </c>
      <c r="N217" s="40">
        <v>35910</v>
      </c>
      <c r="O217" s="50">
        <v>328000</v>
      </c>
    </row>
    <row r="218" spans="2:15" ht="17.5" thickBot="1" x14ac:dyDescent="0.5">
      <c r="B218" s="250"/>
      <c r="C218" s="238"/>
      <c r="D218" s="44" t="s">
        <v>730</v>
      </c>
      <c r="E218" s="66">
        <v>50900</v>
      </c>
      <c r="F218" s="66">
        <v>47900</v>
      </c>
      <c r="G218" s="66">
        <v>43110</v>
      </c>
      <c r="H218" s="67">
        <v>353900</v>
      </c>
      <c r="I218" s="250"/>
      <c r="J218" s="238"/>
      <c r="K218" s="44" t="s">
        <v>730</v>
      </c>
      <c r="L218" s="66">
        <v>40900</v>
      </c>
      <c r="M218" s="66">
        <v>37900</v>
      </c>
      <c r="N218" s="66">
        <v>34110</v>
      </c>
      <c r="O218" s="67">
        <v>328000</v>
      </c>
    </row>
    <row r="219" spans="2:15" ht="17.5" thickTop="1" x14ac:dyDescent="0.45">
      <c r="B219" s="248" t="s">
        <v>755</v>
      </c>
      <c r="C219" s="251" t="s">
        <v>739</v>
      </c>
      <c r="D219" s="52" t="s">
        <v>723</v>
      </c>
      <c r="E219" s="53">
        <v>66400</v>
      </c>
      <c r="F219" s="53">
        <v>63400</v>
      </c>
      <c r="G219" s="53">
        <v>57060</v>
      </c>
      <c r="H219" s="54">
        <v>330100</v>
      </c>
      <c r="I219" s="244" t="s">
        <v>732</v>
      </c>
      <c r="J219" s="218" t="s">
        <v>720</v>
      </c>
      <c r="K219" s="219"/>
      <c r="L219" s="222" t="s">
        <v>764</v>
      </c>
      <c r="M219" s="222"/>
      <c r="N219" s="222"/>
      <c r="O219" s="223"/>
    </row>
    <row r="220" spans="2:15" ht="17.5" thickBot="1" x14ac:dyDescent="0.5">
      <c r="B220" s="249"/>
      <c r="C220" s="232"/>
      <c r="D220" s="42" t="s">
        <v>724</v>
      </c>
      <c r="E220" s="40">
        <v>63400</v>
      </c>
      <c r="F220" s="40">
        <v>60400</v>
      </c>
      <c r="G220" s="40">
        <v>54360</v>
      </c>
      <c r="H220" s="50">
        <v>330100</v>
      </c>
      <c r="I220" s="253"/>
      <c r="J220" s="254"/>
      <c r="K220" s="255"/>
      <c r="L220" s="47" t="s">
        <v>611</v>
      </c>
      <c r="M220" s="47" t="s">
        <v>612</v>
      </c>
      <c r="N220" s="47" t="s">
        <v>731</v>
      </c>
      <c r="O220" s="48" t="s">
        <v>593</v>
      </c>
    </row>
    <row r="221" spans="2:15" ht="17.5" customHeight="1" thickTop="1" x14ac:dyDescent="0.45">
      <c r="B221" s="249"/>
      <c r="C221" s="232"/>
      <c r="D221" s="42" t="s">
        <v>725</v>
      </c>
      <c r="E221" s="40">
        <v>61400</v>
      </c>
      <c r="F221" s="40">
        <v>58400</v>
      </c>
      <c r="G221" s="40">
        <v>52560</v>
      </c>
      <c r="H221" s="50">
        <v>379600</v>
      </c>
      <c r="I221" s="248" t="s">
        <v>768</v>
      </c>
      <c r="J221" s="251" t="s">
        <v>769</v>
      </c>
      <c r="K221" s="52" t="s">
        <v>724</v>
      </c>
      <c r="L221" s="53">
        <v>22900</v>
      </c>
      <c r="M221" s="53">
        <v>20900</v>
      </c>
      <c r="N221" s="267" t="s">
        <v>751</v>
      </c>
      <c r="O221" s="54">
        <v>209100</v>
      </c>
    </row>
    <row r="222" spans="2:15" x14ac:dyDescent="0.45">
      <c r="B222" s="249"/>
      <c r="C222" s="232"/>
      <c r="D222" s="43" t="s">
        <v>726</v>
      </c>
      <c r="E222" s="55">
        <v>59400</v>
      </c>
      <c r="F222" s="55">
        <v>56400</v>
      </c>
      <c r="G222" s="55">
        <v>50760</v>
      </c>
      <c r="H222" s="56">
        <v>379600</v>
      </c>
      <c r="I222" s="249"/>
      <c r="J222" s="232"/>
      <c r="K222" s="42" t="s">
        <v>725</v>
      </c>
      <c r="L222" s="40">
        <v>20900</v>
      </c>
      <c r="M222" s="40">
        <v>18900</v>
      </c>
      <c r="N222" s="268"/>
      <c r="O222" s="50">
        <v>240500</v>
      </c>
    </row>
    <row r="223" spans="2:15" x14ac:dyDescent="0.45">
      <c r="B223" s="249"/>
      <c r="C223" s="234" t="s">
        <v>750</v>
      </c>
      <c r="D223" s="45" t="s">
        <v>723</v>
      </c>
      <c r="E223" s="46">
        <v>64900</v>
      </c>
      <c r="F223" s="46">
        <v>61900</v>
      </c>
      <c r="G223" s="46">
        <v>55710</v>
      </c>
      <c r="H223" s="49">
        <v>318900</v>
      </c>
      <c r="I223" s="249"/>
      <c r="J223" s="290"/>
      <c r="K223" s="57" t="s">
        <v>726</v>
      </c>
      <c r="L223" s="58">
        <v>18900</v>
      </c>
      <c r="M223" s="58">
        <v>16900</v>
      </c>
      <c r="N223" s="268"/>
      <c r="O223" s="59">
        <v>240500</v>
      </c>
    </row>
    <row r="224" spans="2:15" x14ac:dyDescent="0.45">
      <c r="B224" s="249"/>
      <c r="C224" s="237"/>
      <c r="D224" s="42" t="s">
        <v>724</v>
      </c>
      <c r="E224" s="40">
        <v>61900</v>
      </c>
      <c r="F224" s="40">
        <v>58900</v>
      </c>
      <c r="G224" s="40">
        <v>53010</v>
      </c>
      <c r="H224" s="50">
        <v>318900</v>
      </c>
      <c r="I224" s="249"/>
      <c r="J224" s="291" t="s">
        <v>722</v>
      </c>
      <c r="K224" s="42" t="s">
        <v>728</v>
      </c>
      <c r="L224" s="40">
        <v>20900</v>
      </c>
      <c r="M224" s="40">
        <v>18900</v>
      </c>
      <c r="N224" s="268"/>
      <c r="O224" s="50">
        <v>197900</v>
      </c>
    </row>
    <row r="225" spans="2:15" x14ac:dyDescent="0.45">
      <c r="B225" s="249"/>
      <c r="C225" s="237"/>
      <c r="D225" s="42" t="s">
        <v>725</v>
      </c>
      <c r="E225" s="40">
        <v>59900</v>
      </c>
      <c r="F225" s="40">
        <v>56900</v>
      </c>
      <c r="G225" s="40">
        <v>51210</v>
      </c>
      <c r="H225" s="50">
        <v>366700</v>
      </c>
      <c r="I225" s="249"/>
      <c r="J225" s="232"/>
      <c r="K225" s="42" t="s">
        <v>729</v>
      </c>
      <c r="L225" s="40">
        <v>18900</v>
      </c>
      <c r="M225" s="40">
        <v>16900</v>
      </c>
      <c r="N225" s="268"/>
      <c r="O225" s="50">
        <v>227600</v>
      </c>
    </row>
    <row r="226" spans="2:15" ht="17.5" thickBot="1" x14ac:dyDescent="0.5">
      <c r="B226" s="249"/>
      <c r="C226" s="252"/>
      <c r="D226" s="57" t="s">
        <v>726</v>
      </c>
      <c r="E226" s="58">
        <v>57900</v>
      </c>
      <c r="F226" s="58">
        <v>54900</v>
      </c>
      <c r="G226" s="58">
        <v>49410</v>
      </c>
      <c r="H226" s="59">
        <v>366700</v>
      </c>
      <c r="I226" s="250"/>
      <c r="J226" s="233"/>
      <c r="K226" s="44" t="s">
        <v>730</v>
      </c>
      <c r="L226" s="66">
        <v>16900</v>
      </c>
      <c r="M226" s="66">
        <v>14900</v>
      </c>
      <c r="N226" s="269"/>
      <c r="O226" s="67">
        <v>227600</v>
      </c>
    </row>
    <row r="227" spans="2:15" ht="17.5" thickTop="1" x14ac:dyDescent="0.45">
      <c r="B227" s="249"/>
      <c r="C227" s="237" t="s">
        <v>722</v>
      </c>
      <c r="D227" s="41" t="s">
        <v>727</v>
      </c>
      <c r="E227" s="39">
        <v>61900</v>
      </c>
      <c r="F227" s="39">
        <v>58900</v>
      </c>
      <c r="G227" s="39">
        <v>53010</v>
      </c>
      <c r="H227" s="51">
        <v>318900</v>
      </c>
    </row>
    <row r="228" spans="2:15" x14ac:dyDescent="0.45">
      <c r="B228" s="249"/>
      <c r="C228" s="237"/>
      <c r="D228" s="42" t="s">
        <v>728</v>
      </c>
      <c r="E228" s="40">
        <v>58900</v>
      </c>
      <c r="F228" s="40">
        <v>55900</v>
      </c>
      <c r="G228" s="40">
        <v>50310</v>
      </c>
      <c r="H228" s="50">
        <v>318900</v>
      </c>
    </row>
    <row r="229" spans="2:15" x14ac:dyDescent="0.45">
      <c r="B229" s="249"/>
      <c r="C229" s="237"/>
      <c r="D229" s="42" t="s">
        <v>729</v>
      </c>
      <c r="E229" s="40">
        <v>56900</v>
      </c>
      <c r="F229" s="40">
        <v>53900</v>
      </c>
      <c r="G229" s="40">
        <v>48510</v>
      </c>
      <c r="H229" s="50">
        <v>366700</v>
      </c>
    </row>
    <row r="230" spans="2:15" ht="17.5" thickBot="1" x14ac:dyDescent="0.5">
      <c r="B230" s="250"/>
      <c r="C230" s="238"/>
      <c r="D230" s="44" t="s">
        <v>730</v>
      </c>
      <c r="E230" s="66">
        <v>54900</v>
      </c>
      <c r="F230" s="66">
        <v>51900</v>
      </c>
      <c r="G230" s="66">
        <v>46710</v>
      </c>
      <c r="H230" s="67">
        <v>366700</v>
      </c>
    </row>
    <row r="231" spans="2:15" ht="17.5" thickTop="1" x14ac:dyDescent="0.45">
      <c r="B231" s="244" t="s">
        <v>732</v>
      </c>
      <c r="C231" s="218" t="s">
        <v>720</v>
      </c>
      <c r="D231" s="219"/>
      <c r="E231" s="222" t="s">
        <v>922</v>
      </c>
      <c r="F231" s="222"/>
      <c r="G231" s="222"/>
      <c r="H231" s="223"/>
      <c r="I231" s="244" t="s">
        <v>732</v>
      </c>
      <c r="J231" s="218" t="s">
        <v>720</v>
      </c>
      <c r="K231" s="219"/>
      <c r="L231" s="292" t="s">
        <v>923</v>
      </c>
      <c r="M231" s="222"/>
      <c r="N231" s="222"/>
      <c r="O231" s="223"/>
    </row>
    <row r="232" spans="2:15" ht="17.5" thickBot="1" x14ac:dyDescent="0.5">
      <c r="B232" s="253"/>
      <c r="C232" s="254"/>
      <c r="D232" s="255"/>
      <c r="E232" s="111" t="s">
        <v>611</v>
      </c>
      <c r="F232" s="111" t="s">
        <v>612</v>
      </c>
      <c r="G232" s="111" t="s">
        <v>731</v>
      </c>
      <c r="H232" s="48" t="s">
        <v>593</v>
      </c>
      <c r="I232" s="253"/>
      <c r="J232" s="254"/>
      <c r="K232" s="255"/>
      <c r="L232" s="111" t="s">
        <v>611</v>
      </c>
      <c r="M232" s="111" t="s">
        <v>612</v>
      </c>
      <c r="N232" s="111" t="s">
        <v>731</v>
      </c>
      <c r="O232" s="48" t="s">
        <v>593</v>
      </c>
    </row>
    <row r="233" spans="2:15" ht="17.5" thickTop="1" x14ac:dyDescent="0.45">
      <c r="B233" s="248" t="s">
        <v>919</v>
      </c>
      <c r="C233" s="251" t="s">
        <v>738</v>
      </c>
      <c r="D233" s="52" t="s">
        <v>723</v>
      </c>
      <c r="E233" s="53">
        <v>28900</v>
      </c>
      <c r="F233" s="53">
        <v>25900</v>
      </c>
      <c r="G233" s="53"/>
      <c r="H233" s="54">
        <v>220300</v>
      </c>
      <c r="I233" s="248" t="s">
        <v>924</v>
      </c>
      <c r="J233" s="251" t="s">
        <v>738</v>
      </c>
      <c r="K233" s="52" t="s">
        <v>723</v>
      </c>
      <c r="L233" s="53">
        <v>37900</v>
      </c>
      <c r="M233" s="53">
        <v>34900</v>
      </c>
      <c r="N233" s="53"/>
      <c r="O233" s="54">
        <v>251500</v>
      </c>
    </row>
    <row r="234" spans="2:15" x14ac:dyDescent="0.45">
      <c r="B234" s="249"/>
      <c r="C234" s="232"/>
      <c r="D234" s="42" t="s">
        <v>724</v>
      </c>
      <c r="E234" s="40">
        <v>26400</v>
      </c>
      <c r="F234" s="40">
        <v>23400</v>
      </c>
      <c r="G234" s="40"/>
      <c r="H234" s="50">
        <v>220300</v>
      </c>
      <c r="I234" s="249"/>
      <c r="J234" s="232"/>
      <c r="K234" s="42" t="s">
        <v>724</v>
      </c>
      <c r="L234" s="40">
        <v>35400</v>
      </c>
      <c r="M234" s="40">
        <v>32400</v>
      </c>
      <c r="N234" s="40"/>
      <c r="O234" s="50">
        <v>251500</v>
      </c>
    </row>
    <row r="235" spans="2:15" x14ac:dyDescent="0.45">
      <c r="B235" s="249"/>
      <c r="C235" s="232"/>
      <c r="D235" s="42" t="s">
        <v>725</v>
      </c>
      <c r="E235" s="40">
        <v>24900</v>
      </c>
      <c r="F235" s="40">
        <v>21900</v>
      </c>
      <c r="G235" s="40"/>
      <c r="H235" s="50">
        <v>253300</v>
      </c>
      <c r="I235" s="249"/>
      <c r="J235" s="232"/>
      <c r="K235" s="42" t="s">
        <v>725</v>
      </c>
      <c r="L235" s="40">
        <v>33900</v>
      </c>
      <c r="M235" s="40">
        <v>30900</v>
      </c>
      <c r="N235" s="40"/>
      <c r="O235" s="50">
        <v>289200</v>
      </c>
    </row>
    <row r="236" spans="2:15" x14ac:dyDescent="0.45">
      <c r="B236" s="249"/>
      <c r="C236" s="232"/>
      <c r="D236" s="43" t="s">
        <v>726</v>
      </c>
      <c r="E236" s="55">
        <v>23400</v>
      </c>
      <c r="F236" s="55">
        <v>20400</v>
      </c>
      <c r="G236" s="55"/>
      <c r="H236" s="56">
        <v>253300</v>
      </c>
      <c r="I236" s="249"/>
      <c r="J236" s="232"/>
      <c r="K236" s="43" t="s">
        <v>726</v>
      </c>
      <c r="L236" s="55">
        <v>32400</v>
      </c>
      <c r="M236" s="55">
        <v>29400</v>
      </c>
      <c r="N236" s="55"/>
      <c r="O236" s="56">
        <v>289200</v>
      </c>
    </row>
    <row r="237" spans="2:15" x14ac:dyDescent="0.45">
      <c r="B237" s="249"/>
      <c r="C237" s="234" t="s">
        <v>739</v>
      </c>
      <c r="D237" s="45" t="s">
        <v>723</v>
      </c>
      <c r="E237" s="46">
        <v>26900</v>
      </c>
      <c r="F237" s="46">
        <v>23900</v>
      </c>
      <c r="G237" s="46"/>
      <c r="H237" s="49">
        <v>209100</v>
      </c>
      <c r="I237" s="249"/>
      <c r="J237" s="234" t="s">
        <v>739</v>
      </c>
      <c r="K237" s="45" t="s">
        <v>723</v>
      </c>
      <c r="L237" s="46">
        <v>35900</v>
      </c>
      <c r="M237" s="46">
        <v>32900</v>
      </c>
      <c r="N237" s="46"/>
      <c r="O237" s="49">
        <v>251500</v>
      </c>
    </row>
    <row r="238" spans="2:15" x14ac:dyDescent="0.45">
      <c r="B238" s="249"/>
      <c r="C238" s="237"/>
      <c r="D238" s="42" t="s">
        <v>724</v>
      </c>
      <c r="E238" s="40">
        <v>24400</v>
      </c>
      <c r="F238" s="40">
        <v>21400</v>
      </c>
      <c r="G238" s="40"/>
      <c r="H238" s="50">
        <v>209100</v>
      </c>
      <c r="I238" s="249"/>
      <c r="J238" s="237"/>
      <c r="K238" s="42" t="s">
        <v>724</v>
      </c>
      <c r="L238" s="40">
        <v>33400</v>
      </c>
      <c r="M238" s="40">
        <v>30400</v>
      </c>
      <c r="N238" s="40"/>
      <c r="O238" s="50">
        <v>251500</v>
      </c>
    </row>
    <row r="239" spans="2:15" x14ac:dyDescent="0.45">
      <c r="B239" s="249"/>
      <c r="C239" s="237"/>
      <c r="D239" s="42" t="s">
        <v>725</v>
      </c>
      <c r="E239" s="40">
        <v>22900</v>
      </c>
      <c r="F239" s="40">
        <v>19900</v>
      </c>
      <c r="G239" s="40"/>
      <c r="H239" s="50">
        <v>240500</v>
      </c>
      <c r="I239" s="249"/>
      <c r="J239" s="237"/>
      <c r="K239" s="42" t="s">
        <v>725</v>
      </c>
      <c r="L239" s="40">
        <v>31900</v>
      </c>
      <c r="M239" s="40">
        <v>28900</v>
      </c>
      <c r="N239" s="40"/>
      <c r="O239" s="50">
        <v>289200</v>
      </c>
    </row>
    <row r="240" spans="2:15" x14ac:dyDescent="0.45">
      <c r="B240" s="249"/>
      <c r="C240" s="252"/>
      <c r="D240" s="57" t="s">
        <v>726</v>
      </c>
      <c r="E240" s="58">
        <v>21400</v>
      </c>
      <c r="F240" s="58">
        <v>18400</v>
      </c>
      <c r="G240" s="58"/>
      <c r="H240" s="59">
        <v>240500</v>
      </c>
      <c r="I240" s="249"/>
      <c r="J240" s="252"/>
      <c r="K240" s="57" t="s">
        <v>726</v>
      </c>
      <c r="L240" s="58">
        <v>30400</v>
      </c>
      <c r="M240" s="58">
        <v>27400</v>
      </c>
      <c r="N240" s="58"/>
      <c r="O240" s="59">
        <v>289200</v>
      </c>
    </row>
    <row r="241" spans="2:15" x14ac:dyDescent="0.45">
      <c r="B241" s="249"/>
      <c r="C241" s="237" t="s">
        <v>722</v>
      </c>
      <c r="D241" s="41" t="s">
        <v>727</v>
      </c>
      <c r="E241" s="39">
        <v>24900</v>
      </c>
      <c r="F241" s="39">
        <v>21900</v>
      </c>
      <c r="G241" s="39"/>
      <c r="H241" s="51">
        <v>197900</v>
      </c>
      <c r="I241" s="249"/>
      <c r="J241" s="237" t="s">
        <v>722</v>
      </c>
      <c r="K241" s="41" t="s">
        <v>727</v>
      </c>
      <c r="L241" s="39">
        <v>33900</v>
      </c>
      <c r="M241" s="39">
        <v>30900</v>
      </c>
      <c r="N241" s="39"/>
      <c r="O241" s="51">
        <v>240200</v>
      </c>
    </row>
    <row r="242" spans="2:15" x14ac:dyDescent="0.45">
      <c r="B242" s="249"/>
      <c r="C242" s="237"/>
      <c r="D242" s="42" t="s">
        <v>728</v>
      </c>
      <c r="E242" s="40">
        <v>22400</v>
      </c>
      <c r="F242" s="40">
        <v>19400</v>
      </c>
      <c r="G242" s="40"/>
      <c r="H242" s="50">
        <v>197900</v>
      </c>
      <c r="I242" s="249"/>
      <c r="J242" s="237"/>
      <c r="K242" s="42" t="s">
        <v>728</v>
      </c>
      <c r="L242" s="40">
        <v>31400</v>
      </c>
      <c r="M242" s="40">
        <v>28400</v>
      </c>
      <c r="N242" s="40"/>
      <c r="O242" s="50">
        <v>240200</v>
      </c>
    </row>
    <row r="243" spans="2:15" x14ac:dyDescent="0.45">
      <c r="B243" s="249"/>
      <c r="C243" s="237"/>
      <c r="D243" s="42" t="s">
        <v>729</v>
      </c>
      <c r="E243" s="40">
        <v>20900</v>
      </c>
      <c r="F243" s="40">
        <v>17900</v>
      </c>
      <c r="G243" s="40"/>
      <c r="H243" s="50">
        <v>227600</v>
      </c>
      <c r="I243" s="249"/>
      <c r="J243" s="237"/>
      <c r="K243" s="42" t="s">
        <v>729</v>
      </c>
      <c r="L243" s="40">
        <v>29900</v>
      </c>
      <c r="M243" s="40">
        <v>26900</v>
      </c>
      <c r="N243" s="40"/>
      <c r="O243" s="50">
        <v>276200</v>
      </c>
    </row>
    <row r="244" spans="2:15" ht="17.5" thickBot="1" x14ac:dyDescent="0.5">
      <c r="B244" s="250"/>
      <c r="C244" s="238"/>
      <c r="D244" s="44" t="s">
        <v>730</v>
      </c>
      <c r="E244" s="66">
        <v>19400</v>
      </c>
      <c r="F244" s="66">
        <v>16400</v>
      </c>
      <c r="G244" s="66"/>
      <c r="H244" s="67">
        <v>227600</v>
      </c>
      <c r="I244" s="250"/>
      <c r="J244" s="238"/>
      <c r="K244" s="44" t="s">
        <v>730</v>
      </c>
      <c r="L244" s="66">
        <v>28400</v>
      </c>
      <c r="M244" s="66">
        <v>25400</v>
      </c>
      <c r="N244" s="66"/>
      <c r="O244" s="67">
        <v>276200</v>
      </c>
    </row>
    <row r="245" spans="2:15" ht="17.5" thickTop="1" x14ac:dyDescent="0.45">
      <c r="B245" s="244" t="s">
        <v>732</v>
      </c>
      <c r="C245" s="218" t="s">
        <v>720</v>
      </c>
      <c r="D245" s="219"/>
      <c r="E245" s="222" t="s">
        <v>1070</v>
      </c>
      <c r="F245" s="222"/>
      <c r="G245" s="222"/>
      <c r="H245" s="223"/>
      <c r="I245" s="244" t="s">
        <v>732</v>
      </c>
      <c r="J245" s="218" t="s">
        <v>720</v>
      </c>
      <c r="K245" s="219"/>
      <c r="L245" s="222" t="s">
        <v>1072</v>
      </c>
      <c r="M245" s="222"/>
      <c r="N245" s="222"/>
      <c r="O245" s="223"/>
    </row>
    <row r="246" spans="2:15" ht="17.5" thickBot="1" x14ac:dyDescent="0.5">
      <c r="B246" s="253"/>
      <c r="C246" s="254"/>
      <c r="D246" s="255"/>
      <c r="E246" s="150" t="s">
        <v>611</v>
      </c>
      <c r="F246" s="150" t="s">
        <v>612</v>
      </c>
      <c r="G246" s="150" t="s">
        <v>731</v>
      </c>
      <c r="H246" s="48" t="s">
        <v>593</v>
      </c>
      <c r="I246" s="253"/>
      <c r="J246" s="254"/>
      <c r="K246" s="255"/>
      <c r="L246" s="150" t="s">
        <v>611</v>
      </c>
      <c r="M246" s="150" t="s">
        <v>612</v>
      </c>
      <c r="N246" s="150" t="s">
        <v>731</v>
      </c>
      <c r="O246" s="48" t="s">
        <v>593</v>
      </c>
    </row>
    <row r="247" spans="2:15" ht="17.5" thickTop="1" x14ac:dyDescent="0.45">
      <c r="B247" s="248" t="s">
        <v>1071</v>
      </c>
      <c r="C247" s="251" t="s">
        <v>738</v>
      </c>
      <c r="D247" s="52" t="s">
        <v>723</v>
      </c>
      <c r="E247" s="53">
        <v>31900</v>
      </c>
      <c r="F247" s="53">
        <v>28900</v>
      </c>
      <c r="G247" s="53"/>
      <c r="H247" s="54">
        <v>231600</v>
      </c>
      <c r="I247" s="248" t="s">
        <v>1073</v>
      </c>
      <c r="J247" s="251" t="s">
        <v>738</v>
      </c>
      <c r="K247" s="52" t="s">
        <v>723</v>
      </c>
      <c r="L247" s="53">
        <v>34900</v>
      </c>
      <c r="M247" s="53">
        <v>31900</v>
      </c>
      <c r="N247" s="53"/>
      <c r="O247" s="54">
        <v>240200</v>
      </c>
    </row>
    <row r="248" spans="2:15" x14ac:dyDescent="0.45">
      <c r="B248" s="249"/>
      <c r="C248" s="232"/>
      <c r="D248" s="42" t="s">
        <v>724</v>
      </c>
      <c r="E248" s="40">
        <v>29400</v>
      </c>
      <c r="F248" s="40">
        <v>26400</v>
      </c>
      <c r="G248" s="40"/>
      <c r="H248" s="50">
        <v>231600</v>
      </c>
      <c r="I248" s="249"/>
      <c r="J248" s="232"/>
      <c r="K248" s="42" t="s">
        <v>724</v>
      </c>
      <c r="L248" s="40">
        <v>32400</v>
      </c>
      <c r="M248" s="40">
        <v>29400</v>
      </c>
      <c r="N248" s="40"/>
      <c r="O248" s="50">
        <v>240200</v>
      </c>
    </row>
    <row r="249" spans="2:15" x14ac:dyDescent="0.45">
      <c r="B249" s="249"/>
      <c r="C249" s="232"/>
      <c r="D249" s="42" t="s">
        <v>725</v>
      </c>
      <c r="E249" s="40">
        <v>27900</v>
      </c>
      <c r="F249" s="40">
        <v>24900</v>
      </c>
      <c r="G249" s="40"/>
      <c r="H249" s="50">
        <v>266300</v>
      </c>
      <c r="I249" s="249"/>
      <c r="J249" s="232"/>
      <c r="K249" s="42" t="s">
        <v>725</v>
      </c>
      <c r="L249" s="40">
        <v>30900</v>
      </c>
      <c r="M249" s="40">
        <v>27900</v>
      </c>
      <c r="N249" s="40"/>
      <c r="O249" s="50">
        <v>276200</v>
      </c>
    </row>
    <row r="250" spans="2:15" x14ac:dyDescent="0.45">
      <c r="B250" s="249"/>
      <c r="C250" s="232"/>
      <c r="D250" s="43" t="s">
        <v>726</v>
      </c>
      <c r="E250" s="55">
        <v>26400</v>
      </c>
      <c r="F250" s="55">
        <v>23400</v>
      </c>
      <c r="G250" s="55"/>
      <c r="H250" s="56">
        <v>266300</v>
      </c>
      <c r="I250" s="249"/>
      <c r="J250" s="232"/>
      <c r="K250" s="43" t="s">
        <v>726</v>
      </c>
      <c r="L250" s="55">
        <v>29400</v>
      </c>
      <c r="M250" s="55">
        <v>26400</v>
      </c>
      <c r="N250" s="55"/>
      <c r="O250" s="56">
        <v>276200</v>
      </c>
    </row>
    <row r="251" spans="2:15" x14ac:dyDescent="0.45">
      <c r="B251" s="249"/>
      <c r="C251" s="234" t="s">
        <v>739</v>
      </c>
      <c r="D251" s="45" t="s">
        <v>723</v>
      </c>
      <c r="E251" s="46">
        <v>29900</v>
      </c>
      <c r="F251" s="46">
        <v>26900</v>
      </c>
      <c r="G251" s="46"/>
      <c r="H251" s="49">
        <v>220300</v>
      </c>
      <c r="I251" s="249"/>
      <c r="J251" s="234" t="s">
        <v>739</v>
      </c>
      <c r="K251" s="45" t="s">
        <v>723</v>
      </c>
      <c r="L251" s="46">
        <v>32900</v>
      </c>
      <c r="M251" s="46">
        <v>29900</v>
      </c>
      <c r="N251" s="46"/>
      <c r="O251" s="49">
        <v>231600</v>
      </c>
    </row>
    <row r="252" spans="2:15" x14ac:dyDescent="0.45">
      <c r="B252" s="249"/>
      <c r="C252" s="237"/>
      <c r="D252" s="42" t="s">
        <v>724</v>
      </c>
      <c r="E252" s="40">
        <v>27400</v>
      </c>
      <c r="F252" s="40">
        <v>24400</v>
      </c>
      <c r="G252" s="40"/>
      <c r="H252" s="50">
        <v>220300</v>
      </c>
      <c r="I252" s="249"/>
      <c r="J252" s="237"/>
      <c r="K252" s="42" t="s">
        <v>724</v>
      </c>
      <c r="L252" s="40">
        <v>30400</v>
      </c>
      <c r="M252" s="40">
        <v>27400</v>
      </c>
      <c r="N252" s="40"/>
      <c r="O252" s="50">
        <v>231600</v>
      </c>
    </row>
    <row r="253" spans="2:15" x14ac:dyDescent="0.45">
      <c r="B253" s="249"/>
      <c r="C253" s="237"/>
      <c r="D253" s="42" t="s">
        <v>725</v>
      </c>
      <c r="E253" s="40">
        <v>25900</v>
      </c>
      <c r="F253" s="40">
        <v>22900</v>
      </c>
      <c r="G253" s="40"/>
      <c r="H253" s="50">
        <v>253300</v>
      </c>
      <c r="I253" s="249"/>
      <c r="J253" s="237"/>
      <c r="K253" s="42" t="s">
        <v>725</v>
      </c>
      <c r="L253" s="40">
        <v>28900</v>
      </c>
      <c r="M253" s="40">
        <v>25900</v>
      </c>
      <c r="N253" s="40"/>
      <c r="O253" s="50">
        <v>266300</v>
      </c>
    </row>
    <row r="254" spans="2:15" x14ac:dyDescent="0.45">
      <c r="B254" s="249"/>
      <c r="C254" s="252"/>
      <c r="D254" s="57" t="s">
        <v>726</v>
      </c>
      <c r="E254" s="58">
        <v>24400</v>
      </c>
      <c r="F254" s="58">
        <v>21400</v>
      </c>
      <c r="G254" s="58"/>
      <c r="H254" s="59">
        <v>253300</v>
      </c>
      <c r="I254" s="249"/>
      <c r="J254" s="252"/>
      <c r="K254" s="57" t="s">
        <v>726</v>
      </c>
      <c r="L254" s="58">
        <v>27400</v>
      </c>
      <c r="M254" s="58">
        <v>24400</v>
      </c>
      <c r="N254" s="58"/>
      <c r="O254" s="59">
        <v>266300</v>
      </c>
    </row>
    <row r="255" spans="2:15" x14ac:dyDescent="0.45">
      <c r="B255" s="249"/>
      <c r="C255" s="237" t="s">
        <v>722</v>
      </c>
      <c r="D255" s="41" t="s">
        <v>727</v>
      </c>
      <c r="E255" s="39">
        <v>27900</v>
      </c>
      <c r="F255" s="39">
        <v>24900</v>
      </c>
      <c r="G255" s="39"/>
      <c r="H255" s="51">
        <v>209100</v>
      </c>
      <c r="I255" s="249"/>
      <c r="J255" s="237" t="s">
        <v>722</v>
      </c>
      <c r="K255" s="41" t="s">
        <v>727</v>
      </c>
      <c r="L255" s="39">
        <v>30900</v>
      </c>
      <c r="M255" s="39">
        <v>27900</v>
      </c>
      <c r="N255" s="39"/>
      <c r="O255" s="51">
        <v>231600</v>
      </c>
    </row>
    <row r="256" spans="2:15" x14ac:dyDescent="0.45">
      <c r="B256" s="249"/>
      <c r="C256" s="237"/>
      <c r="D256" s="42" t="s">
        <v>728</v>
      </c>
      <c r="E256" s="40">
        <v>25400</v>
      </c>
      <c r="F256" s="40">
        <v>22400</v>
      </c>
      <c r="G256" s="40"/>
      <c r="H256" s="50">
        <v>209100</v>
      </c>
      <c r="I256" s="249"/>
      <c r="J256" s="237"/>
      <c r="K256" s="42" t="s">
        <v>728</v>
      </c>
      <c r="L256" s="40">
        <v>28400</v>
      </c>
      <c r="M256" s="40">
        <v>25400</v>
      </c>
      <c r="N256" s="40"/>
      <c r="O256" s="50">
        <v>231600</v>
      </c>
    </row>
    <row r="257" spans="2:15" x14ac:dyDescent="0.45">
      <c r="B257" s="249"/>
      <c r="C257" s="237"/>
      <c r="D257" s="42" t="s">
        <v>729</v>
      </c>
      <c r="E257" s="40">
        <v>23900</v>
      </c>
      <c r="F257" s="40">
        <v>20900</v>
      </c>
      <c r="G257" s="40"/>
      <c r="H257" s="50">
        <v>240500</v>
      </c>
      <c r="I257" s="249"/>
      <c r="J257" s="237"/>
      <c r="K257" s="42" t="s">
        <v>729</v>
      </c>
      <c r="L257" s="40">
        <v>26900</v>
      </c>
      <c r="M257" s="40">
        <v>23900</v>
      </c>
      <c r="N257" s="40"/>
      <c r="O257" s="50">
        <v>266300</v>
      </c>
    </row>
    <row r="258" spans="2:15" ht="17.5" thickBot="1" x14ac:dyDescent="0.5">
      <c r="B258" s="250"/>
      <c r="C258" s="238"/>
      <c r="D258" s="44" t="s">
        <v>730</v>
      </c>
      <c r="E258" s="66">
        <v>22400</v>
      </c>
      <c r="F258" s="66">
        <v>19400</v>
      </c>
      <c r="G258" s="66"/>
      <c r="H258" s="67">
        <v>240500</v>
      </c>
      <c r="I258" s="250"/>
      <c r="J258" s="238"/>
      <c r="K258" s="44" t="s">
        <v>730</v>
      </c>
      <c r="L258" s="66">
        <v>25400</v>
      </c>
      <c r="M258" s="66">
        <v>22400</v>
      </c>
      <c r="N258" s="66"/>
      <c r="O258" s="67">
        <v>266300</v>
      </c>
    </row>
    <row r="259" spans="2:15" ht="17.5" thickTop="1" x14ac:dyDescent="0.45">
      <c r="B259" s="244" t="s">
        <v>732</v>
      </c>
      <c r="C259" s="218" t="s">
        <v>720</v>
      </c>
      <c r="D259" s="219"/>
      <c r="E259" s="222" t="s">
        <v>1007</v>
      </c>
      <c r="F259" s="222"/>
      <c r="G259" s="222"/>
      <c r="H259" s="223"/>
      <c r="I259" s="244" t="s">
        <v>732</v>
      </c>
      <c r="J259" s="218" t="s">
        <v>720</v>
      </c>
      <c r="K259" s="219"/>
      <c r="L259" s="222" t="s">
        <v>1332</v>
      </c>
      <c r="M259" s="222"/>
      <c r="N259" s="222"/>
      <c r="O259" s="223"/>
    </row>
    <row r="260" spans="2:15" ht="17.5" thickBot="1" x14ac:dyDescent="0.5">
      <c r="B260" s="253"/>
      <c r="C260" s="254"/>
      <c r="D260" s="255"/>
      <c r="E260" s="124" t="s">
        <v>611</v>
      </c>
      <c r="F260" s="124" t="s">
        <v>612</v>
      </c>
      <c r="G260" s="124" t="s">
        <v>731</v>
      </c>
      <c r="H260" s="48" t="s">
        <v>593</v>
      </c>
      <c r="I260" s="253"/>
      <c r="J260" s="254"/>
      <c r="K260" s="255"/>
      <c r="L260" s="200" t="s">
        <v>611</v>
      </c>
      <c r="M260" s="200" t="s">
        <v>612</v>
      </c>
      <c r="N260" s="200" t="s">
        <v>731</v>
      </c>
      <c r="O260" s="48" t="s">
        <v>593</v>
      </c>
    </row>
    <row r="261" spans="2:15" ht="17.5" customHeight="1" thickTop="1" x14ac:dyDescent="0.45">
      <c r="B261" s="248" t="s">
        <v>1009</v>
      </c>
      <c r="C261" s="251" t="s">
        <v>739</v>
      </c>
      <c r="D261" s="52" t="s">
        <v>723</v>
      </c>
      <c r="E261" s="53">
        <v>40900</v>
      </c>
      <c r="F261" s="53">
        <v>37900</v>
      </c>
      <c r="G261" s="53"/>
      <c r="H261" s="54">
        <v>262700</v>
      </c>
      <c r="I261" s="248" t="s">
        <v>1335</v>
      </c>
      <c r="J261" s="251" t="s">
        <v>739</v>
      </c>
      <c r="K261" s="52" t="s">
        <v>723</v>
      </c>
      <c r="L261" s="53">
        <v>37900</v>
      </c>
      <c r="M261" s="53"/>
      <c r="N261" s="53"/>
      <c r="O261" s="54">
        <v>273900</v>
      </c>
    </row>
    <row r="262" spans="2:15" x14ac:dyDescent="0.45">
      <c r="B262" s="249"/>
      <c r="C262" s="232"/>
      <c r="D262" s="42" t="s">
        <v>724</v>
      </c>
      <c r="E262" s="40">
        <v>36400</v>
      </c>
      <c r="F262" s="40">
        <v>33400</v>
      </c>
      <c r="G262" s="40"/>
      <c r="H262" s="50">
        <v>262700</v>
      </c>
      <c r="I262" s="249"/>
      <c r="J262" s="232"/>
      <c r="K262" s="42" t="s">
        <v>724</v>
      </c>
      <c r="L262" s="40">
        <v>35400</v>
      </c>
      <c r="M262" s="40"/>
      <c r="N262" s="40"/>
      <c r="O262" s="50">
        <v>273900</v>
      </c>
    </row>
    <row r="263" spans="2:15" x14ac:dyDescent="0.45">
      <c r="B263" s="249"/>
      <c r="C263" s="232"/>
      <c r="D263" s="42" t="s">
        <v>725</v>
      </c>
      <c r="E263" s="40">
        <v>34400</v>
      </c>
      <c r="F263" s="40">
        <v>31400</v>
      </c>
      <c r="G263" s="40"/>
      <c r="H263" s="50">
        <v>302100</v>
      </c>
      <c r="I263" s="249"/>
      <c r="J263" s="232"/>
      <c r="K263" s="42" t="s">
        <v>725</v>
      </c>
      <c r="L263" s="40">
        <v>33400</v>
      </c>
      <c r="M263" s="40"/>
      <c r="N263" s="40"/>
      <c r="O263" s="50">
        <v>315000</v>
      </c>
    </row>
    <row r="264" spans="2:15" x14ac:dyDescent="0.45">
      <c r="B264" s="249"/>
      <c r="C264" s="232"/>
      <c r="D264" s="43" t="s">
        <v>726</v>
      </c>
      <c r="E264" s="55">
        <v>32400</v>
      </c>
      <c r="F264" s="55">
        <v>29400</v>
      </c>
      <c r="G264" s="55"/>
      <c r="H264" s="56">
        <v>302100</v>
      </c>
      <c r="I264" s="249"/>
      <c r="J264" s="232"/>
      <c r="K264" s="57" t="s">
        <v>726</v>
      </c>
      <c r="L264" s="58">
        <v>31900</v>
      </c>
      <c r="M264" s="58"/>
      <c r="N264" s="58"/>
      <c r="O264" s="59">
        <v>315000</v>
      </c>
    </row>
    <row r="265" spans="2:15" x14ac:dyDescent="0.45">
      <c r="B265" s="249"/>
      <c r="C265" s="234" t="s">
        <v>750</v>
      </c>
      <c r="D265" s="45" t="s">
        <v>723</v>
      </c>
      <c r="E265" s="46">
        <v>38900</v>
      </c>
      <c r="F265" s="46">
        <v>35900</v>
      </c>
      <c r="G265" s="46"/>
      <c r="H265" s="49">
        <v>251500</v>
      </c>
      <c r="I265" s="249"/>
      <c r="J265" s="234" t="s">
        <v>722</v>
      </c>
      <c r="K265" s="41" t="s">
        <v>723</v>
      </c>
      <c r="L265" s="39">
        <v>33900</v>
      </c>
      <c r="M265" s="39"/>
      <c r="N265" s="39"/>
      <c r="O265" s="51">
        <v>251500</v>
      </c>
    </row>
    <row r="266" spans="2:15" x14ac:dyDescent="0.45">
      <c r="B266" s="249"/>
      <c r="C266" s="237"/>
      <c r="D266" s="42" t="s">
        <v>724</v>
      </c>
      <c r="E266" s="40">
        <v>34400</v>
      </c>
      <c r="F266" s="40">
        <v>31400</v>
      </c>
      <c r="G266" s="40"/>
      <c r="H266" s="50">
        <v>251500</v>
      </c>
      <c r="I266" s="249"/>
      <c r="J266" s="237"/>
      <c r="K266" s="42" t="s">
        <v>724</v>
      </c>
      <c r="L266" s="40">
        <v>31400</v>
      </c>
      <c r="M266" s="40"/>
      <c r="N266" s="40"/>
      <c r="O266" s="50">
        <v>251500</v>
      </c>
    </row>
    <row r="267" spans="2:15" x14ac:dyDescent="0.45">
      <c r="B267" s="249"/>
      <c r="C267" s="237"/>
      <c r="D267" s="42" t="s">
        <v>725</v>
      </c>
      <c r="E267" s="40">
        <v>32400</v>
      </c>
      <c r="F267" s="40">
        <v>29400</v>
      </c>
      <c r="G267" s="40"/>
      <c r="H267" s="50">
        <v>289200</v>
      </c>
      <c r="I267" s="249"/>
      <c r="J267" s="237"/>
      <c r="K267" s="42" t="s">
        <v>725</v>
      </c>
      <c r="L267" s="40">
        <v>29400</v>
      </c>
      <c r="M267" s="40"/>
      <c r="N267" s="40"/>
      <c r="O267" s="50">
        <v>289200</v>
      </c>
    </row>
    <row r="268" spans="2:15" ht="17.5" thickBot="1" x14ac:dyDescent="0.5">
      <c r="B268" s="249"/>
      <c r="C268" s="252"/>
      <c r="D268" s="57" t="s">
        <v>726</v>
      </c>
      <c r="E268" s="58">
        <v>30400</v>
      </c>
      <c r="F268" s="58">
        <v>27400</v>
      </c>
      <c r="G268" s="58"/>
      <c r="H268" s="59">
        <v>289200</v>
      </c>
      <c r="I268" s="250"/>
      <c r="J268" s="238"/>
      <c r="K268" s="44" t="s">
        <v>726</v>
      </c>
      <c r="L268" s="66">
        <v>27900</v>
      </c>
      <c r="M268" s="66"/>
      <c r="N268" s="66"/>
      <c r="O268" s="67">
        <v>289200</v>
      </c>
    </row>
    <row r="269" spans="2:15" ht="17.5" thickTop="1" x14ac:dyDescent="0.45">
      <c r="B269" s="249"/>
      <c r="C269" s="237" t="s">
        <v>722</v>
      </c>
      <c r="D269" s="41" t="s">
        <v>727</v>
      </c>
      <c r="E269" s="39">
        <v>35900</v>
      </c>
      <c r="F269" s="39">
        <v>32900</v>
      </c>
      <c r="G269" s="39"/>
      <c r="H269" s="51">
        <v>240200</v>
      </c>
    </row>
    <row r="270" spans="2:15" x14ac:dyDescent="0.45">
      <c r="B270" s="249"/>
      <c r="C270" s="237"/>
      <c r="D270" s="42" t="s">
        <v>728</v>
      </c>
      <c r="E270" s="40">
        <v>31400</v>
      </c>
      <c r="F270" s="40">
        <v>28400</v>
      </c>
      <c r="G270" s="40"/>
      <c r="H270" s="50">
        <v>240200</v>
      </c>
    </row>
    <row r="271" spans="2:15" x14ac:dyDescent="0.45">
      <c r="B271" s="249"/>
      <c r="C271" s="237"/>
      <c r="D271" s="42" t="s">
        <v>729</v>
      </c>
      <c r="E271" s="40">
        <v>29400</v>
      </c>
      <c r="F271" s="40">
        <v>26400</v>
      </c>
      <c r="G271" s="40"/>
      <c r="H271" s="50">
        <v>276200</v>
      </c>
    </row>
    <row r="272" spans="2:15" ht="17.5" thickBot="1" x14ac:dyDescent="0.5">
      <c r="B272" s="250"/>
      <c r="C272" s="238"/>
      <c r="D272" s="44" t="s">
        <v>730</v>
      </c>
      <c r="E272" s="66">
        <v>27400</v>
      </c>
      <c r="F272" s="66">
        <v>24400</v>
      </c>
      <c r="G272" s="66"/>
      <c r="H272" s="67">
        <v>276200</v>
      </c>
    </row>
    <row r="273" spans="2:16" ht="18.5" thickTop="1" thickBot="1" x14ac:dyDescent="0.5">
      <c r="B273" s="70" t="s">
        <v>850</v>
      </c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</row>
    <row r="274" spans="2:16" ht="17.5" thickTop="1" x14ac:dyDescent="0.45">
      <c r="B274" s="244" t="s">
        <v>732</v>
      </c>
      <c r="C274" s="218" t="s">
        <v>720</v>
      </c>
      <c r="D274" s="219"/>
      <c r="E274" s="222" t="s">
        <v>767</v>
      </c>
      <c r="F274" s="222"/>
      <c r="G274" s="222"/>
      <c r="H274" s="223"/>
      <c r="I274" s="244" t="s">
        <v>732</v>
      </c>
      <c r="J274" s="218" t="s">
        <v>720</v>
      </c>
      <c r="K274" s="219"/>
      <c r="L274" s="222" t="s">
        <v>773</v>
      </c>
      <c r="M274" s="222"/>
      <c r="N274" s="222"/>
      <c r="O274" s="223"/>
    </row>
    <row r="275" spans="2:16" ht="17.5" thickBot="1" x14ac:dyDescent="0.5">
      <c r="B275" s="253"/>
      <c r="C275" s="254"/>
      <c r="D275" s="255"/>
      <c r="E275" s="47" t="s">
        <v>611</v>
      </c>
      <c r="F275" s="47" t="s">
        <v>612</v>
      </c>
      <c r="G275" s="47" t="s">
        <v>731</v>
      </c>
      <c r="H275" s="48" t="s">
        <v>593</v>
      </c>
      <c r="I275" s="253"/>
      <c r="J275" s="254"/>
      <c r="K275" s="255"/>
      <c r="L275" s="47" t="s">
        <v>611</v>
      </c>
      <c r="M275" s="47" t="s">
        <v>612</v>
      </c>
      <c r="N275" s="47" t="s">
        <v>731</v>
      </c>
      <c r="O275" s="48" t="s">
        <v>593</v>
      </c>
    </row>
    <row r="276" spans="2:16" ht="17.5" customHeight="1" thickTop="1" x14ac:dyDescent="0.45">
      <c r="B276" s="248" t="s">
        <v>770</v>
      </c>
      <c r="C276" s="251" t="s">
        <v>738</v>
      </c>
      <c r="D276" s="52" t="s">
        <v>723</v>
      </c>
      <c r="E276" s="53">
        <v>33400</v>
      </c>
      <c r="F276" s="53">
        <v>30900</v>
      </c>
      <c r="G276" s="53">
        <v>27810</v>
      </c>
      <c r="H276" s="54">
        <v>240200</v>
      </c>
      <c r="I276" s="248" t="s">
        <v>774</v>
      </c>
      <c r="J276" s="251" t="s">
        <v>738</v>
      </c>
      <c r="K276" s="52" t="s">
        <v>723</v>
      </c>
      <c r="L276" s="53">
        <v>28900</v>
      </c>
      <c r="M276" s="53">
        <v>26400</v>
      </c>
      <c r="N276" s="53">
        <v>23760</v>
      </c>
      <c r="O276" s="54">
        <v>220300</v>
      </c>
    </row>
    <row r="277" spans="2:16" x14ac:dyDescent="0.45">
      <c r="B277" s="249"/>
      <c r="C277" s="232"/>
      <c r="D277" s="42" t="s">
        <v>724</v>
      </c>
      <c r="E277" s="40">
        <v>31900</v>
      </c>
      <c r="F277" s="40">
        <v>29400</v>
      </c>
      <c r="G277" s="40">
        <v>26460</v>
      </c>
      <c r="H277" s="50">
        <v>240200</v>
      </c>
      <c r="I277" s="249"/>
      <c r="J277" s="232"/>
      <c r="K277" s="42" t="s">
        <v>724</v>
      </c>
      <c r="L277" s="40">
        <v>27400</v>
      </c>
      <c r="M277" s="40">
        <v>24900</v>
      </c>
      <c r="N277" s="40">
        <v>22410</v>
      </c>
      <c r="O277" s="50">
        <v>220300</v>
      </c>
    </row>
    <row r="278" spans="2:16" x14ac:dyDescent="0.45">
      <c r="B278" s="249"/>
      <c r="C278" s="232"/>
      <c r="D278" s="43" t="s">
        <v>725</v>
      </c>
      <c r="E278" s="55">
        <v>30900</v>
      </c>
      <c r="F278" s="55">
        <v>28400</v>
      </c>
      <c r="G278" s="55">
        <v>25560</v>
      </c>
      <c r="H278" s="56">
        <v>276200</v>
      </c>
      <c r="I278" s="249"/>
      <c r="J278" s="232"/>
      <c r="K278" s="43" t="s">
        <v>725</v>
      </c>
      <c r="L278" s="55">
        <v>26400</v>
      </c>
      <c r="M278" s="55">
        <v>23900</v>
      </c>
      <c r="N278" s="55">
        <v>21510</v>
      </c>
      <c r="O278" s="56">
        <v>253300</v>
      </c>
    </row>
    <row r="279" spans="2:16" x14ac:dyDescent="0.45">
      <c r="B279" s="249"/>
      <c r="C279" s="234" t="s">
        <v>739</v>
      </c>
      <c r="D279" s="45" t="s">
        <v>723</v>
      </c>
      <c r="E279" s="46">
        <v>31400</v>
      </c>
      <c r="F279" s="46">
        <v>28900</v>
      </c>
      <c r="G279" s="46">
        <v>26010</v>
      </c>
      <c r="H279" s="49">
        <v>231600</v>
      </c>
      <c r="I279" s="249"/>
      <c r="J279" s="234" t="s">
        <v>739</v>
      </c>
      <c r="K279" s="45" t="s">
        <v>723</v>
      </c>
      <c r="L279" s="46">
        <v>26900</v>
      </c>
      <c r="M279" s="46">
        <v>24400</v>
      </c>
      <c r="N279" s="46">
        <v>21960</v>
      </c>
      <c r="O279" s="49">
        <v>209100</v>
      </c>
    </row>
    <row r="280" spans="2:16" x14ac:dyDescent="0.45">
      <c r="B280" s="249"/>
      <c r="C280" s="237"/>
      <c r="D280" s="42" t="s">
        <v>724</v>
      </c>
      <c r="E280" s="40">
        <v>29900</v>
      </c>
      <c r="F280" s="40">
        <v>27400</v>
      </c>
      <c r="G280" s="40">
        <v>24660</v>
      </c>
      <c r="H280" s="50">
        <v>231600</v>
      </c>
      <c r="I280" s="249"/>
      <c r="J280" s="237"/>
      <c r="K280" s="42" t="s">
        <v>724</v>
      </c>
      <c r="L280" s="40">
        <v>25400</v>
      </c>
      <c r="M280" s="40">
        <v>22900</v>
      </c>
      <c r="N280" s="40">
        <v>20610</v>
      </c>
      <c r="O280" s="50">
        <v>209100</v>
      </c>
    </row>
    <row r="281" spans="2:16" x14ac:dyDescent="0.45">
      <c r="B281" s="249"/>
      <c r="C281" s="252"/>
      <c r="D281" s="57" t="s">
        <v>725</v>
      </c>
      <c r="E281" s="58">
        <v>28900</v>
      </c>
      <c r="F281" s="58">
        <v>26400</v>
      </c>
      <c r="G281" s="58">
        <v>23760</v>
      </c>
      <c r="H281" s="59">
        <v>266300</v>
      </c>
      <c r="I281" s="249"/>
      <c r="J281" s="252"/>
      <c r="K281" s="57" t="s">
        <v>725</v>
      </c>
      <c r="L281" s="58">
        <v>24400</v>
      </c>
      <c r="M281" s="58">
        <v>21900</v>
      </c>
      <c r="N281" s="58">
        <v>19710</v>
      </c>
      <c r="O281" s="59">
        <v>240500</v>
      </c>
    </row>
    <row r="282" spans="2:16" x14ac:dyDescent="0.45">
      <c r="B282" s="249"/>
      <c r="C282" s="237" t="s">
        <v>722</v>
      </c>
      <c r="D282" s="41" t="s">
        <v>727</v>
      </c>
      <c r="E282" s="39">
        <v>29400</v>
      </c>
      <c r="F282" s="39">
        <v>26900</v>
      </c>
      <c r="G282" s="39">
        <v>24210</v>
      </c>
      <c r="H282" s="51">
        <v>231600</v>
      </c>
      <c r="I282" s="249"/>
      <c r="J282" s="237" t="s">
        <v>722</v>
      </c>
      <c r="K282" s="41" t="s">
        <v>727</v>
      </c>
      <c r="L282" s="39">
        <v>24900</v>
      </c>
      <c r="M282" s="39">
        <v>22400</v>
      </c>
      <c r="N282" s="39">
        <v>20160</v>
      </c>
      <c r="O282" s="51">
        <v>209100</v>
      </c>
    </row>
    <row r="283" spans="2:16" x14ac:dyDescent="0.45">
      <c r="B283" s="249"/>
      <c r="C283" s="237"/>
      <c r="D283" s="42" t="s">
        <v>728</v>
      </c>
      <c r="E283" s="40">
        <v>27900</v>
      </c>
      <c r="F283" s="40">
        <v>25400</v>
      </c>
      <c r="G283" s="40">
        <v>22860</v>
      </c>
      <c r="H283" s="50">
        <v>231600</v>
      </c>
      <c r="I283" s="249"/>
      <c r="J283" s="237"/>
      <c r="K283" s="42" t="s">
        <v>724</v>
      </c>
      <c r="L283" s="40">
        <v>23400</v>
      </c>
      <c r="M283" s="40">
        <v>20900</v>
      </c>
      <c r="N283" s="40">
        <v>18810</v>
      </c>
      <c r="O283" s="50">
        <v>209100</v>
      </c>
    </row>
    <row r="284" spans="2:16" ht="18" customHeight="1" thickBot="1" x14ac:dyDescent="0.5">
      <c r="B284" s="250"/>
      <c r="C284" s="238"/>
      <c r="D284" s="44" t="s">
        <v>729</v>
      </c>
      <c r="E284" s="66">
        <v>26900</v>
      </c>
      <c r="F284" s="66">
        <v>24400</v>
      </c>
      <c r="G284" s="66">
        <v>21960</v>
      </c>
      <c r="H284" s="67">
        <v>266300</v>
      </c>
      <c r="I284" s="250"/>
      <c r="J284" s="238"/>
      <c r="K284" s="44" t="s">
        <v>729</v>
      </c>
      <c r="L284" s="66">
        <v>22400</v>
      </c>
      <c r="M284" s="66">
        <v>19900</v>
      </c>
      <c r="N284" s="66">
        <v>17910</v>
      </c>
      <c r="O284" s="67">
        <v>240500</v>
      </c>
    </row>
    <row r="285" spans="2:16" ht="17.5" thickTop="1" x14ac:dyDescent="0.45">
      <c r="B285" s="244" t="s">
        <v>732</v>
      </c>
      <c r="C285" s="218" t="s">
        <v>720</v>
      </c>
      <c r="D285" s="219"/>
      <c r="E285" s="222" t="s">
        <v>771</v>
      </c>
      <c r="F285" s="222"/>
      <c r="G285" s="222"/>
      <c r="H285" s="223"/>
      <c r="I285" s="244" t="s">
        <v>732</v>
      </c>
      <c r="J285" s="218" t="s">
        <v>720</v>
      </c>
      <c r="K285" s="219"/>
      <c r="L285" s="222" t="s">
        <v>773</v>
      </c>
      <c r="M285" s="222"/>
      <c r="N285" s="222"/>
      <c r="O285" s="223"/>
    </row>
    <row r="286" spans="2:16" ht="17.5" thickBot="1" x14ac:dyDescent="0.5">
      <c r="B286" s="253"/>
      <c r="C286" s="254"/>
      <c r="D286" s="255"/>
      <c r="E286" s="47" t="s">
        <v>611</v>
      </c>
      <c r="F286" s="47" t="s">
        <v>612</v>
      </c>
      <c r="G286" s="47" t="s">
        <v>731</v>
      </c>
      <c r="H286" s="48" t="s">
        <v>593</v>
      </c>
      <c r="I286" s="253"/>
      <c r="J286" s="254"/>
      <c r="K286" s="255"/>
      <c r="L286" s="47" t="s">
        <v>611</v>
      </c>
      <c r="M286" s="47" t="s">
        <v>612</v>
      </c>
      <c r="N286" s="47" t="s">
        <v>731</v>
      </c>
      <c r="O286" s="48" t="s">
        <v>593</v>
      </c>
    </row>
    <row r="287" spans="2:16" ht="17.5" customHeight="1" thickTop="1" x14ac:dyDescent="0.45">
      <c r="B287" s="248" t="s">
        <v>772</v>
      </c>
      <c r="C287" s="251" t="s">
        <v>738</v>
      </c>
      <c r="D287" s="52" t="s">
        <v>723</v>
      </c>
      <c r="E287" s="53">
        <v>36400</v>
      </c>
      <c r="F287" s="53">
        <v>31900</v>
      </c>
      <c r="G287" s="53">
        <v>28710</v>
      </c>
      <c r="H287" s="54">
        <v>251500</v>
      </c>
      <c r="I287" s="248" t="s">
        <v>775</v>
      </c>
      <c r="J287" s="251" t="s">
        <v>738</v>
      </c>
      <c r="K287" s="52" t="s">
        <v>723</v>
      </c>
      <c r="L287" s="53">
        <v>27400</v>
      </c>
      <c r="M287" s="53">
        <v>24900</v>
      </c>
      <c r="N287" s="53">
        <v>22410</v>
      </c>
      <c r="O287" s="54">
        <v>220300</v>
      </c>
      <c r="P287" s="144"/>
    </row>
    <row r="288" spans="2:16" x14ac:dyDescent="0.45">
      <c r="B288" s="249"/>
      <c r="C288" s="232"/>
      <c r="D288" s="42" t="s">
        <v>724</v>
      </c>
      <c r="E288" s="40">
        <v>34900</v>
      </c>
      <c r="F288" s="40">
        <v>30400</v>
      </c>
      <c r="G288" s="40">
        <v>27360</v>
      </c>
      <c r="H288" s="50">
        <v>251500</v>
      </c>
      <c r="I288" s="249"/>
      <c r="J288" s="232"/>
      <c r="K288" s="42" t="s">
        <v>911</v>
      </c>
      <c r="L288" s="40">
        <v>25900</v>
      </c>
      <c r="M288" s="40">
        <v>23400</v>
      </c>
      <c r="N288" s="40">
        <v>21060</v>
      </c>
      <c r="O288" s="50">
        <v>220300</v>
      </c>
      <c r="P288" s="144"/>
    </row>
    <row r="289" spans="2:16" x14ac:dyDescent="0.45">
      <c r="B289" s="249"/>
      <c r="C289" s="232"/>
      <c r="D289" s="43" t="s">
        <v>725</v>
      </c>
      <c r="E289" s="55">
        <v>33900</v>
      </c>
      <c r="F289" s="55">
        <v>29400</v>
      </c>
      <c r="G289" s="55">
        <v>26460</v>
      </c>
      <c r="H289" s="56">
        <v>289200</v>
      </c>
      <c r="I289" s="249"/>
      <c r="J289" s="232"/>
      <c r="K289" s="43" t="s">
        <v>725</v>
      </c>
      <c r="L289" s="55">
        <v>24900</v>
      </c>
      <c r="M289" s="55">
        <v>22400</v>
      </c>
      <c r="N289" s="55">
        <v>20160</v>
      </c>
      <c r="O289" s="56">
        <v>253300</v>
      </c>
      <c r="P289" s="144"/>
    </row>
    <row r="290" spans="2:16" ht="17.5" customHeight="1" x14ac:dyDescent="0.45">
      <c r="B290" s="249"/>
      <c r="C290" s="234" t="s">
        <v>739</v>
      </c>
      <c r="D290" s="45" t="s">
        <v>723</v>
      </c>
      <c r="E290" s="46">
        <v>34400</v>
      </c>
      <c r="F290" s="46">
        <v>29900</v>
      </c>
      <c r="G290" s="46">
        <v>26910</v>
      </c>
      <c r="H290" s="49">
        <v>251500</v>
      </c>
      <c r="I290" s="249"/>
      <c r="J290" s="234" t="s">
        <v>739</v>
      </c>
      <c r="K290" s="45" t="s">
        <v>723</v>
      </c>
      <c r="L290" s="46">
        <v>25400</v>
      </c>
      <c r="M290" s="46">
        <v>22900</v>
      </c>
      <c r="N290" s="46">
        <v>20610</v>
      </c>
      <c r="O290" s="49">
        <v>209100</v>
      </c>
      <c r="P290" s="144"/>
    </row>
    <row r="291" spans="2:16" x14ac:dyDescent="0.45">
      <c r="B291" s="249"/>
      <c r="C291" s="237"/>
      <c r="D291" s="42" t="s">
        <v>724</v>
      </c>
      <c r="E291" s="40">
        <v>32900</v>
      </c>
      <c r="F291" s="40">
        <v>28400</v>
      </c>
      <c r="G291" s="40">
        <v>25560</v>
      </c>
      <c r="H291" s="50">
        <v>251500</v>
      </c>
      <c r="I291" s="249"/>
      <c r="J291" s="237"/>
      <c r="K291" s="42" t="s">
        <v>911</v>
      </c>
      <c r="L291" s="40">
        <v>23900</v>
      </c>
      <c r="M291" s="40">
        <v>21400</v>
      </c>
      <c r="N291" s="40">
        <v>19260</v>
      </c>
      <c r="O291" s="50">
        <v>209100</v>
      </c>
      <c r="P291" s="144"/>
    </row>
    <row r="292" spans="2:16" x14ac:dyDescent="0.45">
      <c r="B292" s="249"/>
      <c r="C292" s="252"/>
      <c r="D292" s="57" t="s">
        <v>725</v>
      </c>
      <c r="E292" s="58">
        <v>31900</v>
      </c>
      <c r="F292" s="58">
        <v>27400</v>
      </c>
      <c r="G292" s="58">
        <v>24660</v>
      </c>
      <c r="H292" s="59">
        <v>289200</v>
      </c>
      <c r="I292" s="249"/>
      <c r="J292" s="252"/>
      <c r="K292" s="43" t="s">
        <v>725</v>
      </c>
      <c r="L292" s="55">
        <v>22900</v>
      </c>
      <c r="M292" s="55">
        <v>20400</v>
      </c>
      <c r="N292" s="55">
        <v>18360</v>
      </c>
      <c r="O292" s="56">
        <v>240500</v>
      </c>
      <c r="P292" s="144"/>
    </row>
    <row r="293" spans="2:16" x14ac:dyDescent="0.45">
      <c r="B293" s="249"/>
      <c r="C293" s="237" t="s">
        <v>722</v>
      </c>
      <c r="D293" s="41" t="s">
        <v>727</v>
      </c>
      <c r="E293" s="39">
        <v>32400</v>
      </c>
      <c r="F293" s="39">
        <v>27900</v>
      </c>
      <c r="G293" s="39">
        <v>25110</v>
      </c>
      <c r="H293" s="51">
        <v>240200</v>
      </c>
      <c r="I293" s="249"/>
      <c r="J293" s="234" t="s">
        <v>722</v>
      </c>
      <c r="K293" s="41" t="s">
        <v>727</v>
      </c>
      <c r="L293" s="46">
        <v>23400</v>
      </c>
      <c r="M293" s="46">
        <v>20900</v>
      </c>
      <c r="N293" s="46">
        <v>18810</v>
      </c>
      <c r="O293" s="49">
        <v>197900</v>
      </c>
      <c r="P293" s="144"/>
    </row>
    <row r="294" spans="2:16" x14ac:dyDescent="0.45">
      <c r="B294" s="249"/>
      <c r="C294" s="237"/>
      <c r="D294" s="42" t="s">
        <v>728</v>
      </c>
      <c r="E294" s="40">
        <v>30900</v>
      </c>
      <c r="F294" s="40">
        <v>26400</v>
      </c>
      <c r="G294" s="40">
        <v>23760</v>
      </c>
      <c r="H294" s="50">
        <v>240200</v>
      </c>
      <c r="I294" s="249"/>
      <c r="J294" s="237"/>
      <c r="K294" s="42" t="s">
        <v>929</v>
      </c>
      <c r="L294" s="40">
        <v>21900</v>
      </c>
      <c r="M294" s="40">
        <v>19400</v>
      </c>
      <c r="N294" s="40">
        <v>17460</v>
      </c>
      <c r="O294" s="50">
        <v>197900</v>
      </c>
      <c r="P294" s="144"/>
    </row>
    <row r="295" spans="2:16" ht="17.5" thickBot="1" x14ac:dyDescent="0.5">
      <c r="B295" s="250"/>
      <c r="C295" s="238"/>
      <c r="D295" s="44" t="s">
        <v>729</v>
      </c>
      <c r="E295" s="66">
        <v>29900</v>
      </c>
      <c r="F295" s="66">
        <v>25400</v>
      </c>
      <c r="G295" s="66">
        <v>22860</v>
      </c>
      <c r="H295" s="67">
        <v>276200</v>
      </c>
      <c r="I295" s="250"/>
      <c r="J295" s="238"/>
      <c r="K295" s="44" t="s">
        <v>729</v>
      </c>
      <c r="L295" s="66">
        <v>20900</v>
      </c>
      <c r="M295" s="66">
        <v>18400</v>
      </c>
      <c r="N295" s="66">
        <v>16560</v>
      </c>
      <c r="O295" s="67">
        <v>227600</v>
      </c>
      <c r="P295" s="144"/>
    </row>
    <row r="296" spans="2:16" ht="17.5" thickTop="1" x14ac:dyDescent="0.45">
      <c r="B296" s="244" t="s">
        <v>732</v>
      </c>
      <c r="C296" s="218" t="s">
        <v>720</v>
      </c>
      <c r="D296" s="219"/>
      <c r="E296" s="222" t="s">
        <v>1005</v>
      </c>
      <c r="F296" s="222"/>
      <c r="G296" s="222"/>
      <c r="H296" s="223"/>
      <c r="I296" s="224" t="s">
        <v>732</v>
      </c>
      <c r="J296" s="218" t="s">
        <v>720</v>
      </c>
      <c r="K296" s="219"/>
      <c r="L296" s="271" t="s">
        <v>776</v>
      </c>
      <c r="M296" s="283"/>
      <c r="N296" s="283"/>
      <c r="O296" s="284"/>
    </row>
    <row r="297" spans="2:16" ht="17.5" thickBot="1" x14ac:dyDescent="0.5">
      <c r="B297" s="253"/>
      <c r="C297" s="254"/>
      <c r="D297" s="255"/>
      <c r="E297" s="123" t="s">
        <v>611</v>
      </c>
      <c r="F297" s="123" t="s">
        <v>612</v>
      </c>
      <c r="G297" s="123" t="s">
        <v>731</v>
      </c>
      <c r="H297" s="48" t="s">
        <v>593</v>
      </c>
      <c r="I297" s="285"/>
      <c r="J297" s="254"/>
      <c r="K297" s="255"/>
      <c r="L297" s="142" t="s">
        <v>611</v>
      </c>
      <c r="M297" s="142" t="s">
        <v>612</v>
      </c>
      <c r="N297" s="142" t="s">
        <v>731</v>
      </c>
      <c r="O297" s="48" t="s">
        <v>593</v>
      </c>
    </row>
    <row r="298" spans="2:16" ht="17" customHeight="1" thickTop="1" x14ac:dyDescent="0.45">
      <c r="B298" s="248" t="s">
        <v>1006</v>
      </c>
      <c r="C298" s="251" t="s">
        <v>738</v>
      </c>
      <c r="D298" s="52" t="s">
        <v>723</v>
      </c>
      <c r="E298" s="53">
        <v>31400</v>
      </c>
      <c r="F298" s="53">
        <v>28900</v>
      </c>
      <c r="G298" s="53">
        <f>ROUNDDOWN(F298*90%,-1)</f>
        <v>26010</v>
      </c>
      <c r="H298" s="54">
        <v>231600</v>
      </c>
      <c r="I298" s="248" t="s">
        <v>777</v>
      </c>
      <c r="J298" s="251" t="s">
        <v>738</v>
      </c>
      <c r="K298" s="52" t="s">
        <v>723</v>
      </c>
      <c r="L298" s="53">
        <v>25400</v>
      </c>
      <c r="M298" s="53">
        <v>22900</v>
      </c>
      <c r="N298" s="53">
        <v>20610</v>
      </c>
      <c r="O298" s="54">
        <v>209100</v>
      </c>
    </row>
    <row r="299" spans="2:16" ht="17" customHeight="1" x14ac:dyDescent="0.45">
      <c r="B299" s="249"/>
      <c r="C299" s="232"/>
      <c r="D299" s="42" t="s">
        <v>724</v>
      </c>
      <c r="E299" s="40">
        <v>29400</v>
      </c>
      <c r="F299" s="40">
        <v>26900</v>
      </c>
      <c r="G299" s="40">
        <f t="shared" ref="G299:G306" si="18">ROUNDDOWN(F299*90%,-1)</f>
        <v>24210</v>
      </c>
      <c r="H299" s="50">
        <v>231600</v>
      </c>
      <c r="I299" s="249"/>
      <c r="J299" s="232"/>
      <c r="K299" s="113" t="s">
        <v>911</v>
      </c>
      <c r="L299" s="114">
        <v>23900</v>
      </c>
      <c r="M299" s="114">
        <v>21400</v>
      </c>
      <c r="N299" s="114">
        <v>19260</v>
      </c>
      <c r="O299" s="115">
        <v>209100</v>
      </c>
    </row>
    <row r="300" spans="2:16" x14ac:dyDescent="0.45">
      <c r="B300" s="249"/>
      <c r="C300" s="232"/>
      <c r="D300" s="43" t="s">
        <v>725</v>
      </c>
      <c r="E300" s="55">
        <v>28400</v>
      </c>
      <c r="F300" s="55">
        <v>25900</v>
      </c>
      <c r="G300" s="55">
        <f t="shared" si="18"/>
        <v>23310</v>
      </c>
      <c r="H300" s="56">
        <v>266300</v>
      </c>
      <c r="I300" s="249"/>
      <c r="J300" s="270"/>
      <c r="K300" s="43" t="s">
        <v>725</v>
      </c>
      <c r="L300" s="55">
        <v>22900</v>
      </c>
      <c r="M300" s="55">
        <v>20400</v>
      </c>
      <c r="N300" s="55">
        <v>18360</v>
      </c>
      <c r="O300" s="56">
        <v>240500</v>
      </c>
    </row>
    <row r="301" spans="2:16" x14ac:dyDescent="0.45">
      <c r="B301" s="249"/>
      <c r="C301" s="234" t="s">
        <v>739</v>
      </c>
      <c r="D301" s="45" t="s">
        <v>723</v>
      </c>
      <c r="E301" s="46">
        <v>29400</v>
      </c>
      <c r="F301" s="46">
        <v>26900</v>
      </c>
      <c r="G301" s="46">
        <f t="shared" si="18"/>
        <v>24210</v>
      </c>
      <c r="H301" s="49">
        <v>220300</v>
      </c>
      <c r="I301" s="249"/>
      <c r="J301" s="231" t="s">
        <v>739</v>
      </c>
      <c r="K301" s="45" t="s">
        <v>723</v>
      </c>
      <c r="L301" s="46">
        <v>23400</v>
      </c>
      <c r="M301" s="46">
        <v>20900</v>
      </c>
      <c r="N301" s="46">
        <f>M301*90%</f>
        <v>18810</v>
      </c>
      <c r="O301" s="49">
        <v>197900</v>
      </c>
    </row>
    <row r="302" spans="2:16" x14ac:dyDescent="0.45">
      <c r="B302" s="249"/>
      <c r="C302" s="237"/>
      <c r="D302" s="42" t="s">
        <v>724</v>
      </c>
      <c r="E302" s="40">
        <v>27400</v>
      </c>
      <c r="F302" s="40">
        <v>24900</v>
      </c>
      <c r="G302" s="40">
        <f t="shared" si="18"/>
        <v>22410</v>
      </c>
      <c r="H302" s="50">
        <v>220300</v>
      </c>
      <c r="I302" s="249"/>
      <c r="J302" s="232"/>
      <c r="K302" s="113" t="s">
        <v>911</v>
      </c>
      <c r="L302" s="114">
        <v>21900</v>
      </c>
      <c r="M302" s="114">
        <v>19400</v>
      </c>
      <c r="N302" s="46">
        <f>M302*90%</f>
        <v>17460</v>
      </c>
      <c r="O302" s="115">
        <v>197900</v>
      </c>
    </row>
    <row r="303" spans="2:16" ht="17.5" customHeight="1" thickBot="1" x14ac:dyDescent="0.5">
      <c r="B303" s="249"/>
      <c r="C303" s="252"/>
      <c r="D303" s="57" t="s">
        <v>725</v>
      </c>
      <c r="E303" s="58">
        <v>26400</v>
      </c>
      <c r="F303" s="58">
        <v>23900</v>
      </c>
      <c r="G303" s="58">
        <f t="shared" si="18"/>
        <v>21510</v>
      </c>
      <c r="H303" s="59">
        <v>253300</v>
      </c>
      <c r="I303" s="250"/>
      <c r="J303" s="233"/>
      <c r="K303" s="44" t="s">
        <v>725</v>
      </c>
      <c r="L303" s="66">
        <v>20900</v>
      </c>
      <c r="M303" s="66">
        <v>18400</v>
      </c>
      <c r="N303" s="66">
        <f>M303*90%</f>
        <v>16560</v>
      </c>
      <c r="O303" s="67">
        <v>227600</v>
      </c>
    </row>
    <row r="304" spans="2:16" ht="17.5" thickTop="1" x14ac:dyDescent="0.45">
      <c r="B304" s="249"/>
      <c r="C304" s="237" t="s">
        <v>722</v>
      </c>
      <c r="D304" s="41" t="s">
        <v>727</v>
      </c>
      <c r="E304" s="39">
        <v>27400</v>
      </c>
      <c r="F304" s="39">
        <v>24900</v>
      </c>
      <c r="G304" s="39">
        <f t="shared" si="18"/>
        <v>22410</v>
      </c>
      <c r="H304" s="51">
        <v>209100</v>
      </c>
    </row>
    <row r="305" spans="2:15" x14ac:dyDescent="0.45">
      <c r="B305" s="249"/>
      <c r="C305" s="237"/>
      <c r="D305" s="42" t="s">
        <v>728</v>
      </c>
      <c r="E305" s="40">
        <v>25400</v>
      </c>
      <c r="F305" s="40">
        <v>22900</v>
      </c>
      <c r="G305" s="40">
        <f t="shared" si="18"/>
        <v>20610</v>
      </c>
      <c r="H305" s="50">
        <v>209100</v>
      </c>
    </row>
    <row r="306" spans="2:15" ht="17.5" thickBot="1" x14ac:dyDescent="0.5">
      <c r="B306" s="250"/>
      <c r="C306" s="238"/>
      <c r="D306" s="44" t="s">
        <v>729</v>
      </c>
      <c r="E306" s="66">
        <v>24400</v>
      </c>
      <c r="F306" s="66">
        <v>21900</v>
      </c>
      <c r="G306" s="66">
        <f t="shared" si="18"/>
        <v>19710</v>
      </c>
      <c r="H306" s="67">
        <v>240500</v>
      </c>
    </row>
    <row r="307" spans="2:15" ht="17.5" thickTop="1" x14ac:dyDescent="0.45"/>
    <row r="309" spans="2:15" ht="18" thickBot="1" x14ac:dyDescent="0.5">
      <c r="B309" s="70" t="s">
        <v>851</v>
      </c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</row>
    <row r="310" spans="2:15" ht="17.5" thickTop="1" x14ac:dyDescent="0.45">
      <c r="B310" s="244" t="s">
        <v>732</v>
      </c>
      <c r="C310" s="218" t="s">
        <v>720</v>
      </c>
      <c r="D310" s="219"/>
      <c r="E310" s="222" t="s">
        <v>817</v>
      </c>
      <c r="F310" s="222"/>
      <c r="G310" s="222"/>
      <c r="H310" s="223"/>
      <c r="I310" s="244" t="s">
        <v>732</v>
      </c>
      <c r="J310" s="218" t="s">
        <v>720</v>
      </c>
      <c r="K310" s="219"/>
      <c r="L310" s="222" t="s">
        <v>820</v>
      </c>
      <c r="M310" s="222"/>
      <c r="N310" s="222"/>
      <c r="O310" s="223"/>
    </row>
    <row r="311" spans="2:15" ht="17.5" thickBot="1" x14ac:dyDescent="0.5">
      <c r="B311" s="253"/>
      <c r="C311" s="254"/>
      <c r="D311" s="255"/>
      <c r="E311" s="47" t="s">
        <v>611</v>
      </c>
      <c r="F311" s="47" t="s">
        <v>612</v>
      </c>
      <c r="G311" s="47" t="s">
        <v>731</v>
      </c>
      <c r="H311" s="48" t="s">
        <v>593</v>
      </c>
      <c r="I311" s="253"/>
      <c r="J311" s="254"/>
      <c r="K311" s="255"/>
      <c r="L311" s="47" t="s">
        <v>611</v>
      </c>
      <c r="M311" s="47" t="s">
        <v>612</v>
      </c>
      <c r="N311" s="47" t="s">
        <v>731</v>
      </c>
      <c r="O311" s="48" t="s">
        <v>593</v>
      </c>
    </row>
    <row r="312" spans="2:15" ht="17.5" thickTop="1" x14ac:dyDescent="0.45">
      <c r="B312" s="248" t="s">
        <v>818</v>
      </c>
      <c r="C312" s="251" t="s">
        <v>738</v>
      </c>
      <c r="D312" s="130" t="s">
        <v>723</v>
      </c>
      <c r="E312" s="53">
        <v>41400</v>
      </c>
      <c r="F312" s="53">
        <v>38400</v>
      </c>
      <c r="G312" s="267" t="s">
        <v>751</v>
      </c>
      <c r="H312" s="54">
        <v>271900</v>
      </c>
      <c r="I312" s="248" t="s">
        <v>819</v>
      </c>
      <c r="J312" s="251" t="s">
        <v>738</v>
      </c>
      <c r="K312" s="130" t="s">
        <v>723</v>
      </c>
      <c r="L312" s="53">
        <v>38400</v>
      </c>
      <c r="M312" s="53">
        <v>35400</v>
      </c>
      <c r="N312" s="267" t="s">
        <v>751</v>
      </c>
      <c r="O312" s="54">
        <v>260700</v>
      </c>
    </row>
    <row r="313" spans="2:15" x14ac:dyDescent="0.45">
      <c r="B313" s="249"/>
      <c r="C313" s="232"/>
      <c r="D313" s="42" t="s">
        <v>911</v>
      </c>
      <c r="E313" s="114">
        <v>39400</v>
      </c>
      <c r="F313" s="114">
        <v>36400</v>
      </c>
      <c r="G313" s="268"/>
      <c r="H313" s="115">
        <v>271900</v>
      </c>
      <c r="I313" s="249"/>
      <c r="J313" s="232"/>
      <c r="K313" s="42" t="s">
        <v>911</v>
      </c>
      <c r="L313" s="114">
        <v>36400</v>
      </c>
      <c r="M313" s="114">
        <v>33400</v>
      </c>
      <c r="N313" s="268"/>
      <c r="O313" s="115">
        <v>260700</v>
      </c>
    </row>
    <row r="314" spans="2:15" x14ac:dyDescent="0.45">
      <c r="B314" s="249"/>
      <c r="C314" s="270"/>
      <c r="D314" s="43" t="s">
        <v>725</v>
      </c>
      <c r="E314" s="55">
        <v>37900</v>
      </c>
      <c r="F314" s="55">
        <v>34900</v>
      </c>
      <c r="G314" s="268"/>
      <c r="H314" s="56">
        <v>312700</v>
      </c>
      <c r="I314" s="249"/>
      <c r="J314" s="270"/>
      <c r="K314" s="43" t="s">
        <v>725</v>
      </c>
      <c r="L314" s="55">
        <v>34900</v>
      </c>
      <c r="M314" s="55">
        <v>31900</v>
      </c>
      <c r="N314" s="268"/>
      <c r="O314" s="56">
        <v>299800</v>
      </c>
    </row>
    <row r="315" spans="2:15" x14ac:dyDescent="0.45">
      <c r="B315" s="249"/>
      <c r="C315" s="234" t="s">
        <v>722</v>
      </c>
      <c r="D315" s="41" t="s">
        <v>727</v>
      </c>
      <c r="E315" s="39">
        <v>37400</v>
      </c>
      <c r="F315" s="39">
        <v>34400</v>
      </c>
      <c r="G315" s="268"/>
      <c r="H315" s="51">
        <v>249500</v>
      </c>
      <c r="I315" s="249"/>
      <c r="J315" s="234" t="s">
        <v>722</v>
      </c>
      <c r="K315" s="41" t="s">
        <v>727</v>
      </c>
      <c r="L315" s="39">
        <v>34400</v>
      </c>
      <c r="M315" s="39">
        <v>31400</v>
      </c>
      <c r="N315" s="268"/>
      <c r="O315" s="51">
        <v>238200</v>
      </c>
    </row>
    <row r="316" spans="2:15" x14ac:dyDescent="0.45">
      <c r="B316" s="249"/>
      <c r="C316" s="237"/>
      <c r="D316" s="42" t="s">
        <v>929</v>
      </c>
      <c r="E316" s="114">
        <v>35400</v>
      </c>
      <c r="F316" s="114">
        <v>32400</v>
      </c>
      <c r="G316" s="268"/>
      <c r="H316" s="115">
        <v>249500</v>
      </c>
      <c r="I316" s="249"/>
      <c r="J316" s="237"/>
      <c r="K316" s="42" t="s">
        <v>929</v>
      </c>
      <c r="L316" s="114">
        <v>32400</v>
      </c>
      <c r="M316" s="114">
        <v>29400</v>
      </c>
      <c r="N316" s="268"/>
      <c r="O316" s="115">
        <v>238200</v>
      </c>
    </row>
    <row r="317" spans="2:15" ht="17.5" thickBot="1" x14ac:dyDescent="0.5">
      <c r="B317" s="250"/>
      <c r="C317" s="238"/>
      <c r="D317" s="44" t="s">
        <v>729</v>
      </c>
      <c r="E317" s="66">
        <v>33900</v>
      </c>
      <c r="F317" s="66">
        <v>30900</v>
      </c>
      <c r="G317" s="269"/>
      <c r="H317" s="67">
        <v>286900</v>
      </c>
      <c r="I317" s="250"/>
      <c r="J317" s="238"/>
      <c r="K317" s="44" t="s">
        <v>729</v>
      </c>
      <c r="L317" s="66">
        <v>30900</v>
      </c>
      <c r="M317" s="66">
        <v>27900</v>
      </c>
      <c r="N317" s="269"/>
      <c r="O317" s="67">
        <v>273900</v>
      </c>
    </row>
    <row r="318" spans="2:15" ht="17.5" thickTop="1" x14ac:dyDescent="0.45">
      <c r="B318" s="244" t="s">
        <v>732</v>
      </c>
      <c r="C318" s="218" t="s">
        <v>720</v>
      </c>
      <c r="D318" s="219"/>
      <c r="E318" s="222" t="s">
        <v>821</v>
      </c>
      <c r="F318" s="222"/>
      <c r="G318" s="222"/>
      <c r="H318" s="223"/>
    </row>
    <row r="319" spans="2:15" ht="17.5" thickBot="1" x14ac:dyDescent="0.5">
      <c r="B319" s="253"/>
      <c r="C319" s="254"/>
      <c r="D319" s="255"/>
      <c r="E319" s="47" t="s">
        <v>611</v>
      </c>
      <c r="F319" s="47" t="s">
        <v>612</v>
      </c>
      <c r="G319" s="47" t="s">
        <v>731</v>
      </c>
      <c r="H319" s="48" t="s">
        <v>593</v>
      </c>
    </row>
    <row r="320" spans="2:15" ht="17.5" thickTop="1" x14ac:dyDescent="0.45">
      <c r="B320" s="248" t="s">
        <v>914</v>
      </c>
      <c r="C320" s="251" t="s">
        <v>738</v>
      </c>
      <c r="D320" s="52" t="s">
        <v>723</v>
      </c>
      <c r="E320" s="53">
        <v>33400</v>
      </c>
      <c r="F320" s="53">
        <v>30400</v>
      </c>
      <c r="G320" s="267" t="s">
        <v>751</v>
      </c>
      <c r="H320" s="54">
        <v>238200</v>
      </c>
    </row>
    <row r="321" spans="2:15" x14ac:dyDescent="0.45">
      <c r="B321" s="249"/>
      <c r="C321" s="232"/>
      <c r="D321" s="113" t="s">
        <v>911</v>
      </c>
      <c r="E321" s="114">
        <v>31400</v>
      </c>
      <c r="F321" s="114">
        <v>28400</v>
      </c>
      <c r="G321" s="268"/>
      <c r="H321" s="115">
        <v>238200</v>
      </c>
    </row>
    <row r="322" spans="2:15" ht="17.5" thickBot="1" x14ac:dyDescent="0.5">
      <c r="B322" s="250"/>
      <c r="C322" s="233"/>
      <c r="D322" s="44" t="s">
        <v>725</v>
      </c>
      <c r="E322" s="66">
        <v>29900</v>
      </c>
      <c r="F322" s="66">
        <v>26900</v>
      </c>
      <c r="G322" s="269"/>
      <c r="H322" s="67">
        <v>273900</v>
      </c>
    </row>
    <row r="323" spans="2:15" ht="17.5" thickTop="1" x14ac:dyDescent="0.45"/>
    <row r="324" spans="2:15" ht="18" thickBot="1" x14ac:dyDescent="0.5">
      <c r="B324" s="70" t="s">
        <v>852</v>
      </c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</row>
    <row r="325" spans="2:15" ht="17.5" thickTop="1" x14ac:dyDescent="0.45">
      <c r="B325" s="244" t="s">
        <v>823</v>
      </c>
      <c r="C325" s="239" t="s">
        <v>824</v>
      </c>
      <c r="D325" s="239"/>
      <c r="E325" s="222" t="s">
        <v>822</v>
      </c>
      <c r="F325" s="222"/>
      <c r="G325" s="223"/>
      <c r="H325" s="244" t="s">
        <v>823</v>
      </c>
      <c r="I325" s="239" t="s">
        <v>824</v>
      </c>
      <c r="J325" s="239"/>
      <c r="K325" s="222" t="s">
        <v>838</v>
      </c>
      <c r="L325" s="222"/>
      <c r="M325" s="223"/>
    </row>
    <row r="326" spans="2:15" ht="17.5" thickBot="1" x14ac:dyDescent="0.5">
      <c r="B326" s="245"/>
      <c r="C326" s="240"/>
      <c r="D326" s="240"/>
      <c r="E326" s="87" t="s">
        <v>611</v>
      </c>
      <c r="F326" s="87" t="s">
        <v>612</v>
      </c>
      <c r="G326" s="88" t="s">
        <v>593</v>
      </c>
      <c r="H326" s="245"/>
      <c r="I326" s="240"/>
      <c r="J326" s="240"/>
      <c r="K326" s="87" t="s">
        <v>611</v>
      </c>
      <c r="L326" s="87" t="s">
        <v>612</v>
      </c>
      <c r="M326" s="88" t="s">
        <v>593</v>
      </c>
    </row>
    <row r="327" spans="2:15" ht="17.5" customHeight="1" thickTop="1" x14ac:dyDescent="0.45">
      <c r="B327" s="266" t="s">
        <v>825</v>
      </c>
      <c r="C327" s="89" t="s">
        <v>827</v>
      </c>
      <c r="D327" s="89" t="s">
        <v>830</v>
      </c>
      <c r="E327" s="53">
        <v>47900</v>
      </c>
      <c r="F327" s="53">
        <v>47900</v>
      </c>
      <c r="G327" s="54">
        <v>273400</v>
      </c>
      <c r="H327" s="266" t="s">
        <v>839</v>
      </c>
      <c r="I327" s="89" t="s">
        <v>827</v>
      </c>
      <c r="J327" s="89" t="s">
        <v>830</v>
      </c>
      <c r="K327" s="53">
        <v>60900</v>
      </c>
      <c r="L327" s="53">
        <v>60900</v>
      </c>
      <c r="M327" s="54">
        <v>307200</v>
      </c>
    </row>
    <row r="328" spans="2:15" x14ac:dyDescent="0.45">
      <c r="B328" s="259"/>
      <c r="C328" s="81" t="s">
        <v>827</v>
      </c>
      <c r="D328" s="81" t="s">
        <v>832</v>
      </c>
      <c r="E328" s="40">
        <v>35900</v>
      </c>
      <c r="F328" s="40">
        <v>35900</v>
      </c>
      <c r="G328" s="50">
        <v>300700</v>
      </c>
      <c r="H328" s="259"/>
      <c r="I328" s="81" t="s">
        <v>827</v>
      </c>
      <c r="J328" s="81" t="s">
        <v>832</v>
      </c>
      <c r="K328" s="40">
        <v>51900</v>
      </c>
      <c r="L328" s="40">
        <v>51900</v>
      </c>
      <c r="M328" s="50">
        <v>337900</v>
      </c>
    </row>
    <row r="329" spans="2:15" x14ac:dyDescent="0.45">
      <c r="B329" s="259"/>
      <c r="C329" s="83" t="s">
        <v>827</v>
      </c>
      <c r="D329" s="83" t="s">
        <v>834</v>
      </c>
      <c r="E329" s="58">
        <v>31900</v>
      </c>
      <c r="F329" s="58">
        <v>31900</v>
      </c>
      <c r="G329" s="59">
        <v>300700</v>
      </c>
      <c r="H329" s="259"/>
      <c r="I329" s="83" t="s">
        <v>827</v>
      </c>
      <c r="J329" s="83" t="s">
        <v>834</v>
      </c>
      <c r="K329" s="58">
        <v>45900</v>
      </c>
      <c r="L329" s="58">
        <v>45900</v>
      </c>
      <c r="M329" s="59">
        <v>337900</v>
      </c>
    </row>
    <row r="330" spans="2:15" x14ac:dyDescent="0.45">
      <c r="B330" s="259"/>
      <c r="C330" s="85" t="s">
        <v>826</v>
      </c>
      <c r="D330" s="85" t="s">
        <v>829</v>
      </c>
      <c r="E330" s="39">
        <v>49900</v>
      </c>
      <c r="F330" s="39">
        <v>49900</v>
      </c>
      <c r="G330" s="51">
        <v>273400</v>
      </c>
      <c r="H330" s="259"/>
      <c r="I330" s="85" t="s">
        <v>826</v>
      </c>
      <c r="J330" s="85" t="s">
        <v>829</v>
      </c>
      <c r="K330" s="39">
        <v>62900</v>
      </c>
      <c r="L330" s="39">
        <v>62900</v>
      </c>
      <c r="M330" s="51">
        <v>307200</v>
      </c>
    </row>
    <row r="331" spans="2:15" x14ac:dyDescent="0.45">
      <c r="B331" s="259"/>
      <c r="C331" s="81" t="s">
        <v>826</v>
      </c>
      <c r="D331" s="81" t="s">
        <v>831</v>
      </c>
      <c r="E331" s="40">
        <v>37900</v>
      </c>
      <c r="F331" s="40">
        <v>37900</v>
      </c>
      <c r="G331" s="50">
        <v>300700</v>
      </c>
      <c r="H331" s="259"/>
      <c r="I331" s="81" t="s">
        <v>826</v>
      </c>
      <c r="J331" s="81" t="s">
        <v>831</v>
      </c>
      <c r="K331" s="40">
        <v>53900</v>
      </c>
      <c r="L331" s="40">
        <v>53900</v>
      </c>
      <c r="M331" s="50">
        <v>337900</v>
      </c>
    </row>
    <row r="332" spans="2:15" x14ac:dyDescent="0.45">
      <c r="B332" s="259"/>
      <c r="C332" s="86" t="s">
        <v>826</v>
      </c>
      <c r="D332" s="86" t="s">
        <v>833</v>
      </c>
      <c r="E332" s="55">
        <v>33900</v>
      </c>
      <c r="F332" s="55">
        <v>33900</v>
      </c>
      <c r="G332" s="56">
        <v>300700</v>
      </c>
      <c r="H332" s="259"/>
      <c r="I332" s="86" t="s">
        <v>826</v>
      </c>
      <c r="J332" s="86" t="s">
        <v>833</v>
      </c>
      <c r="K332" s="55">
        <v>47900</v>
      </c>
      <c r="L332" s="55">
        <v>47900</v>
      </c>
      <c r="M332" s="56">
        <v>337900</v>
      </c>
    </row>
    <row r="333" spans="2:15" x14ac:dyDescent="0.45">
      <c r="B333" s="259"/>
      <c r="C333" s="85" t="s">
        <v>828</v>
      </c>
      <c r="D333" s="85" t="s">
        <v>829</v>
      </c>
      <c r="E333" s="39">
        <v>45900</v>
      </c>
      <c r="F333" s="39">
        <v>45900</v>
      </c>
      <c r="G333" s="51">
        <v>262200</v>
      </c>
      <c r="H333" s="259"/>
      <c r="I333" s="85" t="s">
        <v>828</v>
      </c>
      <c r="J333" s="85" t="s">
        <v>829</v>
      </c>
      <c r="K333" s="39">
        <v>57900</v>
      </c>
      <c r="L333" s="39">
        <v>57900</v>
      </c>
      <c r="M333" s="51">
        <v>295900</v>
      </c>
    </row>
    <row r="334" spans="2:15" x14ac:dyDescent="0.45">
      <c r="B334" s="259"/>
      <c r="C334" s="81" t="s">
        <v>828</v>
      </c>
      <c r="D334" s="81" t="s">
        <v>831</v>
      </c>
      <c r="E334" s="40">
        <v>33900</v>
      </c>
      <c r="F334" s="40">
        <v>33900</v>
      </c>
      <c r="G334" s="50">
        <v>288400</v>
      </c>
      <c r="H334" s="259"/>
      <c r="I334" s="81" t="s">
        <v>828</v>
      </c>
      <c r="J334" s="81" t="s">
        <v>831</v>
      </c>
      <c r="K334" s="40">
        <v>48900</v>
      </c>
      <c r="L334" s="40">
        <v>48900</v>
      </c>
      <c r="M334" s="50">
        <v>325500</v>
      </c>
    </row>
    <row r="335" spans="2:15" x14ac:dyDescent="0.45">
      <c r="B335" s="259"/>
      <c r="C335" s="86" t="s">
        <v>828</v>
      </c>
      <c r="D335" s="86" t="s">
        <v>833</v>
      </c>
      <c r="E335" s="55">
        <v>29900</v>
      </c>
      <c r="F335" s="55">
        <v>29900</v>
      </c>
      <c r="G335" s="56">
        <v>288400</v>
      </c>
      <c r="H335" s="259"/>
      <c r="I335" s="86" t="s">
        <v>828</v>
      </c>
      <c r="J335" s="86" t="s">
        <v>833</v>
      </c>
      <c r="K335" s="55">
        <v>42900</v>
      </c>
      <c r="L335" s="55">
        <v>42900</v>
      </c>
      <c r="M335" s="56">
        <v>325500</v>
      </c>
    </row>
    <row r="336" spans="2:15" x14ac:dyDescent="0.45">
      <c r="B336" s="259"/>
      <c r="C336" s="84" t="s">
        <v>183</v>
      </c>
      <c r="D336" s="84" t="s">
        <v>829</v>
      </c>
      <c r="E336" s="46">
        <v>43900</v>
      </c>
      <c r="F336" s="46">
        <v>43900</v>
      </c>
      <c r="G336" s="49">
        <v>251000</v>
      </c>
      <c r="H336" s="259"/>
      <c r="I336" s="84" t="s">
        <v>183</v>
      </c>
      <c r="J336" s="84" t="s">
        <v>829</v>
      </c>
      <c r="K336" s="46">
        <v>55900</v>
      </c>
      <c r="L336" s="46">
        <v>55900</v>
      </c>
      <c r="M336" s="49">
        <v>295900</v>
      </c>
    </row>
    <row r="337" spans="2:13" x14ac:dyDescent="0.45">
      <c r="B337" s="259"/>
      <c r="C337" s="81" t="s">
        <v>183</v>
      </c>
      <c r="D337" s="81" t="s">
        <v>831</v>
      </c>
      <c r="E337" s="40">
        <v>31900</v>
      </c>
      <c r="F337" s="40">
        <v>31900</v>
      </c>
      <c r="G337" s="50">
        <v>276100</v>
      </c>
      <c r="H337" s="259"/>
      <c r="I337" s="81" t="s">
        <v>183</v>
      </c>
      <c r="J337" s="81" t="s">
        <v>831</v>
      </c>
      <c r="K337" s="40">
        <v>46900</v>
      </c>
      <c r="L337" s="40">
        <v>46900</v>
      </c>
      <c r="M337" s="50">
        <v>325500</v>
      </c>
    </row>
    <row r="338" spans="2:13" ht="17.5" thickBot="1" x14ac:dyDescent="0.5">
      <c r="B338" s="262"/>
      <c r="C338" s="82" t="s">
        <v>183</v>
      </c>
      <c r="D338" s="82" t="s">
        <v>833</v>
      </c>
      <c r="E338" s="66">
        <v>27900</v>
      </c>
      <c r="F338" s="66">
        <v>27900</v>
      </c>
      <c r="G338" s="67">
        <v>276100</v>
      </c>
      <c r="H338" s="262"/>
      <c r="I338" s="82" t="s">
        <v>183</v>
      </c>
      <c r="J338" s="82" t="s">
        <v>833</v>
      </c>
      <c r="K338" s="66">
        <v>40900</v>
      </c>
      <c r="L338" s="66">
        <v>40900</v>
      </c>
      <c r="M338" s="67">
        <v>325500</v>
      </c>
    </row>
    <row r="339" spans="2:13" ht="17.5" thickTop="1" x14ac:dyDescent="0.45">
      <c r="B339" s="266" t="s">
        <v>835</v>
      </c>
      <c r="C339" s="89" t="s">
        <v>827</v>
      </c>
      <c r="D339" s="89" t="s">
        <v>830</v>
      </c>
      <c r="E339" s="53">
        <v>40900</v>
      </c>
      <c r="F339" s="53">
        <v>40900</v>
      </c>
      <c r="G339" s="54">
        <v>251000</v>
      </c>
      <c r="H339" s="266" t="s">
        <v>840</v>
      </c>
      <c r="I339" s="89" t="s">
        <v>827</v>
      </c>
      <c r="J339" s="89" t="s">
        <v>830</v>
      </c>
      <c r="K339" s="53">
        <v>51900</v>
      </c>
      <c r="L339" s="53">
        <v>51900</v>
      </c>
      <c r="M339" s="54">
        <v>284700</v>
      </c>
    </row>
    <row r="340" spans="2:13" x14ac:dyDescent="0.45">
      <c r="B340" s="259"/>
      <c r="C340" s="81" t="s">
        <v>827</v>
      </c>
      <c r="D340" s="81" t="s">
        <v>832</v>
      </c>
      <c r="E340" s="40">
        <v>31900</v>
      </c>
      <c r="F340" s="40">
        <v>31900</v>
      </c>
      <c r="G340" s="50">
        <v>276100</v>
      </c>
      <c r="H340" s="259"/>
      <c r="I340" s="81" t="s">
        <v>827</v>
      </c>
      <c r="J340" s="81" t="s">
        <v>832</v>
      </c>
      <c r="K340" s="40">
        <v>43900</v>
      </c>
      <c r="L340" s="40">
        <v>43900</v>
      </c>
      <c r="M340" s="50">
        <v>313200</v>
      </c>
    </row>
    <row r="341" spans="2:13" x14ac:dyDescent="0.45">
      <c r="B341" s="259"/>
      <c r="C341" s="83" t="s">
        <v>827</v>
      </c>
      <c r="D341" s="83" t="s">
        <v>834</v>
      </c>
      <c r="E341" s="58">
        <v>27900</v>
      </c>
      <c r="F341" s="58">
        <v>27900</v>
      </c>
      <c r="G341" s="59">
        <v>276100</v>
      </c>
      <c r="H341" s="259"/>
      <c r="I341" s="83" t="s">
        <v>827</v>
      </c>
      <c r="J341" s="83" t="s">
        <v>834</v>
      </c>
      <c r="K341" s="58">
        <v>38900</v>
      </c>
      <c r="L341" s="58">
        <v>38900</v>
      </c>
      <c r="M341" s="59">
        <v>313200</v>
      </c>
    </row>
    <row r="342" spans="2:13" x14ac:dyDescent="0.45">
      <c r="B342" s="259"/>
      <c r="C342" s="85" t="s">
        <v>826</v>
      </c>
      <c r="D342" s="85" t="s">
        <v>829</v>
      </c>
      <c r="E342" s="39">
        <v>42900</v>
      </c>
      <c r="F342" s="39">
        <v>42900</v>
      </c>
      <c r="G342" s="51">
        <v>262200</v>
      </c>
      <c r="H342" s="259"/>
      <c r="I342" s="85" t="s">
        <v>826</v>
      </c>
      <c r="J342" s="85" t="s">
        <v>829</v>
      </c>
      <c r="K342" s="39">
        <v>53900</v>
      </c>
      <c r="L342" s="39">
        <v>53900</v>
      </c>
      <c r="M342" s="51">
        <v>295900</v>
      </c>
    </row>
    <row r="343" spans="2:13" x14ac:dyDescent="0.45">
      <c r="B343" s="259"/>
      <c r="C343" s="81" t="s">
        <v>826</v>
      </c>
      <c r="D343" s="81" t="s">
        <v>831</v>
      </c>
      <c r="E343" s="40">
        <v>33900</v>
      </c>
      <c r="F343" s="40">
        <v>33900</v>
      </c>
      <c r="G343" s="50">
        <v>288400</v>
      </c>
      <c r="H343" s="259"/>
      <c r="I343" s="81" t="s">
        <v>826</v>
      </c>
      <c r="J343" s="81" t="s">
        <v>831</v>
      </c>
      <c r="K343" s="40">
        <v>45900</v>
      </c>
      <c r="L343" s="40">
        <v>45900</v>
      </c>
      <c r="M343" s="50">
        <v>325500</v>
      </c>
    </row>
    <row r="344" spans="2:13" x14ac:dyDescent="0.45">
      <c r="B344" s="259"/>
      <c r="C344" s="86" t="s">
        <v>826</v>
      </c>
      <c r="D344" s="86" t="s">
        <v>833</v>
      </c>
      <c r="E344" s="55">
        <v>29900</v>
      </c>
      <c r="F344" s="55">
        <v>29900</v>
      </c>
      <c r="G344" s="56">
        <v>288400</v>
      </c>
      <c r="H344" s="259"/>
      <c r="I344" s="86" t="s">
        <v>826</v>
      </c>
      <c r="J344" s="86" t="s">
        <v>833</v>
      </c>
      <c r="K344" s="55">
        <v>40900</v>
      </c>
      <c r="L344" s="55">
        <v>40900</v>
      </c>
      <c r="M344" s="56">
        <v>325500</v>
      </c>
    </row>
    <row r="345" spans="2:13" x14ac:dyDescent="0.45">
      <c r="B345" s="259"/>
      <c r="C345" s="85" t="s">
        <v>828</v>
      </c>
      <c r="D345" s="85" t="s">
        <v>829</v>
      </c>
      <c r="E345" s="39">
        <v>38900</v>
      </c>
      <c r="F345" s="39">
        <v>38900</v>
      </c>
      <c r="G345" s="51">
        <v>239700</v>
      </c>
      <c r="H345" s="259"/>
      <c r="I345" s="85" t="s">
        <v>828</v>
      </c>
      <c r="J345" s="85" t="s">
        <v>829</v>
      </c>
      <c r="K345" s="39">
        <v>48900</v>
      </c>
      <c r="L345" s="39">
        <v>48900</v>
      </c>
      <c r="M345" s="51">
        <v>284700</v>
      </c>
    </row>
    <row r="346" spans="2:13" x14ac:dyDescent="0.45">
      <c r="B346" s="259"/>
      <c r="C346" s="81" t="s">
        <v>828</v>
      </c>
      <c r="D346" s="81" t="s">
        <v>831</v>
      </c>
      <c r="E346" s="40">
        <v>29900</v>
      </c>
      <c r="F346" s="40">
        <v>29900</v>
      </c>
      <c r="G346" s="50">
        <v>263700</v>
      </c>
      <c r="H346" s="259"/>
      <c r="I346" s="81" t="s">
        <v>828</v>
      </c>
      <c r="J346" s="81" t="s">
        <v>831</v>
      </c>
      <c r="K346" s="40">
        <v>40900</v>
      </c>
      <c r="L346" s="40">
        <v>40900</v>
      </c>
      <c r="M346" s="50">
        <v>313200</v>
      </c>
    </row>
    <row r="347" spans="2:13" x14ac:dyDescent="0.45">
      <c r="B347" s="259"/>
      <c r="C347" s="86" t="s">
        <v>828</v>
      </c>
      <c r="D347" s="86" t="s">
        <v>833</v>
      </c>
      <c r="E347" s="55">
        <v>25900</v>
      </c>
      <c r="F347" s="55">
        <v>25900</v>
      </c>
      <c r="G347" s="56">
        <v>263700</v>
      </c>
      <c r="H347" s="259"/>
      <c r="I347" s="86" t="s">
        <v>828</v>
      </c>
      <c r="J347" s="86" t="s">
        <v>833</v>
      </c>
      <c r="K347" s="55">
        <v>35900</v>
      </c>
      <c r="L347" s="55">
        <v>35900</v>
      </c>
      <c r="M347" s="56">
        <v>313200</v>
      </c>
    </row>
    <row r="348" spans="2:13" x14ac:dyDescent="0.45">
      <c r="B348" s="259"/>
      <c r="C348" s="84" t="s">
        <v>183</v>
      </c>
      <c r="D348" s="84" t="s">
        <v>829</v>
      </c>
      <c r="E348" s="46">
        <v>36900</v>
      </c>
      <c r="F348" s="46">
        <v>36900</v>
      </c>
      <c r="G348" s="49">
        <v>231100</v>
      </c>
      <c r="H348" s="259"/>
      <c r="I348" s="84" t="s">
        <v>183</v>
      </c>
      <c r="J348" s="84" t="s">
        <v>829</v>
      </c>
      <c r="K348" s="46">
        <v>46900</v>
      </c>
      <c r="L348" s="46">
        <v>46900</v>
      </c>
      <c r="M348" s="49">
        <v>273400</v>
      </c>
    </row>
    <row r="349" spans="2:13" x14ac:dyDescent="0.45">
      <c r="B349" s="259"/>
      <c r="C349" s="81" t="s">
        <v>183</v>
      </c>
      <c r="D349" s="81" t="s">
        <v>831</v>
      </c>
      <c r="E349" s="40">
        <v>27900</v>
      </c>
      <c r="F349" s="40">
        <v>27900</v>
      </c>
      <c r="G349" s="50">
        <v>254200</v>
      </c>
      <c r="H349" s="259"/>
      <c r="I349" s="81" t="s">
        <v>183</v>
      </c>
      <c r="J349" s="81" t="s">
        <v>831</v>
      </c>
      <c r="K349" s="40">
        <v>38900</v>
      </c>
      <c r="L349" s="40">
        <v>38900</v>
      </c>
      <c r="M349" s="50">
        <v>300700</v>
      </c>
    </row>
    <row r="350" spans="2:13" ht="17.5" thickBot="1" x14ac:dyDescent="0.5">
      <c r="B350" s="262"/>
      <c r="C350" s="82" t="s">
        <v>183</v>
      </c>
      <c r="D350" s="82" t="s">
        <v>833</v>
      </c>
      <c r="E350" s="66">
        <v>23900</v>
      </c>
      <c r="F350" s="66">
        <v>23900</v>
      </c>
      <c r="G350" s="67">
        <v>254200</v>
      </c>
      <c r="H350" s="262"/>
      <c r="I350" s="82" t="s">
        <v>183</v>
      </c>
      <c r="J350" s="82" t="s">
        <v>833</v>
      </c>
      <c r="K350" s="66">
        <v>33900</v>
      </c>
      <c r="L350" s="66">
        <v>33900</v>
      </c>
      <c r="M350" s="67">
        <v>300700</v>
      </c>
    </row>
    <row r="351" spans="2:13" ht="17.5" thickTop="1" x14ac:dyDescent="0.45">
      <c r="B351" s="266" t="s">
        <v>836</v>
      </c>
      <c r="C351" s="89" t="s">
        <v>827</v>
      </c>
      <c r="D351" s="89" t="s">
        <v>830</v>
      </c>
      <c r="E351" s="53">
        <v>35900</v>
      </c>
      <c r="F351" s="53">
        <v>35900</v>
      </c>
      <c r="G351" s="54">
        <v>231100</v>
      </c>
      <c r="H351" s="266" t="s">
        <v>841</v>
      </c>
      <c r="I351" s="89" t="s">
        <v>827</v>
      </c>
      <c r="J351" s="89" t="s">
        <v>830</v>
      </c>
      <c r="K351" s="53">
        <v>44900</v>
      </c>
      <c r="L351" s="53">
        <v>44900</v>
      </c>
      <c r="M351" s="54">
        <v>273400</v>
      </c>
    </row>
    <row r="352" spans="2:13" x14ac:dyDescent="0.45">
      <c r="B352" s="259"/>
      <c r="C352" s="81" t="s">
        <v>827</v>
      </c>
      <c r="D352" s="81" t="s">
        <v>832</v>
      </c>
      <c r="E352" s="40">
        <v>27900</v>
      </c>
      <c r="F352" s="40">
        <v>27900</v>
      </c>
      <c r="G352" s="50">
        <v>254200</v>
      </c>
      <c r="H352" s="259"/>
      <c r="I352" s="81" t="s">
        <v>827</v>
      </c>
      <c r="J352" s="81" t="s">
        <v>832</v>
      </c>
      <c r="K352" s="40">
        <v>36900</v>
      </c>
      <c r="L352" s="40">
        <v>36900</v>
      </c>
      <c r="M352" s="50">
        <v>300700</v>
      </c>
    </row>
    <row r="353" spans="2:13" x14ac:dyDescent="0.45">
      <c r="B353" s="259"/>
      <c r="C353" s="83" t="s">
        <v>827</v>
      </c>
      <c r="D353" s="83" t="s">
        <v>834</v>
      </c>
      <c r="E353" s="58">
        <v>23900</v>
      </c>
      <c r="F353" s="58">
        <v>23900</v>
      </c>
      <c r="G353" s="59">
        <v>254200</v>
      </c>
      <c r="H353" s="259"/>
      <c r="I353" s="83" t="s">
        <v>827</v>
      </c>
      <c r="J353" s="83" t="s">
        <v>834</v>
      </c>
      <c r="K353" s="58">
        <v>31900</v>
      </c>
      <c r="L353" s="58">
        <v>31900</v>
      </c>
      <c r="M353" s="59">
        <v>300700</v>
      </c>
    </row>
    <row r="354" spans="2:13" x14ac:dyDescent="0.45">
      <c r="B354" s="259"/>
      <c r="C354" s="85" t="s">
        <v>826</v>
      </c>
      <c r="D354" s="85" t="s">
        <v>829</v>
      </c>
      <c r="E354" s="39">
        <v>37900</v>
      </c>
      <c r="F354" s="39">
        <v>37900</v>
      </c>
      <c r="G354" s="51">
        <v>239700</v>
      </c>
      <c r="H354" s="259"/>
      <c r="I354" s="85" t="s">
        <v>826</v>
      </c>
      <c r="J354" s="85" t="s">
        <v>829</v>
      </c>
      <c r="K354" s="39">
        <v>46900</v>
      </c>
      <c r="L354" s="39">
        <v>46900</v>
      </c>
      <c r="M354" s="51">
        <v>273400</v>
      </c>
    </row>
    <row r="355" spans="2:13" x14ac:dyDescent="0.45">
      <c r="B355" s="259"/>
      <c r="C355" s="81" t="s">
        <v>826</v>
      </c>
      <c r="D355" s="81" t="s">
        <v>831</v>
      </c>
      <c r="E355" s="40">
        <v>29900</v>
      </c>
      <c r="F355" s="40">
        <v>29900</v>
      </c>
      <c r="G355" s="50">
        <v>263700</v>
      </c>
      <c r="H355" s="259"/>
      <c r="I355" s="81" t="s">
        <v>826</v>
      </c>
      <c r="J355" s="81" t="s">
        <v>831</v>
      </c>
      <c r="K355" s="40">
        <v>38900</v>
      </c>
      <c r="L355" s="40">
        <v>38900</v>
      </c>
      <c r="M355" s="50">
        <v>300700</v>
      </c>
    </row>
    <row r="356" spans="2:13" x14ac:dyDescent="0.45">
      <c r="B356" s="259"/>
      <c r="C356" s="86" t="s">
        <v>826</v>
      </c>
      <c r="D356" s="86" t="s">
        <v>833</v>
      </c>
      <c r="E356" s="55">
        <v>25900</v>
      </c>
      <c r="F356" s="55">
        <v>25900</v>
      </c>
      <c r="G356" s="56">
        <v>263700</v>
      </c>
      <c r="H356" s="259"/>
      <c r="I356" s="86" t="s">
        <v>826</v>
      </c>
      <c r="J356" s="86" t="s">
        <v>833</v>
      </c>
      <c r="K356" s="55">
        <v>33900</v>
      </c>
      <c r="L356" s="55">
        <v>33900</v>
      </c>
      <c r="M356" s="56">
        <v>300700</v>
      </c>
    </row>
    <row r="357" spans="2:13" x14ac:dyDescent="0.45">
      <c r="B357" s="259"/>
      <c r="C357" s="85" t="s">
        <v>828</v>
      </c>
      <c r="D357" s="85" t="s">
        <v>829</v>
      </c>
      <c r="E357" s="39">
        <v>33900</v>
      </c>
      <c r="F357" s="39">
        <v>33900</v>
      </c>
      <c r="G357" s="51">
        <v>231100</v>
      </c>
      <c r="H357" s="259"/>
      <c r="I357" s="85" t="s">
        <v>828</v>
      </c>
      <c r="J357" s="85" t="s">
        <v>829</v>
      </c>
      <c r="K357" s="39">
        <v>41900</v>
      </c>
      <c r="L357" s="39">
        <v>41900</v>
      </c>
      <c r="M357" s="51">
        <v>262200</v>
      </c>
    </row>
    <row r="358" spans="2:13" x14ac:dyDescent="0.45">
      <c r="B358" s="259"/>
      <c r="C358" s="81" t="s">
        <v>828</v>
      </c>
      <c r="D358" s="81" t="s">
        <v>831</v>
      </c>
      <c r="E358" s="40">
        <v>25900</v>
      </c>
      <c r="F358" s="40">
        <v>25900</v>
      </c>
      <c r="G358" s="50">
        <v>254200</v>
      </c>
      <c r="H358" s="259"/>
      <c r="I358" s="81" t="s">
        <v>828</v>
      </c>
      <c r="J358" s="81" t="s">
        <v>831</v>
      </c>
      <c r="K358" s="40">
        <v>33900</v>
      </c>
      <c r="L358" s="40">
        <v>33900</v>
      </c>
      <c r="M358" s="50">
        <v>288400</v>
      </c>
    </row>
    <row r="359" spans="2:13" x14ac:dyDescent="0.45">
      <c r="B359" s="259"/>
      <c r="C359" s="86" t="s">
        <v>828</v>
      </c>
      <c r="D359" s="86" t="s">
        <v>833</v>
      </c>
      <c r="E359" s="55">
        <v>21900</v>
      </c>
      <c r="F359" s="55">
        <v>21900</v>
      </c>
      <c r="G359" s="56">
        <v>254200</v>
      </c>
      <c r="H359" s="259"/>
      <c r="I359" s="86" t="s">
        <v>828</v>
      </c>
      <c r="J359" s="86" t="s">
        <v>833</v>
      </c>
      <c r="K359" s="55">
        <v>28900</v>
      </c>
      <c r="L359" s="55">
        <v>28900</v>
      </c>
      <c r="M359" s="56">
        <v>288400</v>
      </c>
    </row>
    <row r="360" spans="2:13" x14ac:dyDescent="0.45">
      <c r="B360" s="259"/>
      <c r="C360" s="84" t="s">
        <v>183</v>
      </c>
      <c r="D360" s="84" t="s">
        <v>829</v>
      </c>
      <c r="E360" s="46">
        <v>31900</v>
      </c>
      <c r="F360" s="46">
        <v>31900</v>
      </c>
      <c r="G360" s="49">
        <v>219800</v>
      </c>
      <c r="H360" s="259"/>
      <c r="I360" s="84" t="s">
        <v>183</v>
      </c>
      <c r="J360" s="84" t="s">
        <v>829</v>
      </c>
      <c r="K360" s="46">
        <v>39900</v>
      </c>
      <c r="L360" s="46">
        <v>39900</v>
      </c>
      <c r="M360" s="49">
        <v>251000</v>
      </c>
    </row>
    <row r="361" spans="2:13" x14ac:dyDescent="0.45">
      <c r="B361" s="259"/>
      <c r="C361" s="81" t="s">
        <v>183</v>
      </c>
      <c r="D361" s="81" t="s">
        <v>831</v>
      </c>
      <c r="E361" s="40">
        <v>23900</v>
      </c>
      <c r="F361" s="40">
        <v>23900</v>
      </c>
      <c r="G361" s="50">
        <v>241800</v>
      </c>
      <c r="H361" s="259"/>
      <c r="I361" s="81" t="s">
        <v>183</v>
      </c>
      <c r="J361" s="81" t="s">
        <v>831</v>
      </c>
      <c r="K361" s="40">
        <v>31900</v>
      </c>
      <c r="L361" s="40">
        <v>31900</v>
      </c>
      <c r="M361" s="50">
        <v>276100</v>
      </c>
    </row>
    <row r="362" spans="2:13" ht="17.5" thickBot="1" x14ac:dyDescent="0.5">
      <c r="B362" s="262"/>
      <c r="C362" s="82" t="s">
        <v>183</v>
      </c>
      <c r="D362" s="82" t="s">
        <v>833</v>
      </c>
      <c r="E362" s="66">
        <v>19900</v>
      </c>
      <c r="F362" s="66">
        <v>19900</v>
      </c>
      <c r="G362" s="67">
        <v>241800</v>
      </c>
      <c r="H362" s="262"/>
      <c r="I362" s="82" t="s">
        <v>183</v>
      </c>
      <c r="J362" s="82" t="s">
        <v>833</v>
      </c>
      <c r="K362" s="66">
        <v>26900</v>
      </c>
      <c r="L362" s="66">
        <v>26900</v>
      </c>
      <c r="M362" s="67">
        <v>276100</v>
      </c>
    </row>
    <row r="363" spans="2:13" ht="17.5" thickTop="1" x14ac:dyDescent="0.45">
      <c r="B363" s="266" t="s">
        <v>837</v>
      </c>
      <c r="C363" s="89" t="s">
        <v>827</v>
      </c>
      <c r="D363" s="89" t="s">
        <v>830</v>
      </c>
      <c r="E363" s="53">
        <v>30900</v>
      </c>
      <c r="F363" s="53">
        <v>30900</v>
      </c>
      <c r="G363" s="54">
        <v>219800</v>
      </c>
      <c r="H363" s="266" t="s">
        <v>842</v>
      </c>
      <c r="I363" s="89" t="s">
        <v>827</v>
      </c>
      <c r="J363" s="89" t="s">
        <v>830</v>
      </c>
      <c r="K363" s="53">
        <v>41900</v>
      </c>
      <c r="L363" s="53">
        <v>41900</v>
      </c>
      <c r="M363" s="54">
        <v>262200</v>
      </c>
    </row>
    <row r="364" spans="2:13" x14ac:dyDescent="0.45">
      <c r="B364" s="259"/>
      <c r="C364" s="81" t="s">
        <v>827</v>
      </c>
      <c r="D364" s="81" t="s">
        <v>832</v>
      </c>
      <c r="E364" s="40">
        <v>23900</v>
      </c>
      <c r="F364" s="40">
        <v>23900</v>
      </c>
      <c r="G364" s="50">
        <v>241800</v>
      </c>
      <c r="H364" s="259"/>
      <c r="I364" s="81" t="s">
        <v>827</v>
      </c>
      <c r="J364" s="81" t="s">
        <v>832</v>
      </c>
      <c r="K364" s="40">
        <v>33900</v>
      </c>
      <c r="L364" s="40">
        <v>33900</v>
      </c>
      <c r="M364" s="50">
        <v>288400</v>
      </c>
    </row>
    <row r="365" spans="2:13" x14ac:dyDescent="0.45">
      <c r="B365" s="259"/>
      <c r="C365" s="83" t="s">
        <v>827</v>
      </c>
      <c r="D365" s="83" t="s">
        <v>834</v>
      </c>
      <c r="E365" s="58">
        <v>19900</v>
      </c>
      <c r="F365" s="58">
        <v>19900</v>
      </c>
      <c r="G365" s="59">
        <v>241800</v>
      </c>
      <c r="H365" s="259"/>
      <c r="I365" s="83" t="s">
        <v>827</v>
      </c>
      <c r="J365" s="83" t="s">
        <v>834</v>
      </c>
      <c r="K365" s="58">
        <v>28900</v>
      </c>
      <c r="L365" s="58">
        <v>28900</v>
      </c>
      <c r="M365" s="59">
        <v>288400</v>
      </c>
    </row>
    <row r="366" spans="2:13" x14ac:dyDescent="0.45">
      <c r="B366" s="259"/>
      <c r="C366" s="85" t="s">
        <v>826</v>
      </c>
      <c r="D366" s="85" t="s">
        <v>829</v>
      </c>
      <c r="E366" s="39">
        <v>32900</v>
      </c>
      <c r="F366" s="39">
        <v>32900</v>
      </c>
      <c r="G366" s="51">
        <v>231100</v>
      </c>
      <c r="H366" s="259"/>
      <c r="I366" s="85" t="s">
        <v>826</v>
      </c>
      <c r="J366" s="85" t="s">
        <v>829</v>
      </c>
      <c r="K366" s="39">
        <v>43900</v>
      </c>
      <c r="L366" s="39">
        <v>43900</v>
      </c>
      <c r="M366" s="51">
        <v>273400</v>
      </c>
    </row>
    <row r="367" spans="2:13" x14ac:dyDescent="0.45">
      <c r="B367" s="259"/>
      <c r="C367" s="81" t="s">
        <v>826</v>
      </c>
      <c r="D367" s="81" t="s">
        <v>831</v>
      </c>
      <c r="E367" s="40">
        <v>25900</v>
      </c>
      <c r="F367" s="40">
        <v>25900</v>
      </c>
      <c r="G367" s="50">
        <v>254200</v>
      </c>
      <c r="H367" s="259"/>
      <c r="I367" s="81" t="s">
        <v>826</v>
      </c>
      <c r="J367" s="81" t="s">
        <v>831</v>
      </c>
      <c r="K367" s="40">
        <v>35900</v>
      </c>
      <c r="L367" s="40">
        <v>35900</v>
      </c>
      <c r="M367" s="50">
        <v>300700</v>
      </c>
    </row>
    <row r="368" spans="2:13" x14ac:dyDescent="0.45">
      <c r="B368" s="259"/>
      <c r="C368" s="86" t="s">
        <v>826</v>
      </c>
      <c r="D368" s="86" t="s">
        <v>833</v>
      </c>
      <c r="E368" s="55">
        <v>21900</v>
      </c>
      <c r="F368" s="55">
        <v>21900</v>
      </c>
      <c r="G368" s="56">
        <v>254200</v>
      </c>
      <c r="H368" s="259"/>
      <c r="I368" s="86" t="s">
        <v>826</v>
      </c>
      <c r="J368" s="86" t="s">
        <v>833</v>
      </c>
      <c r="K368" s="55">
        <v>30900</v>
      </c>
      <c r="L368" s="55">
        <v>30900</v>
      </c>
      <c r="M368" s="56">
        <v>300700</v>
      </c>
    </row>
    <row r="369" spans="2:16" x14ac:dyDescent="0.45">
      <c r="B369" s="259"/>
      <c r="C369" s="85" t="s">
        <v>828</v>
      </c>
      <c r="D369" s="85" t="s">
        <v>829</v>
      </c>
      <c r="E369" s="39">
        <v>28900</v>
      </c>
      <c r="F369" s="39">
        <v>28900</v>
      </c>
      <c r="G369" s="51">
        <v>208600</v>
      </c>
      <c r="H369" s="259"/>
      <c r="I369" s="85" t="s">
        <v>828</v>
      </c>
      <c r="J369" s="85" t="s">
        <v>829</v>
      </c>
      <c r="K369" s="39">
        <v>38900</v>
      </c>
      <c r="L369" s="39">
        <v>38900</v>
      </c>
      <c r="M369" s="51">
        <v>251000</v>
      </c>
    </row>
    <row r="370" spans="2:16" x14ac:dyDescent="0.45">
      <c r="B370" s="259"/>
      <c r="C370" s="81" t="s">
        <v>828</v>
      </c>
      <c r="D370" s="81" t="s">
        <v>831</v>
      </c>
      <c r="E370" s="40">
        <v>21900</v>
      </c>
      <c r="F370" s="40">
        <v>21900</v>
      </c>
      <c r="G370" s="50">
        <v>229500</v>
      </c>
      <c r="H370" s="259"/>
      <c r="I370" s="81" t="s">
        <v>828</v>
      </c>
      <c r="J370" s="81" t="s">
        <v>831</v>
      </c>
      <c r="K370" s="40">
        <v>30900</v>
      </c>
      <c r="L370" s="40">
        <v>30900</v>
      </c>
      <c r="M370" s="50">
        <v>276100</v>
      </c>
    </row>
    <row r="371" spans="2:16" x14ac:dyDescent="0.45">
      <c r="B371" s="259"/>
      <c r="C371" s="86" t="s">
        <v>828</v>
      </c>
      <c r="D371" s="86" t="s">
        <v>833</v>
      </c>
      <c r="E371" s="55">
        <v>17900</v>
      </c>
      <c r="F371" s="55">
        <v>17900</v>
      </c>
      <c r="G371" s="56">
        <v>229500</v>
      </c>
      <c r="H371" s="259"/>
      <c r="I371" s="86" t="s">
        <v>828</v>
      </c>
      <c r="J371" s="86" t="s">
        <v>833</v>
      </c>
      <c r="K371" s="55">
        <v>25900</v>
      </c>
      <c r="L371" s="55">
        <v>25900</v>
      </c>
      <c r="M371" s="56">
        <v>276100</v>
      </c>
    </row>
    <row r="372" spans="2:16" x14ac:dyDescent="0.45">
      <c r="B372" s="259"/>
      <c r="C372" s="84" t="s">
        <v>183</v>
      </c>
      <c r="D372" s="84" t="s">
        <v>829</v>
      </c>
      <c r="E372" s="46">
        <v>26900</v>
      </c>
      <c r="F372" s="46">
        <v>26900</v>
      </c>
      <c r="G372" s="49">
        <v>197400</v>
      </c>
      <c r="H372" s="259"/>
      <c r="I372" s="84" t="s">
        <v>183</v>
      </c>
      <c r="J372" s="84" t="s">
        <v>829</v>
      </c>
      <c r="K372" s="46">
        <v>36900</v>
      </c>
      <c r="L372" s="46">
        <v>36900</v>
      </c>
      <c r="M372" s="49">
        <v>239700</v>
      </c>
    </row>
    <row r="373" spans="2:16" x14ac:dyDescent="0.45">
      <c r="B373" s="259"/>
      <c r="C373" s="81" t="s">
        <v>183</v>
      </c>
      <c r="D373" s="81" t="s">
        <v>831</v>
      </c>
      <c r="E373" s="40">
        <v>19900</v>
      </c>
      <c r="F373" s="40">
        <v>19900</v>
      </c>
      <c r="G373" s="50">
        <v>217100</v>
      </c>
      <c r="H373" s="259"/>
      <c r="I373" s="81" t="s">
        <v>183</v>
      </c>
      <c r="J373" s="81" t="s">
        <v>831</v>
      </c>
      <c r="K373" s="40">
        <v>28900</v>
      </c>
      <c r="L373" s="40">
        <v>28900</v>
      </c>
      <c r="M373" s="50">
        <v>263700</v>
      </c>
    </row>
    <row r="374" spans="2:16" ht="17.5" thickBot="1" x14ac:dyDescent="0.5">
      <c r="B374" s="262"/>
      <c r="C374" s="82" t="s">
        <v>183</v>
      </c>
      <c r="D374" s="82" t="s">
        <v>833</v>
      </c>
      <c r="E374" s="66">
        <v>15900</v>
      </c>
      <c r="F374" s="66">
        <v>15900</v>
      </c>
      <c r="G374" s="67">
        <v>217100</v>
      </c>
      <c r="H374" s="262"/>
      <c r="I374" s="82" t="s">
        <v>183</v>
      </c>
      <c r="J374" s="82" t="s">
        <v>833</v>
      </c>
      <c r="K374" s="66">
        <v>23900</v>
      </c>
      <c r="L374" s="66">
        <v>23900</v>
      </c>
      <c r="M374" s="67">
        <v>263700</v>
      </c>
      <c r="N374" s="109"/>
      <c r="O374" s="109"/>
      <c r="P374" s="109"/>
    </row>
    <row r="375" spans="2:16" ht="17.5" thickTop="1" x14ac:dyDescent="0.45">
      <c r="N375" s="109"/>
      <c r="O375" s="109"/>
      <c r="P375" s="109"/>
    </row>
    <row r="376" spans="2:16" ht="18" thickBot="1" x14ac:dyDescent="0.5">
      <c r="B376" s="70" t="s">
        <v>853</v>
      </c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109"/>
    </row>
    <row r="377" spans="2:16" ht="17.5" thickTop="1" x14ac:dyDescent="0.45">
      <c r="B377" s="244" t="s">
        <v>823</v>
      </c>
      <c r="C377" s="239" t="s">
        <v>824</v>
      </c>
      <c r="D377" s="239"/>
      <c r="E377" s="222" t="s">
        <v>843</v>
      </c>
      <c r="F377" s="222"/>
      <c r="G377" s="223"/>
      <c r="H377" s="244" t="s">
        <v>823</v>
      </c>
      <c r="I377" s="239" t="s">
        <v>824</v>
      </c>
      <c r="J377" s="239"/>
      <c r="K377" s="222" t="s">
        <v>844</v>
      </c>
      <c r="L377" s="222"/>
      <c r="M377" s="223"/>
      <c r="N377" s="109"/>
      <c r="O377" s="109"/>
      <c r="P377" s="109"/>
    </row>
    <row r="378" spans="2:16" ht="17.5" thickBot="1" x14ac:dyDescent="0.5">
      <c r="B378" s="245"/>
      <c r="C378" s="240"/>
      <c r="D378" s="240"/>
      <c r="E378" s="87" t="s">
        <v>611</v>
      </c>
      <c r="F378" s="87" t="s">
        <v>612</v>
      </c>
      <c r="G378" s="88" t="s">
        <v>593</v>
      </c>
      <c r="H378" s="245"/>
      <c r="I378" s="240"/>
      <c r="J378" s="240"/>
      <c r="K378" s="87" t="s">
        <v>611</v>
      </c>
      <c r="L378" s="87" t="s">
        <v>612</v>
      </c>
      <c r="M378" s="88" t="s">
        <v>593</v>
      </c>
      <c r="N378" s="109"/>
      <c r="O378" s="109"/>
      <c r="P378" s="109"/>
    </row>
    <row r="379" spans="2:16" ht="17.5" customHeight="1" thickTop="1" x14ac:dyDescent="0.45">
      <c r="B379" s="266" t="s">
        <v>846</v>
      </c>
      <c r="C379" s="89" t="s">
        <v>827</v>
      </c>
      <c r="D379" s="89" t="s">
        <v>830</v>
      </c>
      <c r="E379" s="53">
        <v>32900</v>
      </c>
      <c r="F379" s="53">
        <v>32900</v>
      </c>
      <c r="G379" s="54">
        <v>219800</v>
      </c>
      <c r="H379" s="266" t="s">
        <v>906</v>
      </c>
      <c r="I379" s="89" t="s">
        <v>827</v>
      </c>
      <c r="J379" s="89" t="s">
        <v>830</v>
      </c>
      <c r="K379" s="53">
        <v>46900</v>
      </c>
      <c r="L379" s="53">
        <v>41900</v>
      </c>
      <c r="M379" s="54">
        <v>262200</v>
      </c>
      <c r="N379" s="109"/>
      <c r="O379" s="109"/>
      <c r="P379" s="109"/>
    </row>
    <row r="380" spans="2:16" x14ac:dyDescent="0.45">
      <c r="B380" s="259"/>
      <c r="C380" s="81" t="s">
        <v>827</v>
      </c>
      <c r="D380" s="81" t="s">
        <v>832</v>
      </c>
      <c r="E380" s="40">
        <v>24900</v>
      </c>
      <c r="F380" s="40">
        <v>24900</v>
      </c>
      <c r="G380" s="50">
        <v>241800</v>
      </c>
      <c r="H380" s="259"/>
      <c r="I380" s="81" t="s">
        <v>827</v>
      </c>
      <c r="J380" s="81" t="s">
        <v>832</v>
      </c>
      <c r="K380" s="40">
        <v>38900</v>
      </c>
      <c r="L380" s="40">
        <v>33900</v>
      </c>
      <c r="M380" s="50">
        <v>288400</v>
      </c>
      <c r="N380" s="109"/>
      <c r="O380" s="109"/>
      <c r="P380" s="109"/>
    </row>
    <row r="381" spans="2:16" x14ac:dyDescent="0.45">
      <c r="B381" s="259"/>
      <c r="C381" s="83" t="s">
        <v>827</v>
      </c>
      <c r="D381" s="83" t="s">
        <v>834</v>
      </c>
      <c r="E381" s="58">
        <v>20900</v>
      </c>
      <c r="F381" s="58">
        <v>20900</v>
      </c>
      <c r="G381" s="59">
        <v>241800</v>
      </c>
      <c r="H381" s="259"/>
      <c r="I381" s="83" t="s">
        <v>827</v>
      </c>
      <c r="J381" s="83" t="s">
        <v>834</v>
      </c>
      <c r="K381" s="58">
        <v>34900</v>
      </c>
      <c r="L381" s="58">
        <v>29900</v>
      </c>
      <c r="M381" s="59">
        <v>288400</v>
      </c>
      <c r="N381" s="109"/>
      <c r="O381" s="109"/>
      <c r="P381" s="109"/>
    </row>
    <row r="382" spans="2:16" x14ac:dyDescent="0.45">
      <c r="B382" s="259"/>
      <c r="C382" s="85" t="s">
        <v>826</v>
      </c>
      <c r="D382" s="85" t="s">
        <v>829</v>
      </c>
      <c r="E382" s="39">
        <v>34900</v>
      </c>
      <c r="F382" s="39">
        <v>34900</v>
      </c>
      <c r="G382" s="51">
        <v>231100</v>
      </c>
      <c r="H382" s="259"/>
      <c r="I382" s="85" t="s">
        <v>826</v>
      </c>
      <c r="J382" s="85" t="s">
        <v>829</v>
      </c>
      <c r="K382" s="39">
        <v>48900</v>
      </c>
      <c r="L382" s="39">
        <v>43900</v>
      </c>
      <c r="M382" s="51">
        <v>273400</v>
      </c>
      <c r="N382" s="109"/>
      <c r="O382" s="109"/>
      <c r="P382" s="109"/>
    </row>
    <row r="383" spans="2:16" x14ac:dyDescent="0.45">
      <c r="B383" s="259"/>
      <c r="C383" s="81" t="s">
        <v>826</v>
      </c>
      <c r="D383" s="81" t="s">
        <v>831</v>
      </c>
      <c r="E383" s="40">
        <v>26900</v>
      </c>
      <c r="F383" s="40">
        <v>26900</v>
      </c>
      <c r="G383" s="50">
        <v>254200</v>
      </c>
      <c r="H383" s="259"/>
      <c r="I383" s="81" t="s">
        <v>826</v>
      </c>
      <c r="J383" s="81" t="s">
        <v>831</v>
      </c>
      <c r="K383" s="40">
        <v>40900</v>
      </c>
      <c r="L383" s="40">
        <v>35900</v>
      </c>
      <c r="M383" s="50">
        <v>300700</v>
      </c>
      <c r="N383" s="109"/>
      <c r="O383" s="109"/>
      <c r="P383" s="109"/>
    </row>
    <row r="384" spans="2:16" x14ac:dyDescent="0.45">
      <c r="B384" s="259"/>
      <c r="C384" s="86" t="s">
        <v>826</v>
      </c>
      <c r="D384" s="86" t="s">
        <v>833</v>
      </c>
      <c r="E384" s="55">
        <v>22900</v>
      </c>
      <c r="F384" s="55">
        <v>22900</v>
      </c>
      <c r="G384" s="56">
        <v>254200</v>
      </c>
      <c r="H384" s="259"/>
      <c r="I384" s="86" t="s">
        <v>826</v>
      </c>
      <c r="J384" s="86" t="s">
        <v>833</v>
      </c>
      <c r="K384" s="55">
        <v>36900</v>
      </c>
      <c r="L384" s="55">
        <v>31900</v>
      </c>
      <c r="M384" s="56">
        <v>300700</v>
      </c>
      <c r="N384" s="109"/>
      <c r="O384" s="109"/>
      <c r="P384" s="109"/>
    </row>
    <row r="385" spans="2:16" x14ac:dyDescent="0.45">
      <c r="B385" s="259"/>
      <c r="C385" s="85" t="s">
        <v>828</v>
      </c>
      <c r="D385" s="85" t="s">
        <v>829</v>
      </c>
      <c r="E385" s="39">
        <v>33900</v>
      </c>
      <c r="F385" s="39">
        <v>33900</v>
      </c>
      <c r="G385" s="51">
        <v>231100</v>
      </c>
      <c r="H385" s="259"/>
      <c r="I385" s="85" t="s">
        <v>828</v>
      </c>
      <c r="J385" s="85" t="s">
        <v>829</v>
      </c>
      <c r="K385" s="39">
        <v>44900</v>
      </c>
      <c r="L385" s="39">
        <v>39900</v>
      </c>
      <c r="M385" s="51">
        <v>251000</v>
      </c>
      <c r="N385" s="109"/>
      <c r="O385" s="109"/>
      <c r="P385" s="109"/>
    </row>
    <row r="386" spans="2:16" x14ac:dyDescent="0.45">
      <c r="B386" s="259"/>
      <c r="C386" s="81" t="s">
        <v>828</v>
      </c>
      <c r="D386" s="81" t="s">
        <v>831</v>
      </c>
      <c r="E386" s="40">
        <v>25900</v>
      </c>
      <c r="F386" s="40">
        <v>25900</v>
      </c>
      <c r="G386" s="50">
        <v>254200</v>
      </c>
      <c r="H386" s="259"/>
      <c r="I386" s="81" t="s">
        <v>828</v>
      </c>
      <c r="J386" s="81" t="s">
        <v>831</v>
      </c>
      <c r="K386" s="40">
        <v>36900</v>
      </c>
      <c r="L386" s="40">
        <v>31900</v>
      </c>
      <c r="M386" s="50">
        <v>276100</v>
      </c>
      <c r="N386" s="109"/>
      <c r="O386" s="109"/>
      <c r="P386" s="109"/>
    </row>
    <row r="387" spans="2:16" x14ac:dyDescent="0.45">
      <c r="B387" s="259"/>
      <c r="C387" s="86" t="s">
        <v>828</v>
      </c>
      <c r="D387" s="86" t="s">
        <v>833</v>
      </c>
      <c r="E387" s="55">
        <v>21900</v>
      </c>
      <c r="F387" s="55">
        <v>21900</v>
      </c>
      <c r="G387" s="56">
        <v>254200</v>
      </c>
      <c r="H387" s="259"/>
      <c r="I387" s="86" t="s">
        <v>828</v>
      </c>
      <c r="J387" s="86" t="s">
        <v>833</v>
      </c>
      <c r="K387" s="55">
        <v>32900</v>
      </c>
      <c r="L387" s="55">
        <v>27900</v>
      </c>
      <c r="M387" s="56">
        <v>276100</v>
      </c>
      <c r="N387" s="109"/>
      <c r="O387" s="109"/>
      <c r="P387" s="109"/>
    </row>
    <row r="388" spans="2:16" x14ac:dyDescent="0.45">
      <c r="B388" s="259"/>
      <c r="C388" s="84" t="s">
        <v>183</v>
      </c>
      <c r="D388" s="84" t="s">
        <v>829</v>
      </c>
      <c r="E388" s="46">
        <v>31900</v>
      </c>
      <c r="F388" s="46">
        <v>31900</v>
      </c>
      <c r="G388" s="49">
        <v>219800</v>
      </c>
      <c r="H388" s="259"/>
      <c r="I388" s="84" t="s">
        <v>183</v>
      </c>
      <c r="J388" s="84" t="s">
        <v>829</v>
      </c>
      <c r="K388" s="46">
        <v>42900</v>
      </c>
      <c r="L388" s="46">
        <v>37900</v>
      </c>
      <c r="M388" s="49">
        <v>239700</v>
      </c>
      <c r="N388" s="109"/>
      <c r="O388" s="109"/>
      <c r="P388" s="109"/>
    </row>
    <row r="389" spans="2:16" x14ac:dyDescent="0.45">
      <c r="B389" s="259"/>
      <c r="C389" s="81" t="s">
        <v>183</v>
      </c>
      <c r="D389" s="81" t="s">
        <v>831</v>
      </c>
      <c r="E389" s="40">
        <v>23900</v>
      </c>
      <c r="F389" s="40">
        <v>23900</v>
      </c>
      <c r="G389" s="50">
        <v>241800</v>
      </c>
      <c r="H389" s="259"/>
      <c r="I389" s="81" t="s">
        <v>183</v>
      </c>
      <c r="J389" s="81" t="s">
        <v>831</v>
      </c>
      <c r="K389" s="40">
        <v>34900</v>
      </c>
      <c r="L389" s="40">
        <v>29900</v>
      </c>
      <c r="M389" s="50">
        <v>263700</v>
      </c>
      <c r="N389" s="109"/>
      <c r="O389" s="109"/>
      <c r="P389" s="109"/>
    </row>
    <row r="390" spans="2:16" ht="17.5" thickBot="1" x14ac:dyDescent="0.5">
      <c r="B390" s="262"/>
      <c r="C390" s="82" t="s">
        <v>183</v>
      </c>
      <c r="D390" s="82" t="s">
        <v>833</v>
      </c>
      <c r="E390" s="66">
        <v>19900</v>
      </c>
      <c r="F390" s="66">
        <v>19900</v>
      </c>
      <c r="G390" s="67">
        <v>241800</v>
      </c>
      <c r="H390" s="262"/>
      <c r="I390" s="82" t="s">
        <v>183</v>
      </c>
      <c r="J390" s="82" t="s">
        <v>833</v>
      </c>
      <c r="K390" s="66">
        <v>30900</v>
      </c>
      <c r="L390" s="66">
        <v>25900</v>
      </c>
      <c r="M390" s="67">
        <v>263700</v>
      </c>
      <c r="N390" s="109"/>
      <c r="O390" s="109"/>
      <c r="P390" s="109"/>
    </row>
    <row r="391" spans="2:16" ht="17.5" customHeight="1" thickTop="1" x14ac:dyDescent="0.45">
      <c r="B391" s="266" t="s">
        <v>847</v>
      </c>
      <c r="C391" s="89" t="s">
        <v>827</v>
      </c>
      <c r="D391" s="89" t="s">
        <v>830</v>
      </c>
      <c r="E391" s="53">
        <v>27900</v>
      </c>
      <c r="F391" s="53">
        <v>27900</v>
      </c>
      <c r="G391" s="54">
        <v>208600</v>
      </c>
      <c r="H391" s="266" t="s">
        <v>907</v>
      </c>
      <c r="I391" s="89" t="s">
        <v>827</v>
      </c>
      <c r="J391" s="89" t="s">
        <v>830</v>
      </c>
      <c r="K391" s="53">
        <v>41900</v>
      </c>
      <c r="L391" s="53">
        <v>36900</v>
      </c>
      <c r="M391" s="54">
        <v>239700</v>
      </c>
      <c r="N391" s="109"/>
      <c r="O391" s="109"/>
      <c r="P391" s="109"/>
    </row>
    <row r="392" spans="2:16" x14ac:dyDescent="0.45">
      <c r="B392" s="259"/>
      <c r="C392" s="81" t="s">
        <v>827</v>
      </c>
      <c r="D392" s="81" t="s">
        <v>832</v>
      </c>
      <c r="E392" s="40">
        <v>20900</v>
      </c>
      <c r="F392" s="40">
        <v>20900</v>
      </c>
      <c r="G392" s="50">
        <v>229500</v>
      </c>
      <c r="H392" s="259"/>
      <c r="I392" s="81" t="s">
        <v>827</v>
      </c>
      <c r="J392" s="81" t="s">
        <v>832</v>
      </c>
      <c r="K392" s="40">
        <v>33900</v>
      </c>
      <c r="L392" s="40">
        <v>28900</v>
      </c>
      <c r="M392" s="50">
        <v>263700</v>
      </c>
      <c r="N392" s="109"/>
      <c r="O392" s="109"/>
      <c r="P392" s="109"/>
    </row>
    <row r="393" spans="2:16" x14ac:dyDescent="0.45">
      <c r="B393" s="259"/>
      <c r="C393" s="83" t="s">
        <v>827</v>
      </c>
      <c r="D393" s="83" t="s">
        <v>834</v>
      </c>
      <c r="E393" s="58">
        <v>16900</v>
      </c>
      <c r="F393" s="58">
        <v>16900</v>
      </c>
      <c r="G393" s="59">
        <v>229500</v>
      </c>
      <c r="H393" s="259"/>
      <c r="I393" s="83" t="s">
        <v>827</v>
      </c>
      <c r="J393" s="83" t="s">
        <v>834</v>
      </c>
      <c r="K393" s="58">
        <v>29900</v>
      </c>
      <c r="L393" s="58">
        <v>24900</v>
      </c>
      <c r="M393" s="59">
        <v>263700</v>
      </c>
      <c r="N393" s="109"/>
      <c r="O393" s="109"/>
      <c r="P393" s="109"/>
    </row>
    <row r="394" spans="2:16" x14ac:dyDescent="0.45">
      <c r="B394" s="259"/>
      <c r="C394" s="85" t="s">
        <v>826</v>
      </c>
      <c r="D394" s="85" t="s">
        <v>829</v>
      </c>
      <c r="E394" s="39">
        <v>29900</v>
      </c>
      <c r="F394" s="39">
        <v>29900</v>
      </c>
      <c r="G394" s="51">
        <v>208600</v>
      </c>
      <c r="H394" s="259"/>
      <c r="I394" s="85" t="s">
        <v>826</v>
      </c>
      <c r="J394" s="85" t="s">
        <v>829</v>
      </c>
      <c r="K394" s="39">
        <v>43900</v>
      </c>
      <c r="L394" s="39">
        <v>38900</v>
      </c>
      <c r="M394" s="51">
        <v>251000</v>
      </c>
      <c r="N394" s="109"/>
      <c r="O394" s="109"/>
      <c r="P394" s="109"/>
    </row>
    <row r="395" spans="2:16" x14ac:dyDescent="0.45">
      <c r="B395" s="259"/>
      <c r="C395" s="81" t="s">
        <v>826</v>
      </c>
      <c r="D395" s="81" t="s">
        <v>831</v>
      </c>
      <c r="E395" s="40">
        <v>22900</v>
      </c>
      <c r="F395" s="40">
        <v>22900</v>
      </c>
      <c r="G395" s="50">
        <v>229500</v>
      </c>
      <c r="H395" s="259"/>
      <c r="I395" s="81" t="s">
        <v>826</v>
      </c>
      <c r="J395" s="81" t="s">
        <v>831</v>
      </c>
      <c r="K395" s="40">
        <v>35900</v>
      </c>
      <c r="L395" s="40">
        <v>30900</v>
      </c>
      <c r="M395" s="50">
        <v>276100</v>
      </c>
      <c r="N395" s="109"/>
      <c r="O395" s="109"/>
      <c r="P395" s="109"/>
    </row>
    <row r="396" spans="2:16" x14ac:dyDescent="0.45">
      <c r="B396" s="259"/>
      <c r="C396" s="86" t="s">
        <v>826</v>
      </c>
      <c r="D396" s="86" t="s">
        <v>833</v>
      </c>
      <c r="E396" s="55">
        <v>18900</v>
      </c>
      <c r="F396" s="55">
        <v>18900</v>
      </c>
      <c r="G396" s="56">
        <v>229500</v>
      </c>
      <c r="H396" s="259"/>
      <c r="I396" s="86" t="s">
        <v>826</v>
      </c>
      <c r="J396" s="86" t="s">
        <v>833</v>
      </c>
      <c r="K396" s="55">
        <v>31900</v>
      </c>
      <c r="L396" s="55">
        <v>26900</v>
      </c>
      <c r="M396" s="56">
        <v>276100</v>
      </c>
      <c r="N396" s="109"/>
      <c r="O396" s="109"/>
      <c r="P396" s="109"/>
    </row>
    <row r="397" spans="2:16" x14ac:dyDescent="0.45">
      <c r="B397" s="259"/>
      <c r="C397" s="85" t="s">
        <v>828</v>
      </c>
      <c r="D397" s="85" t="s">
        <v>829</v>
      </c>
      <c r="E397" s="39">
        <v>28900</v>
      </c>
      <c r="F397" s="39">
        <v>28900</v>
      </c>
      <c r="G397" s="51">
        <v>208600</v>
      </c>
      <c r="H397" s="259"/>
      <c r="I397" s="85" t="s">
        <v>828</v>
      </c>
      <c r="J397" s="85" t="s">
        <v>829</v>
      </c>
      <c r="K397" s="39">
        <v>39900</v>
      </c>
      <c r="L397" s="39">
        <v>34900</v>
      </c>
      <c r="M397" s="51">
        <v>231100</v>
      </c>
      <c r="N397" s="109"/>
      <c r="O397" s="109"/>
      <c r="P397" s="109"/>
    </row>
    <row r="398" spans="2:16" x14ac:dyDescent="0.45">
      <c r="B398" s="259"/>
      <c r="C398" s="81" t="s">
        <v>828</v>
      </c>
      <c r="D398" s="81" t="s">
        <v>831</v>
      </c>
      <c r="E398" s="40">
        <v>21900</v>
      </c>
      <c r="F398" s="40">
        <v>21900</v>
      </c>
      <c r="G398" s="50">
        <v>229500</v>
      </c>
      <c r="H398" s="259"/>
      <c r="I398" s="81" t="s">
        <v>828</v>
      </c>
      <c r="J398" s="81" t="s">
        <v>831</v>
      </c>
      <c r="K398" s="40">
        <v>31900</v>
      </c>
      <c r="L398" s="40">
        <v>26900</v>
      </c>
      <c r="M398" s="50">
        <v>254200</v>
      </c>
      <c r="N398" s="109"/>
      <c r="O398" s="109"/>
      <c r="P398" s="109"/>
    </row>
    <row r="399" spans="2:16" x14ac:dyDescent="0.45">
      <c r="B399" s="259"/>
      <c r="C399" s="86" t="s">
        <v>828</v>
      </c>
      <c r="D399" s="86" t="s">
        <v>833</v>
      </c>
      <c r="E399" s="55">
        <v>17900</v>
      </c>
      <c r="F399" s="55">
        <v>17900</v>
      </c>
      <c r="G399" s="56">
        <v>229500</v>
      </c>
      <c r="H399" s="259"/>
      <c r="I399" s="86" t="s">
        <v>828</v>
      </c>
      <c r="J399" s="86" t="s">
        <v>833</v>
      </c>
      <c r="K399" s="55">
        <v>27900</v>
      </c>
      <c r="L399" s="55">
        <v>22900</v>
      </c>
      <c r="M399" s="56">
        <v>254200</v>
      </c>
      <c r="N399" s="109"/>
      <c r="O399" s="109"/>
      <c r="P399" s="109"/>
    </row>
    <row r="400" spans="2:16" x14ac:dyDescent="0.45">
      <c r="B400" s="259"/>
      <c r="C400" s="84" t="s">
        <v>183</v>
      </c>
      <c r="D400" s="84" t="s">
        <v>829</v>
      </c>
      <c r="E400" s="46">
        <v>26900</v>
      </c>
      <c r="F400" s="46">
        <v>26900</v>
      </c>
      <c r="G400" s="49">
        <v>197400</v>
      </c>
      <c r="H400" s="259"/>
      <c r="I400" s="84" t="s">
        <v>183</v>
      </c>
      <c r="J400" s="84" t="s">
        <v>829</v>
      </c>
      <c r="K400" s="46">
        <v>37900</v>
      </c>
      <c r="L400" s="46">
        <v>32900</v>
      </c>
      <c r="M400" s="49">
        <v>219800</v>
      </c>
      <c r="N400" s="109"/>
      <c r="O400" s="109"/>
      <c r="P400" s="109"/>
    </row>
    <row r="401" spans="2:16" x14ac:dyDescent="0.45">
      <c r="B401" s="259"/>
      <c r="C401" s="81" t="s">
        <v>183</v>
      </c>
      <c r="D401" s="81" t="s">
        <v>831</v>
      </c>
      <c r="E401" s="40">
        <v>19900</v>
      </c>
      <c r="F401" s="40">
        <v>19900</v>
      </c>
      <c r="G401" s="50">
        <v>217100</v>
      </c>
      <c r="H401" s="259"/>
      <c r="I401" s="81" t="s">
        <v>183</v>
      </c>
      <c r="J401" s="81" t="s">
        <v>831</v>
      </c>
      <c r="K401" s="40">
        <v>29900</v>
      </c>
      <c r="L401" s="40">
        <v>24900</v>
      </c>
      <c r="M401" s="50">
        <v>241800</v>
      </c>
      <c r="N401" s="109"/>
      <c r="O401" s="109"/>
      <c r="P401" s="109"/>
    </row>
    <row r="402" spans="2:16" ht="17.5" thickBot="1" x14ac:dyDescent="0.5">
      <c r="B402" s="262"/>
      <c r="C402" s="82" t="s">
        <v>183</v>
      </c>
      <c r="D402" s="82" t="s">
        <v>833</v>
      </c>
      <c r="E402" s="66">
        <v>15900</v>
      </c>
      <c r="F402" s="66">
        <v>15900</v>
      </c>
      <c r="G402" s="67">
        <v>217100</v>
      </c>
      <c r="H402" s="262"/>
      <c r="I402" s="82" t="s">
        <v>183</v>
      </c>
      <c r="J402" s="82" t="s">
        <v>833</v>
      </c>
      <c r="K402" s="66">
        <v>25900</v>
      </c>
      <c r="L402" s="66">
        <v>20900</v>
      </c>
      <c r="M402" s="67">
        <v>241800</v>
      </c>
      <c r="N402" s="109"/>
      <c r="O402" s="109"/>
      <c r="P402" s="109"/>
    </row>
    <row r="403" spans="2:16" ht="17.5" customHeight="1" thickTop="1" x14ac:dyDescent="0.45">
      <c r="B403" s="266" t="s">
        <v>848</v>
      </c>
      <c r="C403" s="89" t="s">
        <v>827</v>
      </c>
      <c r="D403" s="89" t="s">
        <v>830</v>
      </c>
      <c r="E403" s="53">
        <v>23900</v>
      </c>
      <c r="F403" s="53">
        <v>23900</v>
      </c>
      <c r="G403" s="54">
        <v>197400</v>
      </c>
      <c r="H403" s="266" t="s">
        <v>908</v>
      </c>
      <c r="I403" s="89" t="s">
        <v>827</v>
      </c>
      <c r="J403" s="89" t="s">
        <v>830</v>
      </c>
      <c r="K403" s="53">
        <v>36900</v>
      </c>
      <c r="L403" s="53">
        <v>31900</v>
      </c>
      <c r="M403" s="54">
        <v>219800</v>
      </c>
      <c r="N403" s="109"/>
      <c r="O403" s="109"/>
      <c r="P403" s="109"/>
    </row>
    <row r="404" spans="2:16" x14ac:dyDescent="0.45">
      <c r="B404" s="259"/>
      <c r="C404" s="81" t="s">
        <v>827</v>
      </c>
      <c r="D404" s="81" t="s">
        <v>832</v>
      </c>
      <c r="E404" s="40">
        <v>18900</v>
      </c>
      <c r="F404" s="40">
        <v>18900</v>
      </c>
      <c r="G404" s="50">
        <v>217100</v>
      </c>
      <c r="H404" s="259"/>
      <c r="I404" s="81" t="s">
        <v>827</v>
      </c>
      <c r="J404" s="81" t="s">
        <v>832</v>
      </c>
      <c r="K404" s="40">
        <v>29900</v>
      </c>
      <c r="L404" s="40">
        <v>24900</v>
      </c>
      <c r="M404" s="50">
        <v>241800</v>
      </c>
      <c r="N404" s="109"/>
      <c r="O404" s="109"/>
      <c r="P404" s="109"/>
    </row>
    <row r="405" spans="2:16" x14ac:dyDescent="0.45">
      <c r="B405" s="259"/>
      <c r="C405" s="83" t="s">
        <v>827</v>
      </c>
      <c r="D405" s="83" t="s">
        <v>834</v>
      </c>
      <c r="E405" s="58">
        <v>15900</v>
      </c>
      <c r="F405" s="58">
        <v>15900</v>
      </c>
      <c r="G405" s="59">
        <v>217100</v>
      </c>
      <c r="H405" s="259"/>
      <c r="I405" s="83" t="s">
        <v>827</v>
      </c>
      <c r="J405" s="83" t="s">
        <v>834</v>
      </c>
      <c r="K405" s="58">
        <v>25900</v>
      </c>
      <c r="L405" s="58">
        <v>20900</v>
      </c>
      <c r="M405" s="59">
        <v>241800</v>
      </c>
      <c r="N405" s="109"/>
      <c r="O405" s="109"/>
      <c r="P405" s="109"/>
    </row>
    <row r="406" spans="2:16" x14ac:dyDescent="0.45">
      <c r="B406" s="259"/>
      <c r="C406" s="85" t="s">
        <v>826</v>
      </c>
      <c r="D406" s="85" t="s">
        <v>829</v>
      </c>
      <c r="E406" s="39">
        <v>25900</v>
      </c>
      <c r="F406" s="39">
        <v>25900</v>
      </c>
      <c r="G406" s="51">
        <v>208600</v>
      </c>
      <c r="H406" s="259"/>
      <c r="I406" s="85" t="s">
        <v>826</v>
      </c>
      <c r="J406" s="85" t="s">
        <v>829</v>
      </c>
      <c r="K406" s="39">
        <v>38900</v>
      </c>
      <c r="L406" s="39">
        <v>33900</v>
      </c>
      <c r="M406" s="51">
        <v>231100</v>
      </c>
      <c r="N406" s="109"/>
      <c r="O406" s="109"/>
      <c r="P406" s="109"/>
    </row>
    <row r="407" spans="2:16" x14ac:dyDescent="0.45">
      <c r="B407" s="259"/>
      <c r="C407" s="81" t="s">
        <v>826</v>
      </c>
      <c r="D407" s="81" t="s">
        <v>831</v>
      </c>
      <c r="E407" s="40">
        <v>20900</v>
      </c>
      <c r="F407" s="40">
        <v>20900</v>
      </c>
      <c r="G407" s="50">
        <v>229500</v>
      </c>
      <c r="H407" s="259"/>
      <c r="I407" s="81" t="s">
        <v>826</v>
      </c>
      <c r="J407" s="81" t="s">
        <v>831</v>
      </c>
      <c r="K407" s="40">
        <v>31900</v>
      </c>
      <c r="L407" s="40">
        <v>26900</v>
      </c>
      <c r="M407" s="50">
        <v>254200</v>
      </c>
      <c r="N407" s="109"/>
      <c r="O407" s="109"/>
      <c r="P407" s="109"/>
    </row>
    <row r="408" spans="2:16" x14ac:dyDescent="0.45">
      <c r="B408" s="259"/>
      <c r="C408" s="86" t="s">
        <v>826</v>
      </c>
      <c r="D408" s="86" t="s">
        <v>833</v>
      </c>
      <c r="E408" s="55">
        <v>17900</v>
      </c>
      <c r="F408" s="55">
        <v>17900</v>
      </c>
      <c r="G408" s="56">
        <v>229500</v>
      </c>
      <c r="H408" s="259"/>
      <c r="I408" s="86" t="s">
        <v>826</v>
      </c>
      <c r="J408" s="86" t="s">
        <v>833</v>
      </c>
      <c r="K408" s="55">
        <v>27900</v>
      </c>
      <c r="L408" s="55">
        <v>22900</v>
      </c>
      <c r="M408" s="56">
        <v>254200</v>
      </c>
      <c r="N408" s="109"/>
      <c r="O408" s="109"/>
      <c r="P408" s="109"/>
    </row>
    <row r="409" spans="2:16" x14ac:dyDescent="0.45">
      <c r="B409" s="259"/>
      <c r="C409" s="85" t="s">
        <v>828</v>
      </c>
      <c r="D409" s="85" t="s">
        <v>829</v>
      </c>
      <c r="E409" s="39">
        <v>24900</v>
      </c>
      <c r="F409" s="39">
        <v>24900</v>
      </c>
      <c r="G409" s="51">
        <v>197400</v>
      </c>
      <c r="H409" s="259"/>
      <c r="I409" s="85" t="s">
        <v>828</v>
      </c>
      <c r="J409" s="85" t="s">
        <v>829</v>
      </c>
      <c r="K409" s="39">
        <v>34900</v>
      </c>
      <c r="L409" s="39">
        <v>29900</v>
      </c>
      <c r="M409" s="51">
        <v>208600</v>
      </c>
      <c r="N409" s="109"/>
      <c r="O409" s="109"/>
      <c r="P409" s="109"/>
    </row>
    <row r="410" spans="2:16" x14ac:dyDescent="0.45">
      <c r="B410" s="259"/>
      <c r="C410" s="81" t="s">
        <v>828</v>
      </c>
      <c r="D410" s="81" t="s">
        <v>831</v>
      </c>
      <c r="E410" s="40">
        <v>19900</v>
      </c>
      <c r="F410" s="40">
        <v>19900</v>
      </c>
      <c r="G410" s="50">
        <v>217100</v>
      </c>
      <c r="H410" s="259"/>
      <c r="I410" s="81" t="s">
        <v>828</v>
      </c>
      <c r="J410" s="81" t="s">
        <v>831</v>
      </c>
      <c r="K410" s="40">
        <v>27900</v>
      </c>
      <c r="L410" s="40">
        <v>22900</v>
      </c>
      <c r="M410" s="50">
        <v>229500</v>
      </c>
      <c r="N410" s="109"/>
      <c r="O410" s="109"/>
      <c r="P410" s="109"/>
    </row>
    <row r="411" spans="2:16" x14ac:dyDescent="0.45">
      <c r="B411" s="259"/>
      <c r="C411" s="86" t="s">
        <v>828</v>
      </c>
      <c r="D411" s="86" t="s">
        <v>833</v>
      </c>
      <c r="E411" s="55">
        <v>16900</v>
      </c>
      <c r="F411" s="55">
        <v>16900</v>
      </c>
      <c r="G411" s="56">
        <v>217100</v>
      </c>
      <c r="H411" s="259"/>
      <c r="I411" s="86" t="s">
        <v>828</v>
      </c>
      <c r="J411" s="86" t="s">
        <v>833</v>
      </c>
      <c r="K411" s="55">
        <v>23900</v>
      </c>
      <c r="L411" s="55">
        <v>18900</v>
      </c>
      <c r="M411" s="56">
        <v>229500</v>
      </c>
      <c r="N411" s="109"/>
      <c r="O411" s="109"/>
      <c r="P411" s="109"/>
    </row>
    <row r="412" spans="2:16" x14ac:dyDescent="0.45">
      <c r="B412" s="259"/>
      <c r="C412" s="84" t="s">
        <v>183</v>
      </c>
      <c r="D412" s="84" t="s">
        <v>829</v>
      </c>
      <c r="E412" s="46">
        <v>22900</v>
      </c>
      <c r="F412" s="46">
        <v>22900</v>
      </c>
      <c r="G412" s="49">
        <v>197400</v>
      </c>
      <c r="H412" s="259"/>
      <c r="I412" s="84" t="s">
        <v>183</v>
      </c>
      <c r="J412" s="84" t="s">
        <v>829</v>
      </c>
      <c r="K412" s="46">
        <v>32900</v>
      </c>
      <c r="L412" s="46">
        <v>27900</v>
      </c>
      <c r="M412" s="49">
        <v>208600</v>
      </c>
      <c r="N412" s="109"/>
      <c r="O412" s="109"/>
      <c r="P412" s="109"/>
    </row>
    <row r="413" spans="2:16" x14ac:dyDescent="0.45">
      <c r="B413" s="259"/>
      <c r="C413" s="81" t="s">
        <v>183</v>
      </c>
      <c r="D413" s="81" t="s">
        <v>831</v>
      </c>
      <c r="E413" s="40">
        <v>17900</v>
      </c>
      <c r="F413" s="40">
        <v>17900</v>
      </c>
      <c r="G413" s="50">
        <v>217100</v>
      </c>
      <c r="H413" s="259"/>
      <c r="I413" s="81" t="s">
        <v>183</v>
      </c>
      <c r="J413" s="81" t="s">
        <v>831</v>
      </c>
      <c r="K413" s="40">
        <v>25900</v>
      </c>
      <c r="L413" s="40">
        <v>20900</v>
      </c>
      <c r="M413" s="50">
        <v>229500</v>
      </c>
      <c r="N413" s="109"/>
      <c r="O413" s="109"/>
      <c r="P413" s="109"/>
    </row>
    <row r="414" spans="2:16" ht="17.5" thickBot="1" x14ac:dyDescent="0.5">
      <c r="B414" s="262"/>
      <c r="C414" s="82" t="s">
        <v>183</v>
      </c>
      <c r="D414" s="82" t="s">
        <v>833</v>
      </c>
      <c r="E414" s="66">
        <v>14900</v>
      </c>
      <c r="F414" s="66">
        <v>14900</v>
      </c>
      <c r="G414" s="67">
        <v>217100</v>
      </c>
      <c r="H414" s="262"/>
      <c r="I414" s="82" t="s">
        <v>183</v>
      </c>
      <c r="J414" s="82" t="s">
        <v>833</v>
      </c>
      <c r="K414" s="66">
        <v>21900</v>
      </c>
      <c r="L414" s="66">
        <v>16900</v>
      </c>
      <c r="M414" s="67">
        <v>229500</v>
      </c>
      <c r="N414" s="109"/>
      <c r="O414" s="109"/>
      <c r="P414" s="109"/>
    </row>
    <row r="415" spans="2:16" ht="17.5" thickTop="1" x14ac:dyDescent="0.45">
      <c r="N415" s="109"/>
      <c r="O415" s="109"/>
      <c r="P415" s="109"/>
    </row>
    <row r="416" spans="2:16" x14ac:dyDescent="0.45">
      <c r="N416" s="109"/>
      <c r="O416" s="109"/>
      <c r="P416" s="109"/>
    </row>
    <row r="417" spans="2:16" ht="18" thickBot="1" x14ac:dyDescent="0.5">
      <c r="B417" s="70" t="s">
        <v>854</v>
      </c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109"/>
    </row>
    <row r="418" spans="2:16" ht="17.5" thickTop="1" x14ac:dyDescent="0.45">
      <c r="B418" s="244" t="s">
        <v>823</v>
      </c>
      <c r="C418" s="239" t="s">
        <v>824</v>
      </c>
      <c r="D418" s="239"/>
      <c r="E418" s="222" t="s">
        <v>855</v>
      </c>
      <c r="F418" s="222"/>
      <c r="G418" s="223"/>
      <c r="H418" s="244" t="s">
        <v>823</v>
      </c>
      <c r="I418" s="239" t="s">
        <v>824</v>
      </c>
      <c r="J418" s="239"/>
      <c r="K418" s="222" t="s">
        <v>856</v>
      </c>
      <c r="L418" s="222"/>
      <c r="M418" s="223"/>
      <c r="N418" s="109"/>
      <c r="O418" s="109"/>
      <c r="P418" s="109"/>
    </row>
    <row r="419" spans="2:16" ht="17.5" thickBot="1" x14ac:dyDescent="0.5">
      <c r="B419" s="245"/>
      <c r="C419" s="240"/>
      <c r="D419" s="240"/>
      <c r="E419" s="87" t="s">
        <v>611</v>
      </c>
      <c r="F419" s="87" t="s">
        <v>612</v>
      </c>
      <c r="G419" s="88" t="s">
        <v>593</v>
      </c>
      <c r="H419" s="253"/>
      <c r="I419" s="293"/>
      <c r="J419" s="293"/>
      <c r="K419" s="47" t="s">
        <v>611</v>
      </c>
      <c r="L419" s="47" t="s">
        <v>612</v>
      </c>
      <c r="M419" s="48" t="s">
        <v>593</v>
      </c>
      <c r="N419" s="109"/>
      <c r="O419" s="109"/>
      <c r="P419" s="109"/>
    </row>
    <row r="420" spans="2:16" ht="17.5" thickTop="1" x14ac:dyDescent="0.45">
      <c r="B420" s="258" t="s">
        <v>857</v>
      </c>
      <c r="C420" s="85" t="s">
        <v>858</v>
      </c>
      <c r="D420" s="85" t="s">
        <v>829</v>
      </c>
      <c r="E420" s="39">
        <v>31900</v>
      </c>
      <c r="F420" s="39">
        <v>31900</v>
      </c>
      <c r="G420" s="51">
        <v>219800</v>
      </c>
      <c r="H420" s="258" t="s">
        <v>860</v>
      </c>
      <c r="I420" s="85" t="s">
        <v>858</v>
      </c>
      <c r="J420" s="85" t="s">
        <v>829</v>
      </c>
      <c r="K420" s="39">
        <v>37900</v>
      </c>
      <c r="L420" s="39">
        <v>37900</v>
      </c>
      <c r="M420" s="51">
        <v>239700</v>
      </c>
      <c r="N420" s="109"/>
      <c r="O420" s="109"/>
      <c r="P420" s="109"/>
    </row>
    <row r="421" spans="2:16" x14ac:dyDescent="0.45">
      <c r="B421" s="259"/>
      <c r="C421" s="81" t="s">
        <v>183</v>
      </c>
      <c r="D421" s="81" t="s">
        <v>831</v>
      </c>
      <c r="E421" s="40">
        <v>24900</v>
      </c>
      <c r="F421" s="40">
        <v>24900</v>
      </c>
      <c r="G421" s="50">
        <v>241800</v>
      </c>
      <c r="H421" s="259"/>
      <c r="I421" s="81" t="s">
        <v>183</v>
      </c>
      <c r="J421" s="81" t="s">
        <v>831</v>
      </c>
      <c r="K421" s="40">
        <v>28900</v>
      </c>
      <c r="L421" s="40">
        <v>28900</v>
      </c>
      <c r="M421" s="50">
        <v>263700</v>
      </c>
      <c r="N421" s="109"/>
      <c r="O421" s="109"/>
      <c r="P421" s="109"/>
    </row>
    <row r="422" spans="2:16" x14ac:dyDescent="0.45">
      <c r="B422" s="260"/>
      <c r="C422" s="86" t="s">
        <v>183</v>
      </c>
      <c r="D422" s="86" t="s">
        <v>833</v>
      </c>
      <c r="E422" s="55">
        <v>21900</v>
      </c>
      <c r="F422" s="55">
        <v>21900</v>
      </c>
      <c r="G422" s="56">
        <v>241800</v>
      </c>
      <c r="H422" s="260"/>
      <c r="I422" s="86" t="s">
        <v>183</v>
      </c>
      <c r="J422" s="86" t="s">
        <v>833</v>
      </c>
      <c r="K422" s="55">
        <v>24900</v>
      </c>
      <c r="L422" s="55">
        <v>24900</v>
      </c>
      <c r="M422" s="56">
        <v>263700</v>
      </c>
      <c r="N422" s="109"/>
      <c r="O422" s="109"/>
      <c r="P422" s="109"/>
    </row>
    <row r="423" spans="2:16" x14ac:dyDescent="0.45">
      <c r="B423" s="258" t="s">
        <v>915</v>
      </c>
      <c r="C423" s="85" t="s">
        <v>183</v>
      </c>
      <c r="D423" s="85" t="s">
        <v>829</v>
      </c>
      <c r="E423" s="39">
        <v>29900</v>
      </c>
      <c r="F423" s="39">
        <v>29900</v>
      </c>
      <c r="G423" s="51">
        <v>208600</v>
      </c>
      <c r="H423" s="258" t="s">
        <v>916</v>
      </c>
      <c r="I423" s="85" t="s">
        <v>183</v>
      </c>
      <c r="J423" s="85" t="s">
        <v>829</v>
      </c>
      <c r="K423" s="39">
        <v>35900</v>
      </c>
      <c r="L423" s="39">
        <v>35900</v>
      </c>
      <c r="M423" s="51">
        <v>231100</v>
      </c>
      <c r="N423" s="109"/>
      <c r="O423" s="109"/>
      <c r="P423" s="109"/>
    </row>
    <row r="424" spans="2:16" x14ac:dyDescent="0.45">
      <c r="B424" s="259"/>
      <c r="C424" s="81" t="s">
        <v>183</v>
      </c>
      <c r="D424" s="81" t="s">
        <v>831</v>
      </c>
      <c r="E424" s="40">
        <v>22900</v>
      </c>
      <c r="F424" s="40">
        <v>22900</v>
      </c>
      <c r="G424" s="50">
        <v>229500</v>
      </c>
      <c r="H424" s="259"/>
      <c r="I424" s="81" t="s">
        <v>183</v>
      </c>
      <c r="J424" s="81" t="s">
        <v>831</v>
      </c>
      <c r="K424" s="40">
        <v>26900</v>
      </c>
      <c r="L424" s="40">
        <v>26900</v>
      </c>
      <c r="M424" s="50">
        <v>254200</v>
      </c>
      <c r="N424" s="109"/>
      <c r="O424" s="109"/>
      <c r="P424" s="109"/>
    </row>
    <row r="425" spans="2:16" x14ac:dyDescent="0.45">
      <c r="B425" s="260"/>
      <c r="C425" s="86" t="s">
        <v>183</v>
      </c>
      <c r="D425" s="86" t="s">
        <v>833</v>
      </c>
      <c r="E425" s="55">
        <v>19900</v>
      </c>
      <c r="F425" s="55">
        <v>19900</v>
      </c>
      <c r="G425" s="56">
        <v>229500</v>
      </c>
      <c r="H425" s="260"/>
      <c r="I425" s="86" t="s">
        <v>183</v>
      </c>
      <c r="J425" s="86" t="s">
        <v>833</v>
      </c>
      <c r="K425" s="55">
        <v>22900</v>
      </c>
      <c r="L425" s="55">
        <v>22900</v>
      </c>
      <c r="M425" s="56">
        <v>254200</v>
      </c>
      <c r="N425" s="109"/>
      <c r="O425" s="109"/>
      <c r="P425" s="109"/>
    </row>
    <row r="426" spans="2:16" x14ac:dyDescent="0.45">
      <c r="B426" s="261" t="s">
        <v>859</v>
      </c>
      <c r="C426" s="84" t="s">
        <v>183</v>
      </c>
      <c r="D426" s="84" t="s">
        <v>829</v>
      </c>
      <c r="E426" s="46">
        <v>27900</v>
      </c>
      <c r="F426" s="46">
        <v>27900</v>
      </c>
      <c r="G426" s="49">
        <v>208600</v>
      </c>
      <c r="H426" s="261" t="s">
        <v>861</v>
      </c>
      <c r="I426" s="84" t="s">
        <v>183</v>
      </c>
      <c r="J426" s="84" t="s">
        <v>829</v>
      </c>
      <c r="K426" s="46">
        <v>33900</v>
      </c>
      <c r="L426" s="46">
        <v>33900</v>
      </c>
      <c r="M426" s="49">
        <v>219800</v>
      </c>
      <c r="N426" s="109"/>
      <c r="O426" s="109"/>
      <c r="P426" s="109"/>
    </row>
    <row r="427" spans="2:16" x14ac:dyDescent="0.45">
      <c r="B427" s="259"/>
      <c r="C427" s="81" t="s">
        <v>183</v>
      </c>
      <c r="D427" s="81" t="s">
        <v>831</v>
      </c>
      <c r="E427" s="40">
        <v>20900</v>
      </c>
      <c r="F427" s="40">
        <v>20900</v>
      </c>
      <c r="G427" s="50">
        <v>229500</v>
      </c>
      <c r="H427" s="259"/>
      <c r="I427" s="81" t="s">
        <v>183</v>
      </c>
      <c r="J427" s="81" t="s">
        <v>831</v>
      </c>
      <c r="K427" s="40">
        <v>24900</v>
      </c>
      <c r="L427" s="40">
        <v>24900</v>
      </c>
      <c r="M427" s="50">
        <v>241800</v>
      </c>
      <c r="N427" s="109"/>
      <c r="O427" s="109"/>
      <c r="P427" s="109"/>
    </row>
    <row r="428" spans="2:16" ht="17.5" thickBot="1" x14ac:dyDescent="0.5">
      <c r="B428" s="262"/>
      <c r="C428" s="82" t="s">
        <v>183</v>
      </c>
      <c r="D428" s="82" t="s">
        <v>833</v>
      </c>
      <c r="E428" s="66">
        <v>17900</v>
      </c>
      <c r="F428" s="66">
        <v>17900</v>
      </c>
      <c r="G428" s="67">
        <v>229500</v>
      </c>
      <c r="H428" s="262"/>
      <c r="I428" s="82" t="s">
        <v>183</v>
      </c>
      <c r="J428" s="82" t="s">
        <v>833</v>
      </c>
      <c r="K428" s="66">
        <v>20900</v>
      </c>
      <c r="L428" s="66">
        <v>20900</v>
      </c>
      <c r="M428" s="67">
        <v>241800</v>
      </c>
      <c r="N428" s="109"/>
      <c r="O428" s="109"/>
      <c r="P428" s="109"/>
    </row>
    <row r="429" spans="2:16" ht="17.5" thickTop="1" x14ac:dyDescent="0.45">
      <c r="B429" s="244" t="s">
        <v>823</v>
      </c>
      <c r="C429" s="239" t="s">
        <v>824</v>
      </c>
      <c r="D429" s="239"/>
      <c r="E429" s="222" t="s">
        <v>1077</v>
      </c>
      <c r="F429" s="222"/>
      <c r="G429" s="223"/>
      <c r="H429" s="244" t="s">
        <v>823</v>
      </c>
      <c r="I429" s="239" t="s">
        <v>824</v>
      </c>
      <c r="J429" s="239"/>
      <c r="K429" s="222" t="s">
        <v>1109</v>
      </c>
      <c r="L429" s="222"/>
      <c r="M429" s="223"/>
      <c r="N429" s="109"/>
      <c r="O429" s="109"/>
      <c r="P429" s="109"/>
    </row>
    <row r="430" spans="2:16" x14ac:dyDescent="0.45">
      <c r="B430" s="245"/>
      <c r="C430" s="240"/>
      <c r="D430" s="240"/>
      <c r="E430" s="152" t="s">
        <v>611</v>
      </c>
      <c r="F430" s="152" t="s">
        <v>612</v>
      </c>
      <c r="G430" s="88" t="s">
        <v>593</v>
      </c>
      <c r="H430" s="245"/>
      <c r="I430" s="240"/>
      <c r="J430" s="240"/>
      <c r="K430" s="152" t="s">
        <v>611</v>
      </c>
      <c r="L430" s="152" t="s">
        <v>612</v>
      </c>
      <c r="M430" s="88" t="s">
        <v>593</v>
      </c>
      <c r="N430" s="109"/>
      <c r="O430" s="109"/>
      <c r="P430" s="109"/>
    </row>
    <row r="431" spans="2:16" x14ac:dyDescent="0.45">
      <c r="B431" s="258" t="s">
        <v>1105</v>
      </c>
      <c r="C431" s="85" t="s">
        <v>858</v>
      </c>
      <c r="D431" s="85" t="s">
        <v>829</v>
      </c>
      <c r="E431" s="39">
        <v>48900</v>
      </c>
      <c r="F431" s="39"/>
      <c r="G431" s="51">
        <v>273400</v>
      </c>
      <c r="H431" s="258" t="s">
        <v>1110</v>
      </c>
      <c r="I431" s="85" t="s">
        <v>858</v>
      </c>
      <c r="J431" s="85" t="s">
        <v>829</v>
      </c>
      <c r="K431" s="39">
        <v>22900</v>
      </c>
      <c r="L431" s="39"/>
      <c r="M431" s="51">
        <v>208600</v>
      </c>
      <c r="N431" s="109"/>
      <c r="O431" s="109"/>
      <c r="P431" s="109"/>
    </row>
    <row r="432" spans="2:16" x14ac:dyDescent="0.45">
      <c r="B432" s="259"/>
      <c r="C432" s="81" t="s">
        <v>183</v>
      </c>
      <c r="D432" s="81" t="s">
        <v>831</v>
      </c>
      <c r="E432" s="40">
        <v>37900</v>
      </c>
      <c r="F432" s="40"/>
      <c r="G432" s="50">
        <v>300700</v>
      </c>
      <c r="H432" s="259"/>
      <c r="I432" s="81" t="s">
        <v>183</v>
      </c>
      <c r="J432" s="81" t="s">
        <v>831</v>
      </c>
      <c r="K432" s="40">
        <v>20900</v>
      </c>
      <c r="L432" s="40"/>
      <c r="M432" s="50">
        <v>229500</v>
      </c>
      <c r="N432" s="109"/>
      <c r="O432" s="109"/>
      <c r="P432" s="109"/>
    </row>
    <row r="433" spans="2:16" x14ac:dyDescent="0.45">
      <c r="B433" s="260"/>
      <c r="C433" s="86" t="s">
        <v>183</v>
      </c>
      <c r="D433" s="86" t="s">
        <v>833</v>
      </c>
      <c r="E433" s="55">
        <v>32900</v>
      </c>
      <c r="F433" s="55"/>
      <c r="G433" s="56">
        <v>300700</v>
      </c>
      <c r="H433" s="260"/>
      <c r="I433" s="86" t="s">
        <v>183</v>
      </c>
      <c r="J433" s="86" t="s">
        <v>833</v>
      </c>
      <c r="K433" s="55">
        <v>18900</v>
      </c>
      <c r="L433" s="55"/>
      <c r="M433" s="56">
        <v>229500</v>
      </c>
      <c r="N433" s="109"/>
      <c r="O433" s="109"/>
      <c r="P433" s="109"/>
    </row>
    <row r="434" spans="2:16" x14ac:dyDescent="0.45">
      <c r="B434" s="256" t="s">
        <v>1106</v>
      </c>
      <c r="C434" s="85" t="s">
        <v>858</v>
      </c>
      <c r="D434" s="85" t="s">
        <v>829</v>
      </c>
      <c r="E434" s="39">
        <v>44900</v>
      </c>
      <c r="F434" s="39"/>
      <c r="G434" s="51">
        <v>262200</v>
      </c>
      <c r="H434" s="256" t="s">
        <v>1111</v>
      </c>
      <c r="I434" s="85" t="s">
        <v>858</v>
      </c>
      <c r="J434" s="85" t="s">
        <v>829</v>
      </c>
      <c r="K434" s="39">
        <v>21900</v>
      </c>
      <c r="L434" s="39"/>
      <c r="M434" s="51">
        <v>197400</v>
      </c>
      <c r="N434" s="109"/>
      <c r="O434" s="109"/>
      <c r="P434" s="109"/>
    </row>
    <row r="435" spans="2:16" x14ac:dyDescent="0.45">
      <c r="B435" s="249"/>
      <c r="C435" s="81" t="s">
        <v>183</v>
      </c>
      <c r="D435" s="81" t="s">
        <v>831</v>
      </c>
      <c r="E435" s="40">
        <v>34900</v>
      </c>
      <c r="F435" s="40"/>
      <c r="G435" s="50">
        <v>288400</v>
      </c>
      <c r="H435" s="249"/>
      <c r="I435" s="81" t="s">
        <v>183</v>
      </c>
      <c r="J435" s="81" t="s">
        <v>831</v>
      </c>
      <c r="K435" s="40">
        <v>19900</v>
      </c>
      <c r="L435" s="40"/>
      <c r="M435" s="50">
        <v>217100</v>
      </c>
      <c r="N435" s="109"/>
      <c r="O435" s="109"/>
      <c r="P435" s="109"/>
    </row>
    <row r="436" spans="2:16" x14ac:dyDescent="0.45">
      <c r="B436" s="257"/>
      <c r="C436" s="86" t="s">
        <v>183</v>
      </c>
      <c r="D436" s="86" t="s">
        <v>833</v>
      </c>
      <c r="E436" s="55">
        <v>29900</v>
      </c>
      <c r="F436" s="55"/>
      <c r="G436" s="56">
        <v>288400</v>
      </c>
      <c r="H436" s="257"/>
      <c r="I436" s="86" t="s">
        <v>183</v>
      </c>
      <c r="J436" s="86" t="s">
        <v>833</v>
      </c>
      <c r="K436" s="55">
        <v>17900</v>
      </c>
      <c r="L436" s="55"/>
      <c r="M436" s="56">
        <v>217100</v>
      </c>
      <c r="N436" s="109"/>
      <c r="O436" s="109"/>
      <c r="P436" s="109"/>
    </row>
    <row r="437" spans="2:16" x14ac:dyDescent="0.45">
      <c r="B437" s="258" t="s">
        <v>1107</v>
      </c>
      <c r="C437" s="85" t="s">
        <v>858</v>
      </c>
      <c r="D437" s="85" t="s">
        <v>829</v>
      </c>
      <c r="E437" s="39">
        <v>40900</v>
      </c>
      <c r="F437" s="39"/>
      <c r="G437" s="51">
        <v>251000</v>
      </c>
      <c r="H437" s="258" t="s">
        <v>1112</v>
      </c>
      <c r="I437" s="85" t="s">
        <v>858</v>
      </c>
      <c r="J437" s="85" t="s">
        <v>829</v>
      </c>
      <c r="K437" s="39">
        <v>20900</v>
      </c>
      <c r="L437" s="39"/>
      <c r="M437" s="51">
        <v>197400</v>
      </c>
      <c r="N437" s="109"/>
      <c r="O437" s="109"/>
      <c r="P437" s="109"/>
    </row>
    <row r="438" spans="2:16" x14ac:dyDescent="0.45">
      <c r="B438" s="259"/>
      <c r="C438" s="81" t="s">
        <v>183</v>
      </c>
      <c r="D438" s="81" t="s">
        <v>831</v>
      </c>
      <c r="E438" s="40">
        <v>31900</v>
      </c>
      <c r="F438" s="40"/>
      <c r="G438" s="50">
        <v>276100</v>
      </c>
      <c r="H438" s="259"/>
      <c r="I438" s="81" t="s">
        <v>183</v>
      </c>
      <c r="J438" s="81" t="s">
        <v>831</v>
      </c>
      <c r="K438" s="40">
        <v>18900</v>
      </c>
      <c r="L438" s="40"/>
      <c r="M438" s="50">
        <v>217100</v>
      </c>
      <c r="N438" s="109"/>
      <c r="O438" s="109"/>
      <c r="P438" s="109"/>
    </row>
    <row r="439" spans="2:16" x14ac:dyDescent="0.45">
      <c r="B439" s="260"/>
      <c r="C439" s="86" t="s">
        <v>183</v>
      </c>
      <c r="D439" s="86" t="s">
        <v>833</v>
      </c>
      <c r="E439" s="55">
        <v>26900</v>
      </c>
      <c r="F439" s="55"/>
      <c r="G439" s="56">
        <v>276100</v>
      </c>
      <c r="H439" s="260"/>
      <c r="I439" s="86" t="s">
        <v>183</v>
      </c>
      <c r="J439" s="86" t="s">
        <v>833</v>
      </c>
      <c r="K439" s="55">
        <v>16900</v>
      </c>
      <c r="L439" s="55"/>
      <c r="M439" s="56">
        <v>217100</v>
      </c>
      <c r="N439" s="109"/>
      <c r="O439" s="109"/>
      <c r="P439" s="109"/>
    </row>
    <row r="440" spans="2:16" x14ac:dyDescent="0.45">
      <c r="B440" s="261" t="s">
        <v>1108</v>
      </c>
      <c r="C440" s="84" t="s">
        <v>183</v>
      </c>
      <c r="D440" s="84" t="s">
        <v>829</v>
      </c>
      <c r="E440" s="46">
        <v>37900</v>
      </c>
      <c r="F440" s="46"/>
      <c r="G440" s="49">
        <v>239700</v>
      </c>
      <c r="H440" s="261" t="s">
        <v>1113</v>
      </c>
      <c r="I440" s="84" t="s">
        <v>183</v>
      </c>
      <c r="J440" s="84" t="s">
        <v>829</v>
      </c>
      <c r="K440" s="46">
        <v>19900</v>
      </c>
      <c r="L440" s="46"/>
      <c r="M440" s="49">
        <v>197400</v>
      </c>
      <c r="N440" s="109"/>
      <c r="O440" s="109"/>
      <c r="P440" s="109"/>
    </row>
    <row r="441" spans="2:16" x14ac:dyDescent="0.45">
      <c r="B441" s="259"/>
      <c r="C441" s="81" t="s">
        <v>183</v>
      </c>
      <c r="D441" s="81" t="s">
        <v>831</v>
      </c>
      <c r="E441" s="40">
        <v>28900</v>
      </c>
      <c r="F441" s="40"/>
      <c r="G441" s="50">
        <v>263700</v>
      </c>
      <c r="H441" s="259"/>
      <c r="I441" s="81" t="s">
        <v>183</v>
      </c>
      <c r="J441" s="81" t="s">
        <v>831</v>
      </c>
      <c r="K441" s="40">
        <v>17900</v>
      </c>
      <c r="L441" s="40"/>
      <c r="M441" s="50">
        <v>217100</v>
      </c>
      <c r="N441" s="109"/>
      <c r="O441" s="109"/>
      <c r="P441" s="109"/>
    </row>
    <row r="442" spans="2:16" ht="17.5" thickBot="1" x14ac:dyDescent="0.5">
      <c r="B442" s="262"/>
      <c r="C442" s="82" t="s">
        <v>183</v>
      </c>
      <c r="D442" s="82" t="s">
        <v>833</v>
      </c>
      <c r="E442" s="66">
        <v>23900</v>
      </c>
      <c r="F442" s="66"/>
      <c r="G442" s="67">
        <v>263700</v>
      </c>
      <c r="H442" s="262"/>
      <c r="I442" s="82" t="s">
        <v>183</v>
      </c>
      <c r="J442" s="82" t="s">
        <v>833</v>
      </c>
      <c r="K442" s="66">
        <v>15900</v>
      </c>
      <c r="L442" s="66"/>
      <c r="M442" s="67">
        <v>217100</v>
      </c>
      <c r="N442" s="109"/>
      <c r="O442" s="109"/>
      <c r="P442" s="109"/>
    </row>
    <row r="443" spans="2:16" ht="17.5" thickTop="1" x14ac:dyDescent="0.45"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109"/>
      <c r="O443" s="109"/>
      <c r="P443" s="109"/>
    </row>
    <row r="444" spans="2:16" x14ac:dyDescent="0.45"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109"/>
      <c r="O444" s="109"/>
      <c r="P444" s="109"/>
    </row>
    <row r="445" spans="2:16" x14ac:dyDescent="0.45"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109"/>
      <c r="O445" s="109"/>
      <c r="P445" s="109"/>
    </row>
    <row r="446" spans="2:16" x14ac:dyDescent="0.45"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109"/>
      <c r="O446" s="109"/>
      <c r="P446" s="109"/>
    </row>
    <row r="447" spans="2:16" x14ac:dyDescent="0.45">
      <c r="N447" s="109"/>
      <c r="O447" s="109"/>
      <c r="P447" s="109"/>
    </row>
    <row r="448" spans="2:16" ht="18" thickBot="1" x14ac:dyDescent="0.5">
      <c r="B448" s="70" t="s">
        <v>900</v>
      </c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109"/>
    </row>
    <row r="449" spans="1:21" ht="17.5" thickTop="1" x14ac:dyDescent="0.45">
      <c r="A449" s="107"/>
      <c r="B449" s="244" t="s">
        <v>720</v>
      </c>
      <c r="C449" s="239" t="s">
        <v>824</v>
      </c>
      <c r="D449" s="239"/>
      <c r="E449" s="222" t="s">
        <v>1001</v>
      </c>
      <c r="F449" s="222"/>
      <c r="G449" s="223"/>
      <c r="H449" s="244" t="s">
        <v>720</v>
      </c>
      <c r="I449" s="239" t="s">
        <v>824</v>
      </c>
      <c r="J449" s="239"/>
      <c r="K449" s="222" t="s">
        <v>1001</v>
      </c>
      <c r="L449" s="222"/>
      <c r="M449" s="223"/>
      <c r="N449" s="102"/>
      <c r="O449" s="102"/>
      <c r="P449" s="103"/>
      <c r="Q449" s="103"/>
      <c r="R449" s="104"/>
      <c r="S449" s="104"/>
      <c r="T449" s="104"/>
      <c r="U449" s="101"/>
    </row>
    <row r="450" spans="1:21" x14ac:dyDescent="0.45">
      <c r="B450" s="245"/>
      <c r="C450" s="240"/>
      <c r="D450" s="240"/>
      <c r="E450" s="108" t="s">
        <v>611</v>
      </c>
      <c r="F450" s="108" t="s">
        <v>612</v>
      </c>
      <c r="G450" s="88" t="s">
        <v>593</v>
      </c>
      <c r="H450" s="245"/>
      <c r="I450" s="240"/>
      <c r="J450" s="240"/>
      <c r="K450" s="108" t="s">
        <v>611</v>
      </c>
      <c r="L450" s="108" t="s">
        <v>612</v>
      </c>
      <c r="M450" s="88" t="s">
        <v>593</v>
      </c>
      <c r="N450" s="102"/>
      <c r="O450" s="102"/>
      <c r="P450" s="103"/>
      <c r="Q450" s="103"/>
      <c r="R450" s="104"/>
      <c r="S450" s="104"/>
      <c r="T450" s="104"/>
      <c r="U450" s="101"/>
    </row>
    <row r="451" spans="1:21" x14ac:dyDescent="0.45">
      <c r="B451" s="263" t="s">
        <v>446</v>
      </c>
      <c r="C451" s="105" t="s">
        <v>897</v>
      </c>
      <c r="D451" s="85">
        <v>5</v>
      </c>
      <c r="E451" s="39">
        <v>49900</v>
      </c>
      <c r="F451" s="39">
        <v>49900</v>
      </c>
      <c r="G451" s="51">
        <v>294400</v>
      </c>
      <c r="H451" s="263" t="s">
        <v>447</v>
      </c>
      <c r="I451" s="105" t="s">
        <v>897</v>
      </c>
      <c r="J451" s="85">
        <v>5</v>
      </c>
      <c r="K451" s="39">
        <v>47900</v>
      </c>
      <c r="L451" s="39">
        <v>47900</v>
      </c>
      <c r="M451" s="51">
        <v>294400</v>
      </c>
      <c r="N451" s="102"/>
      <c r="O451" s="102"/>
      <c r="P451" s="103"/>
      <c r="Q451" s="103"/>
      <c r="R451" s="104"/>
      <c r="S451" s="104"/>
      <c r="T451" s="104"/>
      <c r="U451" s="101"/>
    </row>
    <row r="452" spans="1:21" x14ac:dyDescent="0.45">
      <c r="B452" s="241"/>
      <c r="C452" s="106" t="s">
        <v>453</v>
      </c>
      <c r="D452" s="81">
        <v>6</v>
      </c>
      <c r="E452" s="40">
        <v>45900</v>
      </c>
      <c r="F452" s="40">
        <v>45900</v>
      </c>
      <c r="G452" s="50">
        <v>323800</v>
      </c>
      <c r="H452" s="241" t="s">
        <v>447</v>
      </c>
      <c r="I452" s="106" t="s">
        <v>453</v>
      </c>
      <c r="J452" s="81">
        <v>6</v>
      </c>
      <c r="K452" s="40">
        <v>43900</v>
      </c>
      <c r="L452" s="40">
        <v>43900</v>
      </c>
      <c r="M452" s="50">
        <v>323800</v>
      </c>
      <c r="N452" s="102"/>
      <c r="O452" s="102"/>
      <c r="P452" s="103"/>
      <c r="Q452" s="103"/>
      <c r="R452" s="104"/>
      <c r="S452" s="104"/>
      <c r="T452" s="104"/>
      <c r="U452" s="101"/>
    </row>
    <row r="453" spans="1:21" x14ac:dyDescent="0.45">
      <c r="B453" s="241"/>
      <c r="C453" s="85" t="s">
        <v>3</v>
      </c>
      <c r="D453" s="85">
        <v>5</v>
      </c>
      <c r="E453" s="39">
        <v>46900</v>
      </c>
      <c r="F453" s="39">
        <v>46900</v>
      </c>
      <c r="G453" s="51">
        <v>294400</v>
      </c>
      <c r="H453" s="241" t="s">
        <v>447</v>
      </c>
      <c r="I453" s="85" t="s">
        <v>3</v>
      </c>
      <c r="J453" s="85">
        <v>5</v>
      </c>
      <c r="K453" s="39">
        <v>44900</v>
      </c>
      <c r="L453" s="39">
        <v>44900</v>
      </c>
      <c r="M453" s="51">
        <v>283200</v>
      </c>
      <c r="N453" s="102"/>
      <c r="O453" s="102"/>
      <c r="P453" s="103"/>
      <c r="Q453" s="103"/>
      <c r="R453" s="104"/>
      <c r="S453" s="104"/>
      <c r="T453" s="104"/>
      <c r="U453" s="101"/>
    </row>
    <row r="454" spans="1:21" ht="17.5" thickBot="1" x14ac:dyDescent="0.5">
      <c r="B454" s="242"/>
      <c r="C454" s="82" t="s">
        <v>3</v>
      </c>
      <c r="D454" s="82">
        <v>6</v>
      </c>
      <c r="E454" s="66">
        <v>42900</v>
      </c>
      <c r="F454" s="66">
        <v>42900</v>
      </c>
      <c r="G454" s="67">
        <v>323800</v>
      </c>
      <c r="H454" s="242" t="s">
        <v>447</v>
      </c>
      <c r="I454" s="82" t="s">
        <v>3</v>
      </c>
      <c r="J454" s="82">
        <v>6</v>
      </c>
      <c r="K454" s="66">
        <v>40900</v>
      </c>
      <c r="L454" s="66">
        <v>40900</v>
      </c>
      <c r="M454" s="67">
        <v>311500</v>
      </c>
      <c r="N454" s="102"/>
      <c r="O454" s="102"/>
      <c r="P454" s="103"/>
      <c r="Q454" s="103"/>
      <c r="R454" s="104"/>
      <c r="S454" s="104"/>
      <c r="T454" s="104"/>
      <c r="U454" s="101"/>
    </row>
    <row r="455" spans="1:21" ht="18" customHeight="1" thickTop="1" x14ac:dyDescent="0.45">
      <c r="N455" s="102"/>
      <c r="O455" s="102"/>
      <c r="P455" s="103"/>
      <c r="Q455" s="103"/>
      <c r="R455" s="104"/>
      <c r="S455" s="104"/>
      <c r="T455" s="104"/>
      <c r="U455" s="101"/>
    </row>
    <row r="456" spans="1:21" ht="18" thickBot="1" x14ac:dyDescent="0.5">
      <c r="B456" s="70" t="s">
        <v>898</v>
      </c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109"/>
    </row>
    <row r="457" spans="1:21" ht="17.5" thickTop="1" x14ac:dyDescent="0.45">
      <c r="B457" s="244" t="s">
        <v>720</v>
      </c>
      <c r="C457" s="239" t="s">
        <v>824</v>
      </c>
      <c r="D457" s="239"/>
      <c r="E457" s="222" t="s">
        <v>867</v>
      </c>
      <c r="F457" s="222"/>
      <c r="G457" s="223"/>
      <c r="H457" s="244" t="s">
        <v>720</v>
      </c>
      <c r="I457" s="239" t="s">
        <v>824</v>
      </c>
      <c r="J457" s="239"/>
      <c r="K457" s="222" t="s">
        <v>870</v>
      </c>
      <c r="L457" s="222"/>
      <c r="M457" s="223"/>
      <c r="N457" s="109"/>
      <c r="O457" s="109"/>
      <c r="P457" s="109"/>
    </row>
    <row r="458" spans="1:21" ht="17.5" thickBot="1" x14ac:dyDescent="0.5">
      <c r="B458" s="245"/>
      <c r="C458" s="240"/>
      <c r="D458" s="240"/>
      <c r="E458" s="91" t="s">
        <v>611</v>
      </c>
      <c r="F458" s="91" t="s">
        <v>612</v>
      </c>
      <c r="G458" s="88" t="s">
        <v>593</v>
      </c>
      <c r="H458" s="245"/>
      <c r="I458" s="293"/>
      <c r="J458" s="293"/>
      <c r="K458" s="92" t="s">
        <v>611</v>
      </c>
      <c r="L458" s="92" t="s">
        <v>612</v>
      </c>
      <c r="M458" s="48" t="s">
        <v>593</v>
      </c>
      <c r="N458" s="109"/>
      <c r="O458" s="109"/>
      <c r="P458" s="109"/>
    </row>
    <row r="459" spans="1:21" ht="17.5" thickTop="1" x14ac:dyDescent="0.45">
      <c r="B459" s="256" t="s">
        <v>648</v>
      </c>
      <c r="C459" s="85" t="s">
        <v>869</v>
      </c>
      <c r="D459" s="85">
        <v>5</v>
      </c>
      <c r="E459" s="39">
        <v>34900</v>
      </c>
      <c r="F459" s="39">
        <v>34900</v>
      </c>
      <c r="G459" s="51">
        <v>260700</v>
      </c>
      <c r="H459" s="248" t="s">
        <v>647</v>
      </c>
      <c r="I459" s="85" t="s">
        <v>869</v>
      </c>
      <c r="J459" s="85">
        <v>5</v>
      </c>
      <c r="K459" s="39">
        <v>49900</v>
      </c>
      <c r="L459" s="39">
        <v>49900</v>
      </c>
      <c r="M459" s="51">
        <v>294400</v>
      </c>
      <c r="N459" s="109"/>
      <c r="O459" s="109"/>
      <c r="P459" s="109"/>
    </row>
    <row r="460" spans="1:21" x14ac:dyDescent="0.45">
      <c r="B460" s="249"/>
      <c r="C460" s="81" t="s">
        <v>457</v>
      </c>
      <c r="D460" s="81">
        <v>6</v>
      </c>
      <c r="E460" s="40">
        <v>30900</v>
      </c>
      <c r="F460" s="40">
        <v>30900</v>
      </c>
      <c r="G460" s="50">
        <v>286800</v>
      </c>
      <c r="H460" s="249"/>
      <c r="I460" s="81" t="s">
        <v>457</v>
      </c>
      <c r="J460" s="81">
        <v>6</v>
      </c>
      <c r="K460" s="40">
        <v>44900</v>
      </c>
      <c r="L460" s="40">
        <v>44900</v>
      </c>
      <c r="M460" s="50">
        <v>323800</v>
      </c>
      <c r="N460" s="109"/>
      <c r="O460" s="109"/>
      <c r="P460" s="109"/>
    </row>
    <row r="461" spans="1:21" x14ac:dyDescent="0.45">
      <c r="B461" s="249"/>
      <c r="C461" s="86" t="s">
        <v>457</v>
      </c>
      <c r="D461" s="86">
        <v>7</v>
      </c>
      <c r="E461" s="55">
        <v>27900</v>
      </c>
      <c r="F461" s="55">
        <v>27900</v>
      </c>
      <c r="G461" s="56">
        <v>286800</v>
      </c>
      <c r="H461" s="249"/>
      <c r="I461" s="86" t="s">
        <v>457</v>
      </c>
      <c r="J461" s="86">
        <v>7</v>
      </c>
      <c r="K461" s="55">
        <v>39900</v>
      </c>
      <c r="L461" s="55">
        <v>39900</v>
      </c>
      <c r="M461" s="56">
        <v>323800</v>
      </c>
      <c r="N461" s="109"/>
      <c r="O461" s="109"/>
      <c r="P461" s="109"/>
    </row>
    <row r="462" spans="1:21" x14ac:dyDescent="0.45">
      <c r="B462" s="249"/>
      <c r="C462" s="85" t="s">
        <v>183</v>
      </c>
      <c r="D462" s="85">
        <v>5</v>
      </c>
      <c r="E462" s="39">
        <v>29900</v>
      </c>
      <c r="F462" s="39">
        <v>29900</v>
      </c>
      <c r="G462" s="51">
        <v>238200</v>
      </c>
      <c r="H462" s="249"/>
      <c r="I462" s="85" t="s">
        <v>183</v>
      </c>
      <c r="J462" s="85">
        <v>5</v>
      </c>
      <c r="K462" s="39">
        <v>44900</v>
      </c>
      <c r="L462" s="39">
        <v>44900</v>
      </c>
      <c r="M462" s="51">
        <v>283200</v>
      </c>
      <c r="N462" s="109"/>
      <c r="O462" s="109"/>
      <c r="P462" s="109"/>
    </row>
    <row r="463" spans="1:21" x14ac:dyDescent="0.45">
      <c r="B463" s="249"/>
      <c r="C463" s="81" t="s">
        <v>183</v>
      </c>
      <c r="D463" s="81">
        <v>6</v>
      </c>
      <c r="E463" s="40">
        <v>25900</v>
      </c>
      <c r="F463" s="40">
        <v>25900</v>
      </c>
      <c r="G463" s="50">
        <v>262000</v>
      </c>
      <c r="H463" s="249"/>
      <c r="I463" s="81" t="s">
        <v>183</v>
      </c>
      <c r="J463" s="81">
        <v>6</v>
      </c>
      <c r="K463" s="40">
        <v>39900</v>
      </c>
      <c r="L463" s="40">
        <v>39900</v>
      </c>
      <c r="M463" s="50">
        <v>311500</v>
      </c>
      <c r="N463" s="109"/>
      <c r="O463" s="109"/>
      <c r="P463" s="109"/>
    </row>
    <row r="464" spans="1:21" ht="17.5" thickBot="1" x14ac:dyDescent="0.5">
      <c r="B464" s="250"/>
      <c r="C464" s="86" t="s">
        <v>183</v>
      </c>
      <c r="D464" s="86">
        <v>7</v>
      </c>
      <c r="E464" s="55">
        <v>22900</v>
      </c>
      <c r="F464" s="55">
        <v>22900</v>
      </c>
      <c r="G464" s="56">
        <v>262000</v>
      </c>
      <c r="H464" s="257"/>
      <c r="I464" s="86" t="s">
        <v>183</v>
      </c>
      <c r="J464" s="86">
        <v>7</v>
      </c>
      <c r="K464" s="55">
        <v>34900</v>
      </c>
      <c r="L464" s="55">
        <v>34900</v>
      </c>
      <c r="M464" s="56">
        <v>311500</v>
      </c>
      <c r="N464" s="109"/>
      <c r="O464" s="109"/>
      <c r="P464" s="109"/>
    </row>
    <row r="465" spans="2:16" ht="17.5" thickTop="1" x14ac:dyDescent="0.45">
      <c r="B465" s="244" t="s">
        <v>720</v>
      </c>
      <c r="C465" s="239" t="s">
        <v>824</v>
      </c>
      <c r="D465" s="239"/>
      <c r="E465" s="222" t="s">
        <v>871</v>
      </c>
      <c r="F465" s="222"/>
      <c r="G465" s="223"/>
      <c r="H465" s="256" t="s">
        <v>646</v>
      </c>
      <c r="I465" s="85" t="s">
        <v>457</v>
      </c>
      <c r="J465" s="85">
        <v>5</v>
      </c>
      <c r="K465" s="39">
        <v>86900</v>
      </c>
      <c r="L465" s="39">
        <v>86900</v>
      </c>
      <c r="M465" s="51">
        <v>384300</v>
      </c>
      <c r="N465" s="110"/>
      <c r="O465" s="109"/>
      <c r="P465" s="109"/>
    </row>
    <row r="466" spans="2:16" x14ac:dyDescent="0.45">
      <c r="B466" s="245"/>
      <c r="C466" s="240"/>
      <c r="D466" s="240"/>
      <c r="E466" s="91" t="s">
        <v>611</v>
      </c>
      <c r="F466" s="91" t="s">
        <v>612</v>
      </c>
      <c r="G466" s="88" t="s">
        <v>593</v>
      </c>
      <c r="H466" s="249"/>
      <c r="I466" s="81" t="s">
        <v>457</v>
      </c>
      <c r="J466" s="81">
        <v>6</v>
      </c>
      <c r="K466" s="40">
        <v>78900</v>
      </c>
      <c r="L466" s="40">
        <v>78900</v>
      </c>
      <c r="M466" s="50">
        <v>422700</v>
      </c>
      <c r="N466" s="110"/>
      <c r="O466" s="109"/>
      <c r="P466" s="109"/>
    </row>
    <row r="467" spans="2:16" x14ac:dyDescent="0.45">
      <c r="B467" s="256" t="s">
        <v>872</v>
      </c>
      <c r="C467" s="85" t="s">
        <v>869</v>
      </c>
      <c r="D467" s="85">
        <v>5</v>
      </c>
      <c r="E467" s="39">
        <v>22900</v>
      </c>
      <c r="F467" s="39">
        <v>22900</v>
      </c>
      <c r="G467" s="51">
        <v>207100</v>
      </c>
      <c r="H467" s="249"/>
      <c r="I467" s="86" t="s">
        <v>457</v>
      </c>
      <c r="J467" s="86">
        <v>7</v>
      </c>
      <c r="K467" s="55">
        <v>70900</v>
      </c>
      <c r="L467" s="55">
        <v>70900</v>
      </c>
      <c r="M467" s="56">
        <v>422700</v>
      </c>
      <c r="N467" s="110"/>
      <c r="O467" s="109"/>
      <c r="P467" s="109"/>
    </row>
    <row r="468" spans="2:16" x14ac:dyDescent="0.45">
      <c r="B468" s="249"/>
      <c r="C468" s="81" t="s">
        <v>457</v>
      </c>
      <c r="D468" s="81">
        <v>6</v>
      </c>
      <c r="E468" s="40">
        <v>20900</v>
      </c>
      <c r="F468" s="40">
        <v>20900</v>
      </c>
      <c r="G468" s="50">
        <v>227800</v>
      </c>
      <c r="H468" s="249"/>
      <c r="I468" s="84" t="s">
        <v>183</v>
      </c>
      <c r="J468" s="84">
        <v>5</v>
      </c>
      <c r="K468" s="46">
        <v>78900</v>
      </c>
      <c r="L468" s="46">
        <v>78900</v>
      </c>
      <c r="M468" s="49">
        <v>361900</v>
      </c>
      <c r="N468" s="110"/>
      <c r="O468" s="109"/>
      <c r="P468" s="109"/>
    </row>
    <row r="469" spans="2:16" x14ac:dyDescent="0.45">
      <c r="B469" s="249"/>
      <c r="C469" s="86" t="s">
        <v>457</v>
      </c>
      <c r="D469" s="86">
        <v>7</v>
      </c>
      <c r="E469" s="55">
        <v>19400</v>
      </c>
      <c r="F469" s="55">
        <v>19400</v>
      </c>
      <c r="G469" s="56">
        <v>227800</v>
      </c>
      <c r="H469" s="249"/>
      <c r="I469" s="81" t="s">
        <v>183</v>
      </c>
      <c r="J469" s="81">
        <v>6</v>
      </c>
      <c r="K469" s="40">
        <v>70900</v>
      </c>
      <c r="L469" s="40">
        <v>70900</v>
      </c>
      <c r="M469" s="50">
        <v>398100</v>
      </c>
      <c r="N469" s="110"/>
      <c r="O469" s="109"/>
    </row>
    <row r="470" spans="2:16" ht="17.5" thickBot="1" x14ac:dyDescent="0.5">
      <c r="B470" s="249"/>
      <c r="C470" s="85" t="s">
        <v>183</v>
      </c>
      <c r="D470" s="85">
        <v>5</v>
      </c>
      <c r="E470" s="39">
        <v>19900</v>
      </c>
      <c r="F470" s="39">
        <v>19900</v>
      </c>
      <c r="G470" s="51">
        <v>195900</v>
      </c>
      <c r="H470" s="257"/>
      <c r="I470" s="83" t="s">
        <v>183</v>
      </c>
      <c r="J470" s="83">
        <v>7</v>
      </c>
      <c r="K470" s="58">
        <v>62900</v>
      </c>
      <c r="L470" s="58">
        <v>62900</v>
      </c>
      <c r="M470" s="59">
        <v>398100</v>
      </c>
      <c r="N470" s="102"/>
      <c r="O470" s="109"/>
    </row>
    <row r="471" spans="2:16" ht="17.5" thickTop="1" x14ac:dyDescent="0.45">
      <c r="B471" s="249"/>
      <c r="C471" s="81" t="s">
        <v>183</v>
      </c>
      <c r="D471" s="81">
        <v>6</v>
      </c>
      <c r="E471" s="40">
        <v>17900</v>
      </c>
      <c r="F471" s="40">
        <v>17900</v>
      </c>
      <c r="G471" s="50">
        <v>215500</v>
      </c>
      <c r="H471" s="244" t="s">
        <v>720</v>
      </c>
      <c r="I471" s="239" t="s">
        <v>824</v>
      </c>
      <c r="J471" s="239"/>
      <c r="K471" s="222" t="s">
        <v>873</v>
      </c>
      <c r="L471" s="222"/>
      <c r="M471" s="223"/>
      <c r="N471" s="101"/>
      <c r="O471" s="109"/>
    </row>
    <row r="472" spans="2:16" ht="17.5" thickBot="1" x14ac:dyDescent="0.5">
      <c r="B472" s="250"/>
      <c r="C472" s="86" t="s">
        <v>183</v>
      </c>
      <c r="D472" s="86">
        <v>7</v>
      </c>
      <c r="E472" s="55">
        <v>16400</v>
      </c>
      <c r="F472" s="55">
        <v>16400</v>
      </c>
      <c r="G472" s="56">
        <v>215500</v>
      </c>
      <c r="H472" s="245"/>
      <c r="I472" s="240"/>
      <c r="J472" s="240"/>
      <c r="K472" s="91" t="s">
        <v>611</v>
      </c>
      <c r="L472" s="91" t="s">
        <v>612</v>
      </c>
      <c r="M472" s="88" t="s">
        <v>593</v>
      </c>
      <c r="N472" s="109"/>
      <c r="O472" s="109"/>
    </row>
    <row r="473" spans="2:16" ht="17.5" thickTop="1" x14ac:dyDescent="0.45">
      <c r="B473" s="244" t="s">
        <v>720</v>
      </c>
      <c r="C473" s="239" t="s">
        <v>824</v>
      </c>
      <c r="D473" s="239"/>
      <c r="E473" s="222" t="s">
        <v>874</v>
      </c>
      <c r="F473" s="222"/>
      <c r="G473" s="223"/>
      <c r="H473" s="256" t="s">
        <v>868</v>
      </c>
      <c r="I473" s="85" t="s">
        <v>869</v>
      </c>
      <c r="J473" s="85">
        <v>5</v>
      </c>
      <c r="K473" s="39">
        <v>19900</v>
      </c>
      <c r="L473" s="39">
        <v>19900</v>
      </c>
      <c r="M473" s="51">
        <v>195900</v>
      </c>
      <c r="N473" s="109"/>
      <c r="O473" s="109"/>
    </row>
    <row r="474" spans="2:16" x14ac:dyDescent="0.45">
      <c r="B474" s="245"/>
      <c r="C474" s="240"/>
      <c r="D474" s="240"/>
      <c r="E474" s="91" t="s">
        <v>611</v>
      </c>
      <c r="F474" s="91" t="s">
        <v>612</v>
      </c>
      <c r="G474" s="88" t="s">
        <v>593</v>
      </c>
      <c r="H474" s="249"/>
      <c r="I474" s="81" t="s">
        <v>457</v>
      </c>
      <c r="J474" s="81">
        <v>6</v>
      </c>
      <c r="K474" s="40">
        <v>17900</v>
      </c>
      <c r="L474" s="40">
        <v>17900</v>
      </c>
      <c r="M474" s="50">
        <v>215500</v>
      </c>
      <c r="N474" s="109"/>
      <c r="O474" s="109"/>
    </row>
    <row r="475" spans="2:16" x14ac:dyDescent="0.45">
      <c r="B475" s="256" t="s">
        <v>875</v>
      </c>
      <c r="C475" s="85" t="s">
        <v>869</v>
      </c>
      <c r="D475" s="85">
        <v>5</v>
      </c>
      <c r="E475" s="39">
        <v>29900</v>
      </c>
      <c r="F475" s="39">
        <v>29900</v>
      </c>
      <c r="G475" s="51">
        <v>238200</v>
      </c>
      <c r="H475" s="249"/>
      <c r="I475" s="86" t="s">
        <v>457</v>
      </c>
      <c r="J475" s="86">
        <v>7</v>
      </c>
      <c r="K475" s="55">
        <v>16400</v>
      </c>
      <c r="L475" s="55">
        <v>16400</v>
      </c>
      <c r="M475" s="56">
        <v>215500</v>
      </c>
      <c r="N475" s="109"/>
      <c r="O475" s="109"/>
    </row>
    <row r="476" spans="2:16" x14ac:dyDescent="0.45">
      <c r="B476" s="249"/>
      <c r="C476" s="81" t="s">
        <v>457</v>
      </c>
      <c r="D476" s="81">
        <v>6</v>
      </c>
      <c r="E476" s="40">
        <v>25900</v>
      </c>
      <c r="F476" s="40">
        <v>25900</v>
      </c>
      <c r="G476" s="50">
        <v>262000</v>
      </c>
      <c r="H476" s="249"/>
      <c r="I476" s="85" t="s">
        <v>183</v>
      </c>
      <c r="J476" s="85">
        <v>5</v>
      </c>
      <c r="K476" s="39">
        <v>17900</v>
      </c>
      <c r="L476" s="39">
        <v>17900</v>
      </c>
      <c r="M476" s="51">
        <v>195900</v>
      </c>
      <c r="N476" s="109"/>
      <c r="O476" s="109"/>
    </row>
    <row r="477" spans="2:16" x14ac:dyDescent="0.45">
      <c r="B477" s="249"/>
      <c r="C477" s="86" t="s">
        <v>457</v>
      </c>
      <c r="D477" s="86">
        <v>7</v>
      </c>
      <c r="E477" s="55">
        <v>22900</v>
      </c>
      <c r="F477" s="55">
        <v>22900</v>
      </c>
      <c r="G477" s="56">
        <v>262000</v>
      </c>
      <c r="H477" s="249"/>
      <c r="I477" s="81" t="s">
        <v>183</v>
      </c>
      <c r="J477" s="81">
        <v>6</v>
      </c>
      <c r="K477" s="40">
        <v>15900</v>
      </c>
      <c r="L477" s="40">
        <v>15900</v>
      </c>
      <c r="M477" s="50">
        <v>215500</v>
      </c>
      <c r="N477" s="109"/>
      <c r="O477" s="109"/>
    </row>
    <row r="478" spans="2:16" ht="17.5" thickBot="1" x14ac:dyDescent="0.5">
      <c r="B478" s="249"/>
      <c r="C478" s="85" t="s">
        <v>183</v>
      </c>
      <c r="D478" s="85">
        <v>5</v>
      </c>
      <c r="E478" s="39">
        <v>26900</v>
      </c>
      <c r="F478" s="39">
        <v>26900</v>
      </c>
      <c r="G478" s="51">
        <v>229600</v>
      </c>
      <c r="H478" s="257"/>
      <c r="I478" s="86" t="s">
        <v>183</v>
      </c>
      <c r="J478" s="86">
        <v>7</v>
      </c>
      <c r="K478" s="55">
        <v>14400</v>
      </c>
      <c r="L478" s="55">
        <v>14400</v>
      </c>
      <c r="M478" s="56">
        <v>215500</v>
      </c>
      <c r="N478" s="109"/>
      <c r="O478" s="109"/>
    </row>
    <row r="479" spans="2:16" ht="17.5" thickTop="1" x14ac:dyDescent="0.45">
      <c r="B479" s="249"/>
      <c r="C479" s="81" t="s">
        <v>183</v>
      </c>
      <c r="D479" s="81">
        <v>6</v>
      </c>
      <c r="E479" s="40">
        <v>22900</v>
      </c>
      <c r="F479" s="40">
        <v>22900</v>
      </c>
      <c r="G479" s="50">
        <v>252600</v>
      </c>
      <c r="H479" s="244" t="s">
        <v>720</v>
      </c>
      <c r="I479" s="239" t="s">
        <v>824</v>
      </c>
      <c r="J479" s="239"/>
      <c r="K479" s="222" t="s">
        <v>877</v>
      </c>
      <c r="L479" s="222"/>
      <c r="M479" s="223"/>
      <c r="N479" s="109"/>
      <c r="O479" s="109"/>
    </row>
    <row r="480" spans="2:16" ht="17.5" thickBot="1" x14ac:dyDescent="0.5">
      <c r="B480" s="257"/>
      <c r="C480" s="86" t="s">
        <v>183</v>
      </c>
      <c r="D480" s="86">
        <v>7</v>
      </c>
      <c r="E480" s="55">
        <v>19900</v>
      </c>
      <c r="F480" s="55">
        <v>19900</v>
      </c>
      <c r="G480" s="56">
        <v>252600</v>
      </c>
      <c r="H480" s="245"/>
      <c r="I480" s="240"/>
      <c r="J480" s="240"/>
      <c r="K480" s="91" t="s">
        <v>611</v>
      </c>
      <c r="L480" s="91" t="s">
        <v>612</v>
      </c>
      <c r="M480" s="88" t="s">
        <v>593</v>
      </c>
      <c r="N480" s="109"/>
      <c r="O480" s="109"/>
    </row>
    <row r="481" spans="2:16" ht="17.5" thickTop="1" x14ac:dyDescent="0.45">
      <c r="B481" s="244" t="s">
        <v>720</v>
      </c>
      <c r="C481" s="239" t="s">
        <v>824</v>
      </c>
      <c r="D481" s="239"/>
      <c r="E481" s="222" t="s">
        <v>876</v>
      </c>
      <c r="F481" s="222"/>
      <c r="G481" s="223"/>
      <c r="H481" s="256" t="s">
        <v>878</v>
      </c>
      <c r="I481" s="85" t="s">
        <v>869</v>
      </c>
      <c r="J481" s="85">
        <v>5</v>
      </c>
      <c r="K481" s="39">
        <v>26900</v>
      </c>
      <c r="L481" s="39">
        <v>26900</v>
      </c>
      <c r="M481" s="51">
        <v>229600</v>
      </c>
      <c r="N481" s="109"/>
      <c r="O481" s="109"/>
    </row>
    <row r="482" spans="2:16" x14ac:dyDescent="0.45">
      <c r="B482" s="245"/>
      <c r="C482" s="240"/>
      <c r="D482" s="240"/>
      <c r="E482" s="91" t="s">
        <v>611</v>
      </c>
      <c r="F482" s="91" t="s">
        <v>612</v>
      </c>
      <c r="G482" s="88" t="s">
        <v>593</v>
      </c>
      <c r="H482" s="249" t="s">
        <v>190</v>
      </c>
      <c r="I482" s="81" t="s">
        <v>457</v>
      </c>
      <c r="J482" s="81">
        <v>6</v>
      </c>
      <c r="K482" s="40">
        <v>23900</v>
      </c>
      <c r="L482" s="40">
        <v>23900</v>
      </c>
      <c r="M482" s="50">
        <v>252600</v>
      </c>
      <c r="N482" s="109"/>
      <c r="O482" s="109"/>
    </row>
    <row r="483" spans="2:16" x14ac:dyDescent="0.45">
      <c r="B483" s="256" t="s">
        <v>868</v>
      </c>
      <c r="C483" s="85" t="s">
        <v>869</v>
      </c>
      <c r="D483" s="85">
        <v>5</v>
      </c>
      <c r="E483" s="39">
        <v>19900</v>
      </c>
      <c r="F483" s="39">
        <v>19900</v>
      </c>
      <c r="G483" s="51">
        <v>195900</v>
      </c>
      <c r="H483" s="249" t="s">
        <v>190</v>
      </c>
      <c r="I483" s="86" t="s">
        <v>457</v>
      </c>
      <c r="J483" s="86">
        <v>7</v>
      </c>
      <c r="K483" s="55">
        <v>21900</v>
      </c>
      <c r="L483" s="55">
        <v>21900</v>
      </c>
      <c r="M483" s="56">
        <v>252600</v>
      </c>
      <c r="N483" s="109"/>
      <c r="O483" s="109"/>
    </row>
    <row r="484" spans="2:16" x14ac:dyDescent="0.45">
      <c r="B484" s="249" t="s">
        <v>192</v>
      </c>
      <c r="C484" s="81" t="s">
        <v>457</v>
      </c>
      <c r="D484" s="81">
        <v>6</v>
      </c>
      <c r="E484" s="40">
        <v>17900</v>
      </c>
      <c r="F484" s="40">
        <v>17900</v>
      </c>
      <c r="G484" s="50">
        <v>215500</v>
      </c>
      <c r="H484" s="249" t="s">
        <v>190</v>
      </c>
      <c r="I484" s="85" t="s">
        <v>183</v>
      </c>
      <c r="J484" s="85">
        <v>5</v>
      </c>
      <c r="K484" s="39">
        <v>23900</v>
      </c>
      <c r="L484" s="39">
        <v>23900</v>
      </c>
      <c r="M484" s="51">
        <v>218300</v>
      </c>
      <c r="N484" s="109"/>
      <c r="O484" s="109"/>
    </row>
    <row r="485" spans="2:16" x14ac:dyDescent="0.45">
      <c r="B485" s="249" t="s">
        <v>192</v>
      </c>
      <c r="C485" s="86" t="s">
        <v>457</v>
      </c>
      <c r="D485" s="86">
        <v>7</v>
      </c>
      <c r="E485" s="55">
        <v>16400</v>
      </c>
      <c r="F485" s="55">
        <v>16400</v>
      </c>
      <c r="G485" s="56">
        <v>215500</v>
      </c>
      <c r="H485" s="249" t="s">
        <v>190</v>
      </c>
      <c r="I485" s="81" t="s">
        <v>183</v>
      </c>
      <c r="J485" s="81">
        <v>6</v>
      </c>
      <c r="K485" s="40">
        <v>20900</v>
      </c>
      <c r="L485" s="40">
        <v>20900</v>
      </c>
      <c r="M485" s="50">
        <v>240100</v>
      </c>
      <c r="N485" s="109"/>
      <c r="O485" s="109"/>
      <c r="P485" s="109"/>
    </row>
    <row r="486" spans="2:16" ht="17.5" thickBot="1" x14ac:dyDescent="0.5">
      <c r="B486" s="249" t="s">
        <v>192</v>
      </c>
      <c r="C486" s="85" t="s">
        <v>183</v>
      </c>
      <c r="D486" s="85">
        <v>5</v>
      </c>
      <c r="E486" s="39">
        <v>17900</v>
      </c>
      <c r="F486" s="39">
        <v>17900</v>
      </c>
      <c r="G486" s="51">
        <v>195900</v>
      </c>
      <c r="H486" s="257" t="s">
        <v>190</v>
      </c>
      <c r="I486" s="86" t="s">
        <v>183</v>
      </c>
      <c r="J486" s="86">
        <v>7</v>
      </c>
      <c r="K486" s="55">
        <v>18900</v>
      </c>
      <c r="L486" s="55">
        <v>18900</v>
      </c>
      <c r="M486" s="56">
        <v>240100</v>
      </c>
      <c r="N486" s="109"/>
      <c r="O486" s="109"/>
      <c r="P486" s="109"/>
    </row>
    <row r="487" spans="2:16" ht="17.5" thickTop="1" x14ac:dyDescent="0.45">
      <c r="B487" s="249" t="s">
        <v>192</v>
      </c>
      <c r="C487" s="81" t="s">
        <v>183</v>
      </c>
      <c r="D487" s="81">
        <v>6</v>
      </c>
      <c r="E487" s="40">
        <v>15900</v>
      </c>
      <c r="F487" s="40">
        <v>15900</v>
      </c>
      <c r="G487" s="50">
        <v>215500</v>
      </c>
      <c r="H487" s="244" t="s">
        <v>720</v>
      </c>
      <c r="I487" s="239" t="s">
        <v>824</v>
      </c>
      <c r="J487" s="239"/>
      <c r="K487" s="222" t="s">
        <v>1328</v>
      </c>
      <c r="L487" s="222"/>
      <c r="M487" s="223"/>
      <c r="N487" s="109"/>
      <c r="O487" s="109"/>
      <c r="P487" s="109"/>
    </row>
    <row r="488" spans="2:16" x14ac:dyDescent="0.45">
      <c r="B488" s="257" t="s">
        <v>192</v>
      </c>
      <c r="C488" s="86" t="s">
        <v>183</v>
      </c>
      <c r="D488" s="86">
        <v>7</v>
      </c>
      <c r="E488" s="55">
        <v>14400</v>
      </c>
      <c r="F488" s="55">
        <v>14400</v>
      </c>
      <c r="G488" s="56">
        <v>215500</v>
      </c>
      <c r="H488" s="245"/>
      <c r="I488" s="240"/>
      <c r="J488" s="240"/>
      <c r="K488" s="199" t="s">
        <v>611</v>
      </c>
      <c r="L488" s="199" t="s">
        <v>612</v>
      </c>
      <c r="M488" s="88" t="s">
        <v>593</v>
      </c>
      <c r="N488" s="109"/>
      <c r="O488" s="109"/>
      <c r="P488" s="109"/>
    </row>
    <row r="489" spans="2:16" x14ac:dyDescent="0.45">
      <c r="B489" s="77"/>
      <c r="C489" s="93"/>
      <c r="D489" s="93"/>
      <c r="E489" s="79"/>
      <c r="F489" s="79"/>
      <c r="G489" s="79"/>
      <c r="H489" s="256" t="s">
        <v>1329</v>
      </c>
      <c r="I489" s="85" t="s">
        <v>869</v>
      </c>
      <c r="J489" s="85">
        <v>5</v>
      </c>
      <c r="K489" s="39">
        <v>35900</v>
      </c>
      <c r="L489" s="39"/>
      <c r="M489" s="51">
        <v>271900</v>
      </c>
      <c r="N489" s="109"/>
      <c r="O489" s="109"/>
      <c r="P489" s="109"/>
    </row>
    <row r="490" spans="2:16" x14ac:dyDescent="0.45">
      <c r="B490" s="77"/>
      <c r="C490" s="93"/>
      <c r="D490" s="93"/>
      <c r="E490" s="79"/>
      <c r="F490" s="79"/>
      <c r="G490" s="79"/>
      <c r="H490" s="249"/>
      <c r="I490" s="81" t="s">
        <v>457</v>
      </c>
      <c r="J490" s="81">
        <v>6</v>
      </c>
      <c r="K490" s="40">
        <v>31900</v>
      </c>
      <c r="L490" s="40"/>
      <c r="M490" s="50">
        <v>299100</v>
      </c>
      <c r="N490" s="109"/>
      <c r="O490" s="109"/>
      <c r="P490" s="109"/>
    </row>
    <row r="491" spans="2:16" x14ac:dyDescent="0.45">
      <c r="B491" s="77"/>
      <c r="C491" s="93"/>
      <c r="D491" s="93"/>
      <c r="E491" s="79"/>
      <c r="F491" s="79"/>
      <c r="G491" s="79"/>
      <c r="H491" s="249"/>
      <c r="I491" s="86" t="s">
        <v>457</v>
      </c>
      <c r="J491" s="86">
        <v>7</v>
      </c>
      <c r="K491" s="55">
        <v>28900</v>
      </c>
      <c r="L491" s="55"/>
      <c r="M491" s="56">
        <v>299100</v>
      </c>
      <c r="N491" s="109"/>
      <c r="O491" s="109"/>
      <c r="P491" s="109"/>
    </row>
    <row r="492" spans="2:16" x14ac:dyDescent="0.45">
      <c r="B492" s="77"/>
      <c r="C492" s="93"/>
      <c r="D492" s="93"/>
      <c r="E492" s="79"/>
      <c r="F492" s="79"/>
      <c r="G492" s="79"/>
      <c r="H492" s="249"/>
      <c r="I492" s="85" t="s">
        <v>183</v>
      </c>
      <c r="J492" s="85">
        <v>5</v>
      </c>
      <c r="K492" s="39">
        <v>30900</v>
      </c>
      <c r="L492" s="39"/>
      <c r="M492" s="51">
        <v>249500</v>
      </c>
      <c r="N492" s="109"/>
      <c r="O492" s="109"/>
      <c r="P492" s="109"/>
    </row>
    <row r="493" spans="2:16" x14ac:dyDescent="0.45">
      <c r="B493" s="77"/>
      <c r="C493" s="93"/>
      <c r="D493" s="93"/>
      <c r="E493" s="79"/>
      <c r="F493" s="79"/>
      <c r="G493" s="79"/>
      <c r="H493" s="249"/>
      <c r="I493" s="81" t="s">
        <v>183</v>
      </c>
      <c r="J493" s="81">
        <v>6</v>
      </c>
      <c r="K493" s="40">
        <v>26900</v>
      </c>
      <c r="L493" s="40"/>
      <c r="M493" s="50">
        <v>274500</v>
      </c>
      <c r="N493" s="109"/>
      <c r="O493" s="109"/>
      <c r="P493" s="109"/>
    </row>
    <row r="494" spans="2:16" ht="17.5" thickBot="1" x14ac:dyDescent="0.5">
      <c r="B494" s="77"/>
      <c r="C494" s="93"/>
      <c r="D494" s="93"/>
      <c r="E494" s="79"/>
      <c r="F494" s="79"/>
      <c r="G494" s="79"/>
      <c r="H494" s="250"/>
      <c r="I494" s="82" t="s">
        <v>183</v>
      </c>
      <c r="J494" s="82">
        <v>7</v>
      </c>
      <c r="K494" s="66">
        <v>23900</v>
      </c>
      <c r="L494" s="66"/>
      <c r="M494" s="67">
        <v>274500</v>
      </c>
      <c r="N494" s="109"/>
      <c r="O494" s="109"/>
      <c r="P494" s="109"/>
    </row>
    <row r="495" spans="2:16" ht="17.5" thickTop="1" x14ac:dyDescent="0.45">
      <c r="B495" s="96"/>
      <c r="C495" s="38"/>
      <c r="D495" s="38"/>
      <c r="E495" s="97"/>
      <c r="F495" s="97"/>
      <c r="G495" s="97"/>
      <c r="H495" s="96"/>
      <c r="N495" s="109"/>
      <c r="O495" s="109"/>
      <c r="P495" s="109"/>
    </row>
    <row r="496" spans="2:16" ht="18" thickBot="1" x14ac:dyDescent="0.5">
      <c r="B496" s="70" t="s">
        <v>899</v>
      </c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109"/>
    </row>
    <row r="497" spans="1:21" ht="17.5" thickTop="1" x14ac:dyDescent="0.45">
      <c r="A497" s="99"/>
      <c r="B497" s="244" t="s">
        <v>720</v>
      </c>
      <c r="C497" s="239" t="s">
        <v>824</v>
      </c>
      <c r="D497" s="239"/>
      <c r="E497" s="222" t="s">
        <v>888</v>
      </c>
      <c r="F497" s="222"/>
      <c r="G497" s="223"/>
      <c r="H497" s="244" t="s">
        <v>720</v>
      </c>
      <c r="I497" s="239" t="s">
        <v>824</v>
      </c>
      <c r="J497" s="239"/>
      <c r="K497" s="222" t="s">
        <v>889</v>
      </c>
      <c r="L497" s="222"/>
      <c r="M497" s="223"/>
      <c r="N497" s="101"/>
      <c r="O497" s="101"/>
      <c r="P497" s="101"/>
      <c r="Q497" s="101"/>
      <c r="R497" s="101"/>
      <c r="S497" s="101"/>
      <c r="T497" s="101"/>
      <c r="U497" s="101"/>
    </row>
    <row r="498" spans="1:21" x14ac:dyDescent="0.45">
      <c r="A498" s="99"/>
      <c r="B498" s="245"/>
      <c r="C498" s="240"/>
      <c r="D498" s="240"/>
      <c r="E498" s="95" t="s">
        <v>611</v>
      </c>
      <c r="F498" s="95" t="s">
        <v>612</v>
      </c>
      <c r="G498" s="88" t="s">
        <v>593</v>
      </c>
      <c r="H498" s="245"/>
      <c r="I498" s="240"/>
      <c r="J498" s="240"/>
      <c r="K498" s="95" t="s">
        <v>611</v>
      </c>
      <c r="L498" s="95" t="s">
        <v>612</v>
      </c>
      <c r="M498" s="88" t="s">
        <v>593</v>
      </c>
      <c r="N498" s="102"/>
      <c r="O498" s="102"/>
      <c r="P498" s="102"/>
      <c r="Q498" s="102"/>
      <c r="R498" s="102"/>
      <c r="S498" s="102"/>
      <c r="T498" s="102"/>
      <c r="U498" s="101"/>
    </row>
    <row r="499" spans="1:21" x14ac:dyDescent="0.45">
      <c r="A499" s="99"/>
      <c r="B499" s="256" t="s">
        <v>639</v>
      </c>
      <c r="C499" s="105" t="s">
        <v>896</v>
      </c>
      <c r="D499" s="85">
        <v>5</v>
      </c>
      <c r="E499" s="39">
        <v>103500</v>
      </c>
      <c r="F499" s="39">
        <v>103500</v>
      </c>
      <c r="G499" s="51">
        <v>389500</v>
      </c>
      <c r="H499" s="263" t="s">
        <v>883</v>
      </c>
      <c r="I499" s="85" t="s">
        <v>869</v>
      </c>
      <c r="J499" s="85">
        <v>5</v>
      </c>
      <c r="K499" s="39">
        <v>119000</v>
      </c>
      <c r="L499" s="39">
        <v>119000</v>
      </c>
      <c r="M499" s="51">
        <v>436000</v>
      </c>
      <c r="N499" s="102"/>
      <c r="O499" s="102"/>
      <c r="P499" s="103"/>
      <c r="Q499" s="103"/>
      <c r="R499" s="104"/>
      <c r="S499" s="104"/>
      <c r="T499" s="104"/>
      <c r="U499" s="101"/>
    </row>
    <row r="500" spans="1:21" x14ac:dyDescent="0.45">
      <c r="A500" s="99"/>
      <c r="B500" s="249"/>
      <c r="C500" s="106" t="s">
        <v>455</v>
      </c>
      <c r="D500" s="81">
        <v>7</v>
      </c>
      <c r="E500" s="40">
        <v>81500</v>
      </c>
      <c r="F500" s="40">
        <v>81500</v>
      </c>
      <c r="G500" s="50">
        <v>391500</v>
      </c>
      <c r="H500" s="241"/>
      <c r="I500" s="81" t="s">
        <v>454</v>
      </c>
      <c r="J500" s="81">
        <v>5</v>
      </c>
      <c r="K500" s="40">
        <v>128000</v>
      </c>
      <c r="L500" s="40">
        <v>128000</v>
      </c>
      <c r="M500" s="50">
        <v>463000</v>
      </c>
      <c r="N500" s="102"/>
      <c r="O500" s="102"/>
      <c r="P500" s="103"/>
      <c r="Q500" s="103"/>
      <c r="R500" s="104"/>
      <c r="S500" s="104"/>
      <c r="T500" s="104"/>
      <c r="U500" s="101"/>
    </row>
    <row r="501" spans="1:21" ht="17.5" thickBot="1" x14ac:dyDescent="0.5">
      <c r="A501" s="99"/>
      <c r="B501" s="249"/>
      <c r="C501" s="85" t="s">
        <v>457</v>
      </c>
      <c r="D501" s="85">
        <v>5</v>
      </c>
      <c r="E501" s="39">
        <v>99500</v>
      </c>
      <c r="F501" s="39">
        <v>99500</v>
      </c>
      <c r="G501" s="51">
        <v>377500</v>
      </c>
      <c r="H501" s="242"/>
      <c r="I501" s="86" t="s">
        <v>183</v>
      </c>
      <c r="J501" s="86">
        <v>5</v>
      </c>
      <c r="K501" s="55">
        <v>109000</v>
      </c>
      <c r="L501" s="55">
        <v>109000</v>
      </c>
      <c r="M501" s="56">
        <v>406000</v>
      </c>
      <c r="N501" s="102"/>
      <c r="O501" s="102"/>
      <c r="P501" s="103"/>
      <c r="Q501" s="103"/>
      <c r="R501" s="104"/>
      <c r="S501" s="104"/>
      <c r="T501" s="104"/>
      <c r="U501" s="101"/>
    </row>
    <row r="502" spans="1:21" ht="17.5" thickTop="1" x14ac:dyDescent="0.45">
      <c r="A502" s="99"/>
      <c r="B502" s="249"/>
      <c r="C502" s="81" t="s">
        <v>457</v>
      </c>
      <c r="D502" s="81">
        <v>7</v>
      </c>
      <c r="E502" s="40">
        <v>77500</v>
      </c>
      <c r="F502" s="40">
        <v>77500</v>
      </c>
      <c r="G502" s="50">
        <v>379800</v>
      </c>
      <c r="H502" s="244" t="s">
        <v>720</v>
      </c>
      <c r="I502" s="239" t="s">
        <v>824</v>
      </c>
      <c r="J502" s="239"/>
      <c r="K502" s="222" t="s">
        <v>890</v>
      </c>
      <c r="L502" s="222"/>
      <c r="M502" s="223"/>
      <c r="N502" s="102"/>
      <c r="O502" s="102"/>
      <c r="P502" s="103"/>
      <c r="Q502" s="103"/>
      <c r="R502" s="104"/>
      <c r="S502" s="104"/>
      <c r="T502" s="104"/>
      <c r="U502" s="101"/>
    </row>
    <row r="503" spans="1:21" x14ac:dyDescent="0.45">
      <c r="A503" s="99"/>
      <c r="B503" s="249"/>
      <c r="C503" s="85" t="s">
        <v>183</v>
      </c>
      <c r="D503" s="85">
        <v>5</v>
      </c>
      <c r="E503" s="39">
        <v>96500</v>
      </c>
      <c r="F503" s="39">
        <v>96500</v>
      </c>
      <c r="G503" s="51">
        <v>368500</v>
      </c>
      <c r="H503" s="245"/>
      <c r="I503" s="240"/>
      <c r="J503" s="240"/>
      <c r="K503" s="95" t="s">
        <v>611</v>
      </c>
      <c r="L503" s="95" t="s">
        <v>612</v>
      </c>
      <c r="M503" s="88" t="s">
        <v>593</v>
      </c>
      <c r="N503" s="102"/>
      <c r="O503" s="102"/>
      <c r="P503" s="103"/>
      <c r="Q503" s="103"/>
      <c r="R503" s="104"/>
      <c r="S503" s="104"/>
      <c r="T503" s="104"/>
      <c r="U503" s="101"/>
    </row>
    <row r="504" spans="1:21" ht="17.5" thickBot="1" x14ac:dyDescent="0.5">
      <c r="A504" s="99"/>
      <c r="B504" s="257"/>
      <c r="C504" s="81" t="s">
        <v>183</v>
      </c>
      <c r="D504" s="81">
        <v>7</v>
      </c>
      <c r="E504" s="40">
        <v>74500</v>
      </c>
      <c r="F504" s="40">
        <v>74500</v>
      </c>
      <c r="G504" s="50">
        <v>368100</v>
      </c>
      <c r="H504" s="263" t="s">
        <v>881</v>
      </c>
      <c r="I504" s="85" t="s">
        <v>869</v>
      </c>
      <c r="J504" s="85">
        <v>5</v>
      </c>
      <c r="K504" s="39">
        <v>49900</v>
      </c>
      <c r="L504" s="39">
        <v>47900</v>
      </c>
      <c r="M504" s="51">
        <v>228700</v>
      </c>
      <c r="N504" s="102"/>
      <c r="O504" s="102"/>
      <c r="P504" s="103"/>
      <c r="Q504" s="103"/>
      <c r="R504" s="104"/>
      <c r="S504" s="104"/>
      <c r="T504" s="104"/>
      <c r="U504" s="101"/>
    </row>
    <row r="505" spans="1:21" ht="17.5" thickTop="1" x14ac:dyDescent="0.45">
      <c r="A505" s="99"/>
      <c r="B505" s="244" t="s">
        <v>720</v>
      </c>
      <c r="C505" s="239" t="s">
        <v>824</v>
      </c>
      <c r="D505" s="239"/>
      <c r="E505" s="222" t="s">
        <v>895</v>
      </c>
      <c r="F505" s="222"/>
      <c r="G505" s="223"/>
      <c r="H505" s="241" t="s">
        <v>881</v>
      </c>
      <c r="I505" s="81" t="s">
        <v>454</v>
      </c>
      <c r="J505" s="81">
        <v>5</v>
      </c>
      <c r="K505" s="40">
        <v>56900</v>
      </c>
      <c r="L505" s="40">
        <v>54900</v>
      </c>
      <c r="M505" s="50">
        <v>249700</v>
      </c>
      <c r="N505" s="102"/>
      <c r="O505" s="102"/>
      <c r="P505" s="103"/>
      <c r="Q505" s="103"/>
      <c r="R505" s="104"/>
      <c r="S505" s="104"/>
      <c r="T505" s="104"/>
      <c r="U505" s="101"/>
    </row>
    <row r="506" spans="1:21" ht="17.5" thickBot="1" x14ac:dyDescent="0.5">
      <c r="A506" s="99"/>
      <c r="B506" s="245"/>
      <c r="C506" s="240"/>
      <c r="D506" s="240"/>
      <c r="E506" s="95" t="s">
        <v>611</v>
      </c>
      <c r="F506" s="95" t="s">
        <v>612</v>
      </c>
      <c r="G506" s="88" t="s">
        <v>593</v>
      </c>
      <c r="H506" s="242" t="s">
        <v>881</v>
      </c>
      <c r="I506" s="86" t="s">
        <v>183</v>
      </c>
      <c r="J506" s="86">
        <v>5</v>
      </c>
      <c r="K506" s="55">
        <v>44900</v>
      </c>
      <c r="L506" s="55">
        <v>42900</v>
      </c>
      <c r="M506" s="56">
        <v>213700</v>
      </c>
      <c r="N506" s="102"/>
      <c r="O506" s="102"/>
      <c r="P506" s="103"/>
      <c r="Q506" s="103"/>
      <c r="R506" s="104"/>
      <c r="S506" s="104"/>
      <c r="T506" s="104"/>
      <c r="U506" s="101"/>
    </row>
    <row r="507" spans="1:21" ht="17.5" thickTop="1" x14ac:dyDescent="0.45">
      <c r="A507" s="99"/>
      <c r="B507" s="246" t="s">
        <v>884</v>
      </c>
      <c r="C507" s="105" t="s">
        <v>896</v>
      </c>
      <c r="D507" s="85">
        <v>7</v>
      </c>
      <c r="E507" s="39">
        <v>88500</v>
      </c>
      <c r="F507" s="39">
        <v>88500</v>
      </c>
      <c r="G507" s="51">
        <v>403200</v>
      </c>
      <c r="H507" s="244" t="s">
        <v>720</v>
      </c>
      <c r="I507" s="239" t="s">
        <v>824</v>
      </c>
      <c r="J507" s="239"/>
      <c r="K507" s="222" t="s">
        <v>891</v>
      </c>
      <c r="L507" s="222"/>
      <c r="M507" s="223"/>
      <c r="N507" s="102"/>
      <c r="O507" s="102"/>
      <c r="P507" s="103"/>
      <c r="Q507" s="103"/>
      <c r="R507" s="104"/>
      <c r="S507" s="104"/>
      <c r="T507" s="104"/>
      <c r="U507" s="101"/>
    </row>
    <row r="508" spans="1:21" x14ac:dyDescent="0.45">
      <c r="A508" s="99"/>
      <c r="B508" s="246"/>
      <c r="C508" s="85" t="s">
        <v>457</v>
      </c>
      <c r="D508" s="85">
        <v>5</v>
      </c>
      <c r="E508" s="39">
        <v>110500</v>
      </c>
      <c r="F508" s="39">
        <v>110500</v>
      </c>
      <c r="G508" s="51">
        <v>410500</v>
      </c>
      <c r="H508" s="245"/>
      <c r="I508" s="240"/>
      <c r="J508" s="240"/>
      <c r="K508" s="95" t="s">
        <v>611</v>
      </c>
      <c r="L508" s="95" t="s">
        <v>612</v>
      </c>
      <c r="M508" s="88" t="s">
        <v>593</v>
      </c>
      <c r="N508" s="102"/>
      <c r="O508" s="102"/>
      <c r="P508" s="103"/>
      <c r="Q508" s="103"/>
      <c r="R508" s="104"/>
      <c r="S508" s="104"/>
      <c r="T508" s="104"/>
      <c r="U508" s="101"/>
    </row>
    <row r="509" spans="1:21" x14ac:dyDescent="0.45">
      <c r="A509" s="99"/>
      <c r="B509" s="246"/>
      <c r="C509" s="81" t="s">
        <v>457</v>
      </c>
      <c r="D509" s="81">
        <v>7</v>
      </c>
      <c r="E509" s="40">
        <v>84500</v>
      </c>
      <c r="F509" s="40">
        <v>84500</v>
      </c>
      <c r="G509" s="50">
        <v>391500</v>
      </c>
      <c r="H509" s="263" t="s">
        <v>882</v>
      </c>
      <c r="I509" s="85" t="s">
        <v>869</v>
      </c>
      <c r="J509" s="85">
        <v>5</v>
      </c>
      <c r="K509" s="39">
        <v>49900</v>
      </c>
      <c r="L509" s="39">
        <v>49900</v>
      </c>
      <c r="M509" s="51">
        <v>228700</v>
      </c>
      <c r="N509" s="102"/>
      <c r="O509" s="102"/>
      <c r="P509" s="103"/>
      <c r="Q509" s="103"/>
      <c r="R509" s="104"/>
      <c r="S509" s="104"/>
      <c r="T509" s="104"/>
      <c r="U509" s="101"/>
    </row>
    <row r="510" spans="1:21" x14ac:dyDescent="0.45">
      <c r="A510" s="99"/>
      <c r="B510" s="246"/>
      <c r="C510" s="85" t="s">
        <v>183</v>
      </c>
      <c r="D510" s="85">
        <v>5</v>
      </c>
      <c r="E510" s="39">
        <v>107500</v>
      </c>
      <c r="F510" s="39">
        <v>107500</v>
      </c>
      <c r="G510" s="51">
        <v>401500</v>
      </c>
      <c r="H510" s="241" t="s">
        <v>882</v>
      </c>
      <c r="I510" s="81" t="s">
        <v>454</v>
      </c>
      <c r="J510" s="81">
        <v>5</v>
      </c>
      <c r="K510" s="40">
        <v>56900</v>
      </c>
      <c r="L510" s="40">
        <v>56900</v>
      </c>
      <c r="M510" s="50">
        <v>249700</v>
      </c>
      <c r="N510" s="102"/>
      <c r="O510" s="102"/>
      <c r="P510" s="103"/>
      <c r="Q510" s="103"/>
      <c r="R510" s="104"/>
      <c r="S510" s="104"/>
      <c r="T510" s="104"/>
      <c r="U510" s="101"/>
    </row>
    <row r="511" spans="1:21" ht="17.5" thickBot="1" x14ac:dyDescent="0.5">
      <c r="A511" s="99"/>
      <c r="B511" s="247"/>
      <c r="C511" s="81" t="s">
        <v>183</v>
      </c>
      <c r="D511" s="81">
        <v>7</v>
      </c>
      <c r="E511" s="40">
        <v>81500</v>
      </c>
      <c r="F511" s="40">
        <v>81500</v>
      </c>
      <c r="G511" s="50">
        <v>391500</v>
      </c>
      <c r="H511" s="242" t="s">
        <v>882</v>
      </c>
      <c r="I511" s="86" t="s">
        <v>183</v>
      </c>
      <c r="J511" s="86">
        <v>5</v>
      </c>
      <c r="K511" s="55">
        <v>44900</v>
      </c>
      <c r="L511" s="55">
        <v>44900</v>
      </c>
      <c r="M511" s="56">
        <v>213700</v>
      </c>
      <c r="N511" s="102"/>
      <c r="O511" s="102"/>
      <c r="P511" s="103"/>
      <c r="Q511" s="103"/>
      <c r="R511" s="104"/>
      <c r="S511" s="104"/>
      <c r="T511" s="104"/>
      <c r="U511" s="101"/>
    </row>
    <row r="512" spans="1:21" ht="17.5" thickTop="1" x14ac:dyDescent="0.45">
      <c r="A512" s="99"/>
      <c r="B512" s="244" t="s">
        <v>720</v>
      </c>
      <c r="C512" s="239" t="s">
        <v>824</v>
      </c>
      <c r="D512" s="239"/>
      <c r="E512" s="222" t="s">
        <v>895</v>
      </c>
      <c r="F512" s="222"/>
      <c r="G512" s="223"/>
      <c r="H512" s="244" t="s">
        <v>720</v>
      </c>
      <c r="I512" s="239" t="s">
        <v>824</v>
      </c>
      <c r="J512" s="239"/>
      <c r="K512" s="222" t="s">
        <v>893</v>
      </c>
      <c r="L512" s="222"/>
      <c r="M512" s="223"/>
      <c r="N512" s="102"/>
      <c r="O512" s="102"/>
      <c r="P512" s="103"/>
      <c r="Q512" s="103"/>
      <c r="R512" s="104"/>
      <c r="S512" s="104"/>
      <c r="T512" s="104"/>
      <c r="U512" s="101"/>
    </row>
    <row r="513" spans="1:21" x14ac:dyDescent="0.45">
      <c r="A513" s="99"/>
      <c r="B513" s="245"/>
      <c r="C513" s="240"/>
      <c r="D513" s="240"/>
      <c r="E513" s="95" t="s">
        <v>611</v>
      </c>
      <c r="F513" s="95" t="s">
        <v>612</v>
      </c>
      <c r="G513" s="88" t="s">
        <v>593</v>
      </c>
      <c r="H513" s="245"/>
      <c r="I513" s="240"/>
      <c r="J513" s="240"/>
      <c r="K513" s="95" t="s">
        <v>611</v>
      </c>
      <c r="L513" s="95" t="s">
        <v>612</v>
      </c>
      <c r="M513" s="88" t="s">
        <v>593</v>
      </c>
      <c r="N513" s="102"/>
      <c r="O513" s="102"/>
      <c r="P513" s="103"/>
      <c r="Q513" s="103"/>
      <c r="R513" s="104"/>
      <c r="S513" s="104"/>
      <c r="T513" s="104"/>
      <c r="U513" s="101"/>
    </row>
    <row r="514" spans="1:21" x14ac:dyDescent="0.45">
      <c r="A514" s="99"/>
      <c r="B514" s="256" t="s">
        <v>641</v>
      </c>
      <c r="C514" s="105" t="s">
        <v>896</v>
      </c>
      <c r="D514" s="85">
        <v>5</v>
      </c>
      <c r="E514" s="39">
        <v>124500</v>
      </c>
      <c r="F514" s="39">
        <v>124500</v>
      </c>
      <c r="G514" s="51">
        <v>452500</v>
      </c>
      <c r="H514" s="263" t="s">
        <v>887</v>
      </c>
      <c r="I514" s="85" t="s">
        <v>896</v>
      </c>
      <c r="J514" s="85">
        <v>5</v>
      </c>
      <c r="K514" s="39">
        <v>61900</v>
      </c>
      <c r="L514" s="39">
        <v>57900</v>
      </c>
      <c r="M514" s="51">
        <v>264700</v>
      </c>
      <c r="N514" s="102"/>
      <c r="O514" s="102"/>
      <c r="P514" s="103"/>
      <c r="Q514" s="103"/>
      <c r="R514" s="104"/>
      <c r="S514" s="104"/>
      <c r="T514" s="104"/>
      <c r="U514" s="101"/>
    </row>
    <row r="515" spans="1:21" x14ac:dyDescent="0.45">
      <c r="A515" s="99"/>
      <c r="B515" s="249" t="s">
        <v>879</v>
      </c>
      <c r="C515" s="106" t="s">
        <v>455</v>
      </c>
      <c r="D515" s="81">
        <v>7</v>
      </c>
      <c r="E515" s="40">
        <v>98500</v>
      </c>
      <c r="F515" s="40">
        <v>98500</v>
      </c>
      <c r="G515" s="50">
        <v>426600</v>
      </c>
      <c r="H515" s="241" t="s">
        <v>887</v>
      </c>
      <c r="I515" s="81" t="s">
        <v>457</v>
      </c>
      <c r="J515" s="81">
        <v>5</v>
      </c>
      <c r="K515" s="40">
        <v>58900</v>
      </c>
      <c r="L515" s="40">
        <v>54900</v>
      </c>
      <c r="M515" s="50">
        <v>255700</v>
      </c>
      <c r="N515" s="102"/>
      <c r="O515" s="102"/>
      <c r="P515" s="103"/>
      <c r="Q515" s="103"/>
      <c r="R515" s="104"/>
      <c r="S515" s="104"/>
      <c r="T515" s="104"/>
      <c r="U515" s="101"/>
    </row>
    <row r="516" spans="1:21" ht="17.5" thickBot="1" x14ac:dyDescent="0.5">
      <c r="A516" s="99"/>
      <c r="B516" s="249" t="s">
        <v>879</v>
      </c>
      <c r="C516" s="85" t="s">
        <v>457</v>
      </c>
      <c r="D516" s="85">
        <v>5</v>
      </c>
      <c r="E516" s="39">
        <v>120500</v>
      </c>
      <c r="F516" s="39">
        <v>120500</v>
      </c>
      <c r="G516" s="51">
        <v>440500</v>
      </c>
      <c r="H516" s="242" t="s">
        <v>887</v>
      </c>
      <c r="I516" s="86" t="s">
        <v>183</v>
      </c>
      <c r="J516" s="86">
        <v>5</v>
      </c>
      <c r="K516" s="55">
        <v>53900</v>
      </c>
      <c r="L516" s="55">
        <v>49900</v>
      </c>
      <c r="M516" s="56">
        <v>240700</v>
      </c>
      <c r="N516" s="102"/>
      <c r="O516" s="102"/>
      <c r="P516" s="103"/>
      <c r="Q516" s="103"/>
      <c r="R516" s="104"/>
      <c r="S516" s="104"/>
      <c r="T516" s="104"/>
      <c r="U516" s="101"/>
    </row>
    <row r="517" spans="1:21" ht="17.5" thickTop="1" x14ac:dyDescent="0.45">
      <c r="A517" s="99"/>
      <c r="B517" s="249" t="s">
        <v>879</v>
      </c>
      <c r="C517" s="81" t="s">
        <v>457</v>
      </c>
      <c r="D517" s="81">
        <v>7</v>
      </c>
      <c r="E517" s="40">
        <v>94500</v>
      </c>
      <c r="F517" s="40">
        <v>94500</v>
      </c>
      <c r="G517" s="50">
        <v>414900</v>
      </c>
      <c r="H517" s="244" t="s">
        <v>720</v>
      </c>
      <c r="I517" s="239" t="s">
        <v>824</v>
      </c>
      <c r="J517" s="239"/>
      <c r="K517" s="222" t="s">
        <v>892</v>
      </c>
      <c r="L517" s="222"/>
      <c r="M517" s="223"/>
      <c r="N517" s="102"/>
      <c r="O517" s="102"/>
      <c r="P517" s="103"/>
      <c r="Q517" s="103"/>
      <c r="R517" s="104"/>
      <c r="S517" s="104"/>
      <c r="T517" s="104"/>
      <c r="U517" s="101"/>
    </row>
    <row r="518" spans="1:21" x14ac:dyDescent="0.45">
      <c r="A518" s="99"/>
      <c r="B518" s="249" t="s">
        <v>879</v>
      </c>
      <c r="C518" s="85" t="s">
        <v>183</v>
      </c>
      <c r="D518" s="85">
        <v>5</v>
      </c>
      <c r="E518" s="39">
        <v>115500</v>
      </c>
      <c r="F518" s="39">
        <v>115500</v>
      </c>
      <c r="G518" s="51">
        <v>425500</v>
      </c>
      <c r="H518" s="245"/>
      <c r="I518" s="240"/>
      <c r="J518" s="240"/>
      <c r="K518" s="95" t="s">
        <v>611</v>
      </c>
      <c r="L518" s="95" t="s">
        <v>612</v>
      </c>
      <c r="M518" s="88" t="s">
        <v>593</v>
      </c>
      <c r="N518" s="102"/>
      <c r="O518" s="102"/>
      <c r="P518" s="103"/>
      <c r="Q518" s="103"/>
      <c r="R518" s="104"/>
      <c r="S518" s="104"/>
      <c r="T518" s="104"/>
      <c r="U518" s="101"/>
    </row>
    <row r="519" spans="1:21" ht="17.5" thickBot="1" x14ac:dyDescent="0.5">
      <c r="A519" s="99"/>
      <c r="B519" s="257" t="s">
        <v>879</v>
      </c>
      <c r="C519" s="81" t="s">
        <v>183</v>
      </c>
      <c r="D519" s="81">
        <v>7</v>
      </c>
      <c r="E519" s="40">
        <v>89500</v>
      </c>
      <c r="F519" s="40">
        <v>89500</v>
      </c>
      <c r="G519" s="50">
        <v>403200</v>
      </c>
      <c r="H519" s="263" t="s">
        <v>885</v>
      </c>
      <c r="I519" s="85" t="s">
        <v>896</v>
      </c>
      <c r="J519" s="85">
        <v>5</v>
      </c>
      <c r="K519" s="39">
        <v>74900</v>
      </c>
      <c r="L519" s="39">
        <v>68900</v>
      </c>
      <c r="M519" s="51">
        <v>303700</v>
      </c>
      <c r="N519" s="102"/>
      <c r="O519" s="102"/>
      <c r="P519" s="103"/>
      <c r="Q519" s="103"/>
      <c r="R519" s="104"/>
      <c r="S519" s="104"/>
      <c r="T519" s="104"/>
      <c r="U519" s="101"/>
    </row>
    <row r="520" spans="1:21" ht="17.5" thickTop="1" x14ac:dyDescent="0.45">
      <c r="A520" s="99"/>
      <c r="B520" s="244" t="s">
        <v>720</v>
      </c>
      <c r="C520" s="239" t="s">
        <v>824</v>
      </c>
      <c r="D520" s="239"/>
      <c r="E520" s="222" t="s">
        <v>895</v>
      </c>
      <c r="F520" s="222"/>
      <c r="G520" s="223"/>
      <c r="H520" s="241" t="s">
        <v>885</v>
      </c>
      <c r="I520" s="81" t="s">
        <v>457</v>
      </c>
      <c r="J520" s="81">
        <v>5</v>
      </c>
      <c r="K520" s="40">
        <v>71900</v>
      </c>
      <c r="L520" s="40">
        <v>65900</v>
      </c>
      <c r="M520" s="50">
        <v>294700</v>
      </c>
      <c r="N520" s="102"/>
      <c r="O520" s="102"/>
      <c r="P520" s="103"/>
      <c r="Q520" s="103"/>
      <c r="R520" s="104"/>
      <c r="S520" s="104"/>
      <c r="T520" s="104"/>
      <c r="U520" s="101"/>
    </row>
    <row r="521" spans="1:21" ht="17.5" thickBot="1" x14ac:dyDescent="0.5">
      <c r="A521" s="99"/>
      <c r="B521" s="245"/>
      <c r="C521" s="240"/>
      <c r="D521" s="240"/>
      <c r="E521" s="95" t="s">
        <v>611</v>
      </c>
      <c r="F521" s="95" t="s">
        <v>612</v>
      </c>
      <c r="G521" s="88" t="s">
        <v>593</v>
      </c>
      <c r="H521" s="242" t="s">
        <v>885</v>
      </c>
      <c r="I521" s="86" t="s">
        <v>183</v>
      </c>
      <c r="J521" s="86">
        <v>5</v>
      </c>
      <c r="K521" s="55">
        <v>66900</v>
      </c>
      <c r="L521" s="55">
        <v>60900</v>
      </c>
      <c r="M521" s="56">
        <v>279700</v>
      </c>
      <c r="N521" s="102"/>
      <c r="O521" s="102"/>
      <c r="P521" s="103"/>
      <c r="Q521" s="103"/>
      <c r="R521" s="104"/>
      <c r="S521" s="104"/>
      <c r="T521" s="104"/>
      <c r="U521" s="101"/>
    </row>
    <row r="522" spans="1:21" ht="17.5" thickTop="1" x14ac:dyDescent="0.45">
      <c r="A522" s="99"/>
      <c r="B522" s="256" t="s">
        <v>642</v>
      </c>
      <c r="C522" s="105" t="s">
        <v>896</v>
      </c>
      <c r="D522" s="85">
        <v>5</v>
      </c>
      <c r="E522" s="39">
        <v>113500</v>
      </c>
      <c r="F522" s="39">
        <v>113500</v>
      </c>
      <c r="G522" s="51">
        <v>419500</v>
      </c>
      <c r="H522" s="244" t="s">
        <v>720</v>
      </c>
      <c r="I522" s="239" t="s">
        <v>824</v>
      </c>
      <c r="J522" s="239"/>
      <c r="K522" s="222" t="s">
        <v>894</v>
      </c>
      <c r="L522" s="222"/>
      <c r="M522" s="223"/>
      <c r="N522" s="102"/>
      <c r="O522" s="102"/>
      <c r="P522" s="103"/>
      <c r="Q522" s="103"/>
      <c r="R522" s="104"/>
      <c r="S522" s="104"/>
      <c r="T522" s="104"/>
      <c r="U522" s="101"/>
    </row>
    <row r="523" spans="1:21" x14ac:dyDescent="0.45">
      <c r="A523" s="99"/>
      <c r="B523" s="249" t="s">
        <v>880</v>
      </c>
      <c r="C523" s="106" t="s">
        <v>455</v>
      </c>
      <c r="D523" s="81">
        <v>7</v>
      </c>
      <c r="E523" s="40">
        <v>91500</v>
      </c>
      <c r="F523" s="40">
        <v>91500</v>
      </c>
      <c r="G523" s="50">
        <v>414900</v>
      </c>
      <c r="H523" s="245"/>
      <c r="I523" s="240"/>
      <c r="J523" s="240"/>
      <c r="K523" s="95" t="s">
        <v>611</v>
      </c>
      <c r="L523" s="95" t="s">
        <v>612</v>
      </c>
      <c r="M523" s="88" t="s">
        <v>593</v>
      </c>
      <c r="N523" s="102"/>
      <c r="O523" s="102"/>
      <c r="P523" s="103"/>
      <c r="Q523" s="103"/>
      <c r="R523" s="104"/>
      <c r="S523" s="104"/>
      <c r="T523" s="104"/>
      <c r="U523" s="101"/>
    </row>
    <row r="524" spans="1:21" x14ac:dyDescent="0.45">
      <c r="A524" s="99"/>
      <c r="B524" s="249" t="s">
        <v>880</v>
      </c>
      <c r="C524" s="85" t="s">
        <v>457</v>
      </c>
      <c r="D524" s="85">
        <v>5</v>
      </c>
      <c r="E524" s="39">
        <v>109500</v>
      </c>
      <c r="F524" s="39">
        <v>109500</v>
      </c>
      <c r="G524" s="51">
        <v>407500</v>
      </c>
      <c r="H524" s="263" t="s">
        <v>886</v>
      </c>
      <c r="I524" s="85" t="s">
        <v>896</v>
      </c>
      <c r="J524" s="85">
        <v>5</v>
      </c>
      <c r="K524" s="39">
        <v>76900</v>
      </c>
      <c r="L524" s="39">
        <v>70900</v>
      </c>
      <c r="M524" s="51">
        <v>309700</v>
      </c>
      <c r="N524" s="102"/>
      <c r="O524" s="102"/>
      <c r="P524" s="103"/>
      <c r="Q524" s="103"/>
      <c r="R524" s="104"/>
      <c r="S524" s="104"/>
      <c r="T524" s="104"/>
      <c r="U524" s="101"/>
    </row>
    <row r="525" spans="1:21" x14ac:dyDescent="0.45">
      <c r="A525" s="99"/>
      <c r="B525" s="249" t="s">
        <v>880</v>
      </c>
      <c r="C525" s="81" t="s">
        <v>457</v>
      </c>
      <c r="D525" s="81">
        <v>7</v>
      </c>
      <c r="E525" s="40">
        <v>87500</v>
      </c>
      <c r="F525" s="40">
        <v>87500</v>
      </c>
      <c r="G525" s="50">
        <v>403200</v>
      </c>
      <c r="H525" s="241" t="s">
        <v>886</v>
      </c>
      <c r="I525" s="81" t="s">
        <v>13</v>
      </c>
      <c r="J525" s="81">
        <v>5</v>
      </c>
      <c r="K525" s="40">
        <v>73900</v>
      </c>
      <c r="L525" s="40">
        <v>67900</v>
      </c>
      <c r="M525" s="50">
        <v>300700</v>
      </c>
      <c r="N525" s="102"/>
      <c r="O525" s="102"/>
      <c r="P525" s="103"/>
      <c r="Q525" s="103"/>
      <c r="R525" s="104"/>
      <c r="S525" s="104"/>
      <c r="T525" s="104"/>
      <c r="U525" s="101"/>
    </row>
    <row r="526" spans="1:21" ht="17.5" thickBot="1" x14ac:dyDescent="0.5">
      <c r="A526" s="99"/>
      <c r="B526" s="249" t="s">
        <v>880</v>
      </c>
      <c r="C526" s="85" t="s">
        <v>183</v>
      </c>
      <c r="D526" s="85">
        <v>5</v>
      </c>
      <c r="E526" s="39">
        <v>104500</v>
      </c>
      <c r="F526" s="39">
        <v>104500</v>
      </c>
      <c r="G526" s="51">
        <v>392500</v>
      </c>
      <c r="H526" s="242" t="s">
        <v>886</v>
      </c>
      <c r="I526" s="82" t="s">
        <v>183</v>
      </c>
      <c r="J526" s="82">
        <v>5</v>
      </c>
      <c r="K526" s="66">
        <v>68900</v>
      </c>
      <c r="L526" s="66">
        <v>62900</v>
      </c>
      <c r="M526" s="67">
        <v>285700</v>
      </c>
      <c r="N526" s="102"/>
      <c r="O526" s="102"/>
      <c r="P526" s="103"/>
      <c r="Q526" s="103"/>
      <c r="R526" s="104"/>
      <c r="S526" s="104"/>
      <c r="T526" s="104"/>
      <c r="U526" s="101"/>
    </row>
    <row r="527" spans="1:21" ht="18" thickTop="1" thickBot="1" x14ac:dyDescent="0.5">
      <c r="A527" s="99"/>
      <c r="B527" s="250" t="s">
        <v>880</v>
      </c>
      <c r="C527" s="82" t="s">
        <v>183</v>
      </c>
      <c r="D527" s="82">
        <v>7</v>
      </c>
      <c r="E527" s="66">
        <v>82500</v>
      </c>
      <c r="F527" s="66">
        <v>82500</v>
      </c>
      <c r="G527" s="67">
        <v>391500</v>
      </c>
      <c r="H527" s="99"/>
      <c r="I527" s="99"/>
      <c r="J527" s="99"/>
      <c r="K527" s="99"/>
      <c r="L527" s="99"/>
      <c r="M527" s="99"/>
      <c r="N527" s="102"/>
      <c r="O527" s="102"/>
      <c r="P527" s="103"/>
      <c r="Q527" s="103"/>
      <c r="R527" s="104"/>
      <c r="S527" s="104"/>
      <c r="T527" s="104"/>
      <c r="U527" s="101"/>
    </row>
    <row r="528" spans="1:21" ht="17.5" thickTop="1" x14ac:dyDescent="0.45">
      <c r="N528" s="102"/>
      <c r="O528" s="102"/>
      <c r="P528" s="103"/>
      <c r="Q528" s="103"/>
      <c r="R528" s="104"/>
      <c r="S528" s="104"/>
      <c r="T528" s="104"/>
      <c r="U528" s="101"/>
    </row>
    <row r="529" spans="2:20" ht="18" thickBot="1" x14ac:dyDescent="0.5">
      <c r="B529" s="70" t="s">
        <v>901</v>
      </c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109"/>
    </row>
    <row r="530" spans="2:20" ht="17.5" thickTop="1" x14ac:dyDescent="0.45">
      <c r="B530" s="244" t="s">
        <v>720</v>
      </c>
      <c r="C530" s="239" t="s">
        <v>824</v>
      </c>
      <c r="D530" s="239"/>
      <c r="E530" s="222" t="s">
        <v>905</v>
      </c>
      <c r="F530" s="222"/>
      <c r="G530" s="223"/>
      <c r="H530" s="244" t="s">
        <v>823</v>
      </c>
      <c r="I530" s="239" t="s">
        <v>824</v>
      </c>
      <c r="J530" s="239"/>
      <c r="K530" s="222" t="s">
        <v>602</v>
      </c>
      <c r="L530" s="222"/>
      <c r="M530" s="223"/>
      <c r="N530" s="96"/>
      <c r="O530" s="96"/>
      <c r="P530" s="38"/>
      <c r="Q530" s="38"/>
      <c r="R530" s="97"/>
      <c r="S530" s="97"/>
      <c r="T530" s="97"/>
    </row>
    <row r="531" spans="2:20" x14ac:dyDescent="0.45">
      <c r="B531" s="245"/>
      <c r="C531" s="240"/>
      <c r="D531" s="240"/>
      <c r="E531" s="108" t="s">
        <v>611</v>
      </c>
      <c r="F531" s="108" t="s">
        <v>612</v>
      </c>
      <c r="G531" s="88" t="s">
        <v>593</v>
      </c>
      <c r="H531" s="245"/>
      <c r="I531" s="240"/>
      <c r="J531" s="240"/>
      <c r="K531" s="108" t="s">
        <v>611</v>
      </c>
      <c r="L531" s="108" t="s">
        <v>612</v>
      </c>
      <c r="M531" s="88" t="s">
        <v>593</v>
      </c>
      <c r="N531" s="98"/>
      <c r="O531" s="98"/>
      <c r="P531" s="100"/>
      <c r="Q531" s="38"/>
      <c r="R531" s="97"/>
      <c r="S531" s="97"/>
      <c r="T531" s="97"/>
    </row>
    <row r="532" spans="2:20" x14ac:dyDescent="0.45">
      <c r="B532" s="256" t="s">
        <v>902</v>
      </c>
      <c r="C532" s="85" t="s">
        <v>903</v>
      </c>
      <c r="D532" s="85">
        <v>5</v>
      </c>
      <c r="E532" s="39">
        <v>22900</v>
      </c>
      <c r="F532" s="39">
        <v>20900</v>
      </c>
      <c r="G532" s="51">
        <v>209100</v>
      </c>
      <c r="H532" s="256" t="s">
        <v>904</v>
      </c>
      <c r="I532" s="85" t="s">
        <v>903</v>
      </c>
      <c r="J532" s="85">
        <v>5</v>
      </c>
      <c r="K532" s="39">
        <v>26900</v>
      </c>
      <c r="L532" s="39">
        <v>24900</v>
      </c>
      <c r="M532" s="51">
        <v>220300</v>
      </c>
      <c r="N532" s="99"/>
      <c r="O532" s="99"/>
      <c r="P532" s="99"/>
    </row>
    <row r="533" spans="2:20" x14ac:dyDescent="0.45">
      <c r="B533" s="249" t="s">
        <v>182</v>
      </c>
      <c r="C533" s="81" t="s">
        <v>596</v>
      </c>
      <c r="D533" s="81">
        <v>6</v>
      </c>
      <c r="E533" s="40">
        <v>20900</v>
      </c>
      <c r="F533" s="40">
        <v>18900</v>
      </c>
      <c r="G533" s="50">
        <v>240500</v>
      </c>
      <c r="H533" s="249" t="s">
        <v>598</v>
      </c>
      <c r="I533" s="81" t="s">
        <v>596</v>
      </c>
      <c r="J533" s="81">
        <v>6</v>
      </c>
      <c r="K533" s="40">
        <v>23900</v>
      </c>
      <c r="L533" s="40">
        <v>21900</v>
      </c>
      <c r="M533" s="50">
        <v>253300</v>
      </c>
      <c r="N533" s="99"/>
      <c r="O533" s="99"/>
      <c r="P533" s="99"/>
    </row>
    <row r="534" spans="2:20" x14ac:dyDescent="0.45">
      <c r="B534" s="249" t="s">
        <v>182</v>
      </c>
      <c r="C534" s="86" t="s">
        <v>596</v>
      </c>
      <c r="D534" s="86">
        <v>7</v>
      </c>
      <c r="E534" s="55">
        <v>18900</v>
      </c>
      <c r="F534" s="55">
        <v>16900</v>
      </c>
      <c r="G534" s="56">
        <v>240500</v>
      </c>
      <c r="H534" s="249" t="s">
        <v>598</v>
      </c>
      <c r="I534" s="86" t="s">
        <v>596</v>
      </c>
      <c r="J534" s="86">
        <v>7</v>
      </c>
      <c r="K534" s="55">
        <v>21900</v>
      </c>
      <c r="L534" s="55">
        <v>19900</v>
      </c>
      <c r="M534" s="56">
        <v>253300</v>
      </c>
      <c r="N534" s="99"/>
      <c r="O534" s="99"/>
      <c r="P534" s="99"/>
    </row>
    <row r="535" spans="2:20" x14ac:dyDescent="0.45">
      <c r="B535" s="249" t="s">
        <v>182</v>
      </c>
      <c r="C535" s="85" t="s">
        <v>183</v>
      </c>
      <c r="D535" s="85">
        <v>5</v>
      </c>
      <c r="E535" s="39">
        <v>20900</v>
      </c>
      <c r="F535" s="39">
        <v>18900</v>
      </c>
      <c r="G535" s="51">
        <v>197900</v>
      </c>
      <c r="H535" s="249" t="s">
        <v>598</v>
      </c>
      <c r="I535" s="85" t="s">
        <v>183</v>
      </c>
      <c r="J535" s="85">
        <v>5</v>
      </c>
      <c r="K535" s="39">
        <v>24900</v>
      </c>
      <c r="L535" s="39">
        <v>22900</v>
      </c>
      <c r="M535" s="51">
        <v>209100</v>
      </c>
    </row>
    <row r="536" spans="2:20" x14ac:dyDescent="0.45">
      <c r="B536" s="249" t="s">
        <v>182</v>
      </c>
      <c r="C536" s="81" t="s">
        <v>183</v>
      </c>
      <c r="D536" s="81">
        <v>6</v>
      </c>
      <c r="E536" s="40">
        <v>18900</v>
      </c>
      <c r="F536" s="40">
        <v>16900</v>
      </c>
      <c r="G536" s="50">
        <v>227600</v>
      </c>
      <c r="H536" s="249" t="s">
        <v>598</v>
      </c>
      <c r="I536" s="81" t="s">
        <v>183</v>
      </c>
      <c r="J536" s="81">
        <v>6</v>
      </c>
      <c r="K536" s="40">
        <v>21900</v>
      </c>
      <c r="L536" s="40">
        <v>19900</v>
      </c>
      <c r="M536" s="50">
        <v>240500</v>
      </c>
    </row>
    <row r="537" spans="2:20" ht="17.5" thickBot="1" x14ac:dyDescent="0.5">
      <c r="B537" s="250" t="s">
        <v>182</v>
      </c>
      <c r="C537" s="82" t="s">
        <v>183</v>
      </c>
      <c r="D537" s="82">
        <v>7</v>
      </c>
      <c r="E537" s="66">
        <v>16900</v>
      </c>
      <c r="F537" s="66">
        <v>14900</v>
      </c>
      <c r="G537" s="67">
        <v>227600</v>
      </c>
      <c r="H537" s="250" t="s">
        <v>598</v>
      </c>
      <c r="I537" s="82" t="s">
        <v>183</v>
      </c>
      <c r="J537" s="82">
        <v>7</v>
      </c>
      <c r="K537" s="66">
        <v>19900</v>
      </c>
      <c r="L537" s="66">
        <v>17900</v>
      </c>
      <c r="M537" s="67">
        <v>240500</v>
      </c>
    </row>
    <row r="538" spans="2:20" ht="17.5" thickTop="1" x14ac:dyDescent="0.45"/>
    <row r="539" spans="2:20" ht="18" thickBot="1" x14ac:dyDescent="0.5">
      <c r="B539" s="70" t="s">
        <v>1034</v>
      </c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</row>
    <row r="540" spans="2:20" ht="17.5" thickTop="1" x14ac:dyDescent="0.45">
      <c r="B540" s="244"/>
      <c r="C540" s="226" t="s">
        <v>1031</v>
      </c>
      <c r="D540" s="218" t="s">
        <v>824</v>
      </c>
      <c r="E540" s="219"/>
      <c r="F540" s="222" t="s">
        <v>1029</v>
      </c>
      <c r="G540" s="222"/>
      <c r="H540" s="223"/>
    </row>
    <row r="541" spans="2:20" x14ac:dyDescent="0.45">
      <c r="B541" s="245"/>
      <c r="C541" s="243"/>
      <c r="D541" s="264"/>
      <c r="E541" s="265"/>
      <c r="F541" s="128" t="s">
        <v>611</v>
      </c>
      <c r="G541" s="128" t="s">
        <v>612</v>
      </c>
      <c r="H541" s="88" t="s">
        <v>593</v>
      </c>
    </row>
    <row r="542" spans="2:20" x14ac:dyDescent="0.45">
      <c r="B542" s="228" t="s">
        <v>1030</v>
      </c>
      <c r="C542" s="85" t="s">
        <v>1024</v>
      </c>
      <c r="D542" s="234" t="s">
        <v>1032</v>
      </c>
      <c r="E542" s="85" t="s">
        <v>1033</v>
      </c>
      <c r="F542" s="39">
        <v>31900</v>
      </c>
      <c r="G542" s="39"/>
      <c r="H542" s="51">
        <v>218300</v>
      </c>
    </row>
    <row r="543" spans="2:20" x14ac:dyDescent="0.45">
      <c r="B543" s="241"/>
      <c r="C543" s="84" t="s">
        <v>1025</v>
      </c>
      <c r="D543" s="237"/>
      <c r="E543" s="84" t="s">
        <v>1033</v>
      </c>
      <c r="F543" s="46">
        <v>29900</v>
      </c>
      <c r="G543" s="46"/>
      <c r="H543" s="49">
        <v>208100</v>
      </c>
    </row>
    <row r="544" spans="2:20" x14ac:dyDescent="0.45">
      <c r="B544" s="241"/>
      <c r="C544" s="81" t="s">
        <v>1026</v>
      </c>
      <c r="D544" s="237"/>
      <c r="E544" s="81" t="s">
        <v>1033</v>
      </c>
      <c r="F544" s="40">
        <v>33500</v>
      </c>
      <c r="G544" s="40"/>
      <c r="H544" s="50">
        <v>228300</v>
      </c>
    </row>
    <row r="545" spans="2:15" ht="17.5" thickBot="1" x14ac:dyDescent="0.5">
      <c r="B545" s="242"/>
      <c r="C545" s="82" t="s">
        <v>1027</v>
      </c>
      <c r="D545" s="238"/>
      <c r="E545" s="82" t="s">
        <v>1033</v>
      </c>
      <c r="F545" s="66">
        <v>31400</v>
      </c>
      <c r="G545" s="66"/>
      <c r="H545" s="67">
        <v>218300</v>
      </c>
    </row>
    <row r="546" spans="2:15" ht="17.5" thickTop="1" x14ac:dyDescent="0.45"/>
    <row r="547" spans="2:15" ht="18" thickBot="1" x14ac:dyDescent="0.5">
      <c r="B547" s="70" t="s">
        <v>1042</v>
      </c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</row>
    <row r="548" spans="2:15" ht="17.5" thickTop="1" x14ac:dyDescent="0.45">
      <c r="B548" s="224" t="s">
        <v>720</v>
      </c>
      <c r="C548" s="226" t="s">
        <v>1031</v>
      </c>
      <c r="D548" s="218" t="s">
        <v>824</v>
      </c>
      <c r="E548" s="219"/>
      <c r="F548" s="222" t="s">
        <v>1043</v>
      </c>
      <c r="G548" s="222"/>
      <c r="H548" s="223"/>
    </row>
    <row r="549" spans="2:15" x14ac:dyDescent="0.45">
      <c r="B549" s="225"/>
      <c r="C549" s="227"/>
      <c r="D549" s="220"/>
      <c r="E549" s="221"/>
      <c r="F549" s="131" t="s">
        <v>611</v>
      </c>
      <c r="G549" s="131" t="s">
        <v>612</v>
      </c>
      <c r="H549" s="88" t="s">
        <v>593</v>
      </c>
    </row>
    <row r="550" spans="2:15" x14ac:dyDescent="0.45">
      <c r="B550" s="263" t="s">
        <v>1040</v>
      </c>
      <c r="C550" s="234" t="s">
        <v>1044</v>
      </c>
      <c r="D550" s="167" t="s">
        <v>858</v>
      </c>
      <c r="E550" s="167" t="s">
        <v>830</v>
      </c>
      <c r="F550" s="168">
        <v>29900</v>
      </c>
      <c r="G550" s="168"/>
      <c r="H550" s="169">
        <v>238200</v>
      </c>
    </row>
    <row r="551" spans="2:15" x14ac:dyDescent="0.45">
      <c r="B551" s="241"/>
      <c r="C551" s="237"/>
      <c r="D551" s="170" t="s">
        <v>869</v>
      </c>
      <c r="E551" s="170" t="s">
        <v>1114</v>
      </c>
      <c r="F551" s="171">
        <v>28400</v>
      </c>
      <c r="G551" s="171"/>
      <c r="H551" s="172">
        <v>262000</v>
      </c>
    </row>
    <row r="552" spans="2:15" ht="17.5" thickBot="1" x14ac:dyDescent="0.5">
      <c r="B552" s="242"/>
      <c r="C552" s="238"/>
      <c r="D552" s="173" t="s">
        <v>869</v>
      </c>
      <c r="E552" s="173" t="s">
        <v>832</v>
      </c>
      <c r="F552" s="174">
        <v>26400</v>
      </c>
      <c r="G552" s="174"/>
      <c r="H552" s="175">
        <v>262000</v>
      </c>
    </row>
    <row r="553" spans="2:15" ht="17.5" thickTop="1" x14ac:dyDescent="0.45"/>
    <row r="554" spans="2:15" ht="18" thickBot="1" x14ac:dyDescent="0.5">
      <c r="B554" s="70" t="s">
        <v>1102</v>
      </c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</row>
    <row r="555" spans="2:15" ht="17.5" thickTop="1" x14ac:dyDescent="0.45">
      <c r="B555" s="224" t="s">
        <v>720</v>
      </c>
      <c r="C555" s="226" t="s">
        <v>1031</v>
      </c>
      <c r="D555" s="218" t="s">
        <v>824</v>
      </c>
      <c r="E555" s="219"/>
      <c r="F555" s="222" t="s">
        <v>1103</v>
      </c>
      <c r="G555" s="222"/>
      <c r="H555" s="223"/>
    </row>
    <row r="556" spans="2:15" x14ac:dyDescent="0.45">
      <c r="B556" s="225"/>
      <c r="C556" s="227"/>
      <c r="D556" s="220"/>
      <c r="E556" s="221"/>
      <c r="F556" s="152" t="s">
        <v>611</v>
      </c>
      <c r="G556" s="152" t="s">
        <v>612</v>
      </c>
      <c r="H556" s="88" t="s">
        <v>593</v>
      </c>
    </row>
    <row r="557" spans="2:15" x14ac:dyDescent="0.45">
      <c r="B557" s="228" t="s">
        <v>1074</v>
      </c>
      <c r="C557" s="234" t="s">
        <v>1104</v>
      </c>
      <c r="D557" s="234" t="s">
        <v>1202</v>
      </c>
      <c r="E557" s="85" t="s">
        <v>829</v>
      </c>
      <c r="F557" s="39">
        <v>44900</v>
      </c>
      <c r="G557" s="39"/>
      <c r="H557" s="51">
        <v>283200</v>
      </c>
    </row>
    <row r="558" spans="2:15" x14ac:dyDescent="0.45">
      <c r="B558" s="229"/>
      <c r="C558" s="237"/>
      <c r="D558" s="237"/>
      <c r="E558" s="84" t="s">
        <v>1201</v>
      </c>
      <c r="F558" s="46">
        <v>41900</v>
      </c>
      <c r="G558" s="46"/>
      <c r="H558" s="49">
        <v>311500</v>
      </c>
    </row>
    <row r="559" spans="2:15" x14ac:dyDescent="0.45">
      <c r="B559" s="229"/>
      <c r="C559" s="237"/>
      <c r="D559" s="235"/>
      <c r="E559" s="84" t="s">
        <v>831</v>
      </c>
      <c r="F559" s="46">
        <v>38900</v>
      </c>
      <c r="G559" s="46"/>
      <c r="H559" s="49">
        <v>311500</v>
      </c>
    </row>
    <row r="560" spans="2:15" x14ac:dyDescent="0.45">
      <c r="B560" s="229"/>
      <c r="C560" s="237"/>
      <c r="D560" s="236" t="s">
        <v>1203</v>
      </c>
      <c r="E560" s="181" t="s">
        <v>829</v>
      </c>
      <c r="F560" s="46">
        <v>37900</v>
      </c>
      <c r="G560" s="46"/>
      <c r="H560" s="49">
        <v>271900</v>
      </c>
    </row>
    <row r="561" spans="2:15" x14ac:dyDescent="0.45">
      <c r="B561" s="229"/>
      <c r="C561" s="237"/>
      <c r="D561" s="237"/>
      <c r="E561" s="181" t="s">
        <v>1201</v>
      </c>
      <c r="F561" s="46">
        <v>34900</v>
      </c>
      <c r="G561" s="46"/>
      <c r="H561" s="49">
        <v>299100</v>
      </c>
    </row>
    <row r="562" spans="2:15" x14ac:dyDescent="0.45">
      <c r="B562" s="229"/>
      <c r="C562" s="237"/>
      <c r="D562" s="235"/>
      <c r="E562" s="181" t="s">
        <v>831</v>
      </c>
      <c r="F562" s="46">
        <v>31900</v>
      </c>
      <c r="G562" s="46"/>
      <c r="H562" s="49">
        <v>299100</v>
      </c>
    </row>
    <row r="563" spans="2:15" x14ac:dyDescent="0.45">
      <c r="B563" s="241"/>
      <c r="C563" s="237"/>
      <c r="D563" s="236" t="s">
        <v>858</v>
      </c>
      <c r="E563" s="84" t="s">
        <v>830</v>
      </c>
      <c r="F563" s="46">
        <v>31900</v>
      </c>
      <c r="G563" s="46"/>
      <c r="H563" s="49">
        <v>249500</v>
      </c>
    </row>
    <row r="564" spans="2:15" x14ac:dyDescent="0.45">
      <c r="B564" s="241"/>
      <c r="C564" s="237"/>
      <c r="D564" s="237"/>
      <c r="E564" s="81" t="s">
        <v>1114</v>
      </c>
      <c r="F564" s="40">
        <v>28900</v>
      </c>
      <c r="G564" s="40"/>
      <c r="H564" s="50">
        <v>274500</v>
      </c>
    </row>
    <row r="565" spans="2:15" ht="17.5" thickBot="1" x14ac:dyDescent="0.5">
      <c r="B565" s="242"/>
      <c r="C565" s="238"/>
      <c r="D565" s="238"/>
      <c r="E565" s="82" t="s">
        <v>832</v>
      </c>
      <c r="F565" s="66">
        <v>25900</v>
      </c>
      <c r="G565" s="66"/>
      <c r="H565" s="67">
        <v>274500</v>
      </c>
    </row>
    <row r="566" spans="2:15" ht="17.5" thickTop="1" x14ac:dyDescent="0.45"/>
    <row r="567" spans="2:15" ht="18" thickBot="1" x14ac:dyDescent="0.5">
      <c r="B567" s="70" t="s">
        <v>1184</v>
      </c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</row>
    <row r="568" spans="2:15" ht="17.5" thickTop="1" x14ac:dyDescent="0.45">
      <c r="B568" s="224" t="s">
        <v>720</v>
      </c>
      <c r="C568" s="226" t="s">
        <v>1031</v>
      </c>
      <c r="D568" s="218" t="s">
        <v>824</v>
      </c>
      <c r="E568" s="219"/>
      <c r="F568" s="222" t="s">
        <v>1189</v>
      </c>
      <c r="G568" s="222"/>
      <c r="H568" s="223"/>
      <c r="I568" s="224" t="s">
        <v>720</v>
      </c>
      <c r="J568" s="226" t="s">
        <v>1031</v>
      </c>
      <c r="K568" s="218" t="s">
        <v>824</v>
      </c>
      <c r="L568" s="219"/>
      <c r="M568" s="222" t="s">
        <v>1190</v>
      </c>
      <c r="N568" s="222"/>
      <c r="O568" s="223"/>
    </row>
    <row r="569" spans="2:15" x14ac:dyDescent="0.45">
      <c r="B569" s="225"/>
      <c r="C569" s="227"/>
      <c r="D569" s="220"/>
      <c r="E569" s="221"/>
      <c r="F569" s="177" t="s">
        <v>611</v>
      </c>
      <c r="G569" s="177" t="s">
        <v>612</v>
      </c>
      <c r="H569" s="88" t="s">
        <v>593</v>
      </c>
      <c r="I569" s="225"/>
      <c r="J569" s="227"/>
      <c r="K569" s="220"/>
      <c r="L569" s="221"/>
      <c r="M569" s="177" t="s">
        <v>611</v>
      </c>
      <c r="N569" s="177" t="s">
        <v>612</v>
      </c>
      <c r="O569" s="88" t="s">
        <v>593</v>
      </c>
    </row>
    <row r="570" spans="2:15" ht="17" customHeight="1" x14ac:dyDescent="0.45">
      <c r="B570" s="228" t="s">
        <v>1185</v>
      </c>
      <c r="C570" s="231" t="s">
        <v>1187</v>
      </c>
      <c r="D570" s="234" t="s">
        <v>869</v>
      </c>
      <c r="E570" s="85">
        <v>5</v>
      </c>
      <c r="F570" s="39">
        <v>32900</v>
      </c>
      <c r="G570" s="39">
        <v>30900</v>
      </c>
      <c r="H570" s="51">
        <v>251500</v>
      </c>
      <c r="I570" s="228" t="s">
        <v>1185</v>
      </c>
      <c r="J570" s="231" t="s">
        <v>1192</v>
      </c>
      <c r="K570" s="234" t="s">
        <v>869</v>
      </c>
      <c r="L570" s="85">
        <v>5</v>
      </c>
      <c r="M570" s="39">
        <v>25900</v>
      </c>
      <c r="N570" s="39">
        <v>23900</v>
      </c>
      <c r="O570" s="51">
        <v>176240</v>
      </c>
    </row>
    <row r="571" spans="2:15" x14ac:dyDescent="0.45">
      <c r="B571" s="229"/>
      <c r="C571" s="232"/>
      <c r="D571" s="235"/>
      <c r="E571" s="178">
        <v>6</v>
      </c>
      <c r="F571" s="46">
        <v>29900</v>
      </c>
      <c r="G571" s="46">
        <v>27900</v>
      </c>
      <c r="H571" s="49">
        <v>289200</v>
      </c>
      <c r="I571" s="229"/>
      <c r="J571" s="232"/>
      <c r="K571" s="235"/>
      <c r="L571" s="178">
        <v>6</v>
      </c>
      <c r="M571" s="46">
        <v>23900</v>
      </c>
      <c r="N571" s="46">
        <v>21900</v>
      </c>
      <c r="O571" s="49">
        <v>202640</v>
      </c>
    </row>
    <row r="572" spans="2:15" x14ac:dyDescent="0.45">
      <c r="B572" s="229"/>
      <c r="C572" s="232"/>
      <c r="D572" s="236" t="s">
        <v>1188</v>
      </c>
      <c r="E572" s="178">
        <v>5</v>
      </c>
      <c r="F572" s="46">
        <v>30900</v>
      </c>
      <c r="G572" s="46">
        <v>28900</v>
      </c>
      <c r="H572" s="49">
        <v>240200</v>
      </c>
      <c r="I572" s="229"/>
      <c r="J572" s="232"/>
      <c r="K572" s="236" t="s">
        <v>1188</v>
      </c>
      <c r="L572" s="178">
        <v>5</v>
      </c>
      <c r="M572" s="46">
        <v>23900</v>
      </c>
      <c r="N572" s="46">
        <v>21900</v>
      </c>
      <c r="O572" s="49">
        <v>167280</v>
      </c>
    </row>
    <row r="573" spans="2:15" x14ac:dyDescent="0.45">
      <c r="B573" s="229"/>
      <c r="C573" s="232"/>
      <c r="D573" s="237"/>
      <c r="E573" s="179">
        <v>6</v>
      </c>
      <c r="F573" s="58">
        <v>27900</v>
      </c>
      <c r="G573" s="58">
        <v>25900</v>
      </c>
      <c r="H573" s="59">
        <v>276200</v>
      </c>
      <c r="I573" s="229"/>
      <c r="J573" s="232"/>
      <c r="K573" s="237"/>
      <c r="L573" s="179">
        <v>6</v>
      </c>
      <c r="M573" s="58">
        <v>21900</v>
      </c>
      <c r="N573" s="58">
        <v>19900</v>
      </c>
      <c r="O573" s="59">
        <v>192400</v>
      </c>
    </row>
    <row r="574" spans="2:15" x14ac:dyDescent="0.45">
      <c r="B574" s="229"/>
      <c r="C574" s="232"/>
      <c r="D574" s="236" t="s">
        <v>858</v>
      </c>
      <c r="E574" s="81">
        <v>5</v>
      </c>
      <c r="F574" s="40">
        <v>28900</v>
      </c>
      <c r="G574" s="40">
        <v>26900</v>
      </c>
      <c r="H574" s="50">
        <v>231600</v>
      </c>
      <c r="I574" s="229"/>
      <c r="J574" s="232"/>
      <c r="K574" s="236" t="s">
        <v>858</v>
      </c>
      <c r="L574" s="81">
        <v>5</v>
      </c>
      <c r="M574" s="40">
        <v>21900</v>
      </c>
      <c r="N574" s="40">
        <v>19900</v>
      </c>
      <c r="O574" s="50">
        <v>158320</v>
      </c>
    </row>
    <row r="575" spans="2:15" x14ac:dyDescent="0.45">
      <c r="B575" s="229"/>
      <c r="C575" s="232"/>
      <c r="D575" s="235"/>
      <c r="E575" s="178">
        <v>6</v>
      </c>
      <c r="F575" s="46">
        <v>25900</v>
      </c>
      <c r="G575" s="46">
        <v>23900</v>
      </c>
      <c r="H575" s="49">
        <v>266300</v>
      </c>
      <c r="I575" s="229"/>
      <c r="J575" s="232"/>
      <c r="K575" s="235"/>
      <c r="L575" s="178">
        <v>6</v>
      </c>
      <c r="M575" s="46">
        <v>19900</v>
      </c>
      <c r="N575" s="46">
        <v>17900</v>
      </c>
      <c r="O575" s="49">
        <v>182080</v>
      </c>
    </row>
    <row r="576" spans="2:15" x14ac:dyDescent="0.45">
      <c r="B576" s="229"/>
      <c r="C576" s="232"/>
      <c r="D576" s="236" t="s">
        <v>826</v>
      </c>
      <c r="E576" s="178">
        <v>5</v>
      </c>
      <c r="F576" s="46">
        <v>34900</v>
      </c>
      <c r="G576" s="46">
        <v>32900</v>
      </c>
      <c r="H576" s="49">
        <v>251500</v>
      </c>
      <c r="I576" s="229"/>
      <c r="J576" s="232"/>
      <c r="K576" s="236" t="s">
        <v>826</v>
      </c>
      <c r="L576" s="178">
        <v>5</v>
      </c>
      <c r="M576" s="46">
        <v>27900</v>
      </c>
      <c r="N576" s="46">
        <v>25900</v>
      </c>
      <c r="O576" s="49">
        <v>185280</v>
      </c>
    </row>
    <row r="577" spans="2:15" ht="17.5" thickBot="1" x14ac:dyDescent="0.5">
      <c r="B577" s="230"/>
      <c r="C577" s="233"/>
      <c r="D577" s="238"/>
      <c r="E577" s="82">
        <v>6</v>
      </c>
      <c r="F577" s="66">
        <v>31900</v>
      </c>
      <c r="G577" s="66">
        <v>29900</v>
      </c>
      <c r="H577" s="67">
        <v>289200</v>
      </c>
      <c r="I577" s="230"/>
      <c r="J577" s="233"/>
      <c r="K577" s="238"/>
      <c r="L577" s="82">
        <v>6</v>
      </c>
      <c r="M577" s="66">
        <v>25900</v>
      </c>
      <c r="N577" s="66">
        <v>23900</v>
      </c>
      <c r="O577" s="67">
        <v>213040</v>
      </c>
    </row>
    <row r="578" spans="2:15" ht="17.5" thickTop="1" x14ac:dyDescent="0.45">
      <c r="B578" s="224" t="s">
        <v>720</v>
      </c>
      <c r="C578" s="226" t="s">
        <v>1031</v>
      </c>
      <c r="D578" s="218" t="s">
        <v>824</v>
      </c>
      <c r="E578" s="219"/>
      <c r="F578" s="222" t="s">
        <v>1195</v>
      </c>
      <c r="G578" s="222"/>
      <c r="H578" s="223"/>
      <c r="I578" s="224" t="s">
        <v>720</v>
      </c>
      <c r="J578" s="226" t="s">
        <v>1031</v>
      </c>
      <c r="K578" s="218" t="s">
        <v>824</v>
      </c>
      <c r="L578" s="219"/>
      <c r="M578" s="222" t="s">
        <v>1198</v>
      </c>
      <c r="N578" s="222"/>
      <c r="O578" s="223"/>
    </row>
    <row r="579" spans="2:15" x14ac:dyDescent="0.45">
      <c r="B579" s="225"/>
      <c r="C579" s="227"/>
      <c r="D579" s="220"/>
      <c r="E579" s="221"/>
      <c r="F579" s="177" t="s">
        <v>611</v>
      </c>
      <c r="G579" s="177" t="s">
        <v>612</v>
      </c>
      <c r="H579" s="88" t="s">
        <v>593</v>
      </c>
      <c r="I579" s="225"/>
      <c r="J579" s="227"/>
      <c r="K579" s="220"/>
      <c r="L579" s="221"/>
      <c r="M579" s="177" t="s">
        <v>611</v>
      </c>
      <c r="N579" s="177" t="s">
        <v>612</v>
      </c>
      <c r="O579" s="88" t="s">
        <v>593</v>
      </c>
    </row>
    <row r="580" spans="2:15" x14ac:dyDescent="0.45">
      <c r="B580" s="228" t="s">
        <v>1185</v>
      </c>
      <c r="C580" s="231" t="s">
        <v>1194</v>
      </c>
      <c r="D580" s="234" t="s">
        <v>869</v>
      </c>
      <c r="E580" s="85">
        <v>5</v>
      </c>
      <c r="F580" s="39">
        <v>31900</v>
      </c>
      <c r="G580" s="39">
        <v>29900</v>
      </c>
      <c r="H580" s="51">
        <v>240200</v>
      </c>
      <c r="I580" s="228" t="s">
        <v>1185</v>
      </c>
      <c r="J580" s="231" t="s">
        <v>1197</v>
      </c>
      <c r="K580" s="234" t="s">
        <v>869</v>
      </c>
      <c r="L580" s="85">
        <v>5</v>
      </c>
      <c r="M580" s="39">
        <v>34900</v>
      </c>
      <c r="N580" s="39">
        <v>32900</v>
      </c>
      <c r="O580" s="51">
        <v>251500</v>
      </c>
    </row>
    <row r="581" spans="2:15" x14ac:dyDescent="0.45">
      <c r="B581" s="229"/>
      <c r="C581" s="232"/>
      <c r="D581" s="235"/>
      <c r="E581" s="178">
        <v>6</v>
      </c>
      <c r="F581" s="46">
        <v>28900</v>
      </c>
      <c r="G581" s="46">
        <v>26900</v>
      </c>
      <c r="H581" s="49">
        <v>276200</v>
      </c>
      <c r="I581" s="229"/>
      <c r="J581" s="232"/>
      <c r="K581" s="235"/>
      <c r="L581" s="178">
        <v>6</v>
      </c>
      <c r="M581" s="46">
        <v>31900</v>
      </c>
      <c r="N581" s="46">
        <v>29900</v>
      </c>
      <c r="O581" s="49">
        <v>289200</v>
      </c>
    </row>
    <row r="582" spans="2:15" x14ac:dyDescent="0.45">
      <c r="B582" s="229"/>
      <c r="C582" s="232"/>
      <c r="D582" s="236" t="s">
        <v>1188</v>
      </c>
      <c r="E582" s="178">
        <v>5</v>
      </c>
      <c r="F582" s="46">
        <v>29900</v>
      </c>
      <c r="G582" s="46">
        <v>27900</v>
      </c>
      <c r="H582" s="49">
        <v>231600</v>
      </c>
      <c r="I582" s="229"/>
      <c r="J582" s="232"/>
      <c r="K582" s="236" t="s">
        <v>1188</v>
      </c>
      <c r="L582" s="178">
        <v>5</v>
      </c>
      <c r="M582" s="46">
        <v>32900</v>
      </c>
      <c r="N582" s="46">
        <v>30900</v>
      </c>
      <c r="O582" s="49">
        <v>251500</v>
      </c>
    </row>
    <row r="583" spans="2:15" x14ac:dyDescent="0.45">
      <c r="B583" s="229"/>
      <c r="C583" s="232"/>
      <c r="D583" s="237"/>
      <c r="E583" s="179">
        <v>6</v>
      </c>
      <c r="F583" s="58">
        <v>26900</v>
      </c>
      <c r="G583" s="58">
        <v>24900</v>
      </c>
      <c r="H583" s="59">
        <v>266300</v>
      </c>
      <c r="I583" s="229"/>
      <c r="J583" s="232"/>
      <c r="K583" s="237"/>
      <c r="L583" s="179">
        <v>6</v>
      </c>
      <c r="M583" s="58">
        <v>29900</v>
      </c>
      <c r="N583" s="58">
        <v>27900</v>
      </c>
      <c r="O583" s="59">
        <v>289200</v>
      </c>
    </row>
    <row r="584" spans="2:15" x14ac:dyDescent="0.45">
      <c r="B584" s="229"/>
      <c r="C584" s="232"/>
      <c r="D584" s="236" t="s">
        <v>858</v>
      </c>
      <c r="E584" s="81">
        <v>5</v>
      </c>
      <c r="F584" s="40">
        <v>27900</v>
      </c>
      <c r="G584" s="40">
        <v>25900</v>
      </c>
      <c r="H584" s="50">
        <v>231600</v>
      </c>
      <c r="I584" s="229"/>
      <c r="J584" s="232"/>
      <c r="K584" s="236" t="s">
        <v>858</v>
      </c>
      <c r="L584" s="81">
        <v>5</v>
      </c>
      <c r="M584" s="40">
        <v>30900</v>
      </c>
      <c r="N584" s="40">
        <v>28900</v>
      </c>
      <c r="O584" s="50">
        <v>240200</v>
      </c>
    </row>
    <row r="585" spans="2:15" x14ac:dyDescent="0.45">
      <c r="B585" s="229"/>
      <c r="C585" s="232"/>
      <c r="D585" s="235"/>
      <c r="E585" s="178">
        <v>6</v>
      </c>
      <c r="F585" s="46">
        <v>24900</v>
      </c>
      <c r="G585" s="46">
        <v>22900</v>
      </c>
      <c r="H585" s="49">
        <v>266300</v>
      </c>
      <c r="I585" s="229"/>
      <c r="J585" s="232"/>
      <c r="K585" s="235"/>
      <c r="L585" s="178">
        <v>6</v>
      </c>
      <c r="M585" s="46">
        <v>27900</v>
      </c>
      <c r="N585" s="46">
        <v>25900</v>
      </c>
      <c r="O585" s="49">
        <v>276200</v>
      </c>
    </row>
    <row r="586" spans="2:15" x14ac:dyDescent="0.45">
      <c r="B586" s="229"/>
      <c r="C586" s="232"/>
      <c r="D586" s="236" t="s">
        <v>826</v>
      </c>
      <c r="E586" s="178">
        <v>5</v>
      </c>
      <c r="F586" s="46">
        <v>33900</v>
      </c>
      <c r="G586" s="46">
        <v>31900</v>
      </c>
      <c r="H586" s="49">
        <v>251500</v>
      </c>
      <c r="I586" s="229"/>
      <c r="J586" s="232"/>
      <c r="K586" s="236" t="s">
        <v>826</v>
      </c>
      <c r="L586" s="178">
        <v>5</v>
      </c>
      <c r="M586" s="46">
        <v>36900</v>
      </c>
      <c r="N586" s="46">
        <v>34900</v>
      </c>
      <c r="O586" s="49">
        <v>262700</v>
      </c>
    </row>
    <row r="587" spans="2:15" ht="17.5" thickBot="1" x14ac:dyDescent="0.5">
      <c r="B587" s="230"/>
      <c r="C587" s="233"/>
      <c r="D587" s="238"/>
      <c r="E587" s="82">
        <v>6</v>
      </c>
      <c r="F587" s="66">
        <v>30900</v>
      </c>
      <c r="G587" s="66">
        <v>28900</v>
      </c>
      <c r="H587" s="67">
        <v>289200</v>
      </c>
      <c r="I587" s="230"/>
      <c r="J587" s="233"/>
      <c r="K587" s="238"/>
      <c r="L587" s="82">
        <v>6</v>
      </c>
      <c r="M587" s="66">
        <v>33900</v>
      </c>
      <c r="N587" s="66">
        <v>31900</v>
      </c>
      <c r="O587" s="67">
        <v>302100</v>
      </c>
    </row>
    <row r="588" spans="2:15" ht="17.5" thickTop="1" x14ac:dyDescent="0.45"/>
    <row r="589" spans="2:15" ht="18" thickBot="1" x14ac:dyDescent="0.5">
      <c r="B589" s="70" t="s">
        <v>1318</v>
      </c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</row>
    <row r="590" spans="2:15" ht="17.5" thickTop="1" x14ac:dyDescent="0.45">
      <c r="B590" s="224" t="s">
        <v>720</v>
      </c>
      <c r="C590" s="226" t="s">
        <v>1031</v>
      </c>
      <c r="D590" s="218" t="s">
        <v>824</v>
      </c>
      <c r="E590" s="219"/>
      <c r="F590" s="222" t="s">
        <v>1323</v>
      </c>
      <c r="G590" s="222"/>
      <c r="H590" s="223"/>
    </row>
    <row r="591" spans="2:15" x14ac:dyDescent="0.45">
      <c r="B591" s="225"/>
      <c r="C591" s="227"/>
      <c r="D591" s="220"/>
      <c r="E591" s="221"/>
      <c r="F591" s="192" t="s">
        <v>611</v>
      </c>
      <c r="G591" s="192" t="s">
        <v>612</v>
      </c>
      <c r="H591" s="88" t="s">
        <v>593</v>
      </c>
    </row>
    <row r="592" spans="2:15" x14ac:dyDescent="0.45">
      <c r="B592" s="228" t="s">
        <v>1319</v>
      </c>
      <c r="C592" s="231" t="s">
        <v>1316</v>
      </c>
      <c r="D592" s="234" t="s">
        <v>1320</v>
      </c>
      <c r="E592" s="85">
        <v>3</v>
      </c>
      <c r="F592" s="39">
        <v>27900</v>
      </c>
      <c r="G592" s="39">
        <v>23900</v>
      </c>
      <c r="H592" s="51">
        <v>209100</v>
      </c>
    </row>
    <row r="593" spans="2:8" x14ac:dyDescent="0.45">
      <c r="B593" s="229"/>
      <c r="C593" s="232"/>
      <c r="D593" s="237"/>
      <c r="E593" s="193">
        <v>5</v>
      </c>
      <c r="F593" s="46">
        <v>25900</v>
      </c>
      <c r="G593" s="46">
        <v>21900</v>
      </c>
      <c r="H593" s="49">
        <v>209100</v>
      </c>
    </row>
    <row r="594" spans="2:8" x14ac:dyDescent="0.45">
      <c r="B594" s="229"/>
      <c r="C594" s="232"/>
      <c r="D594" s="237"/>
      <c r="E594" s="193">
        <v>6</v>
      </c>
      <c r="F594" s="46">
        <v>24900</v>
      </c>
      <c r="G594" s="46">
        <v>20900</v>
      </c>
      <c r="H594" s="49">
        <v>240500</v>
      </c>
    </row>
    <row r="595" spans="2:8" x14ac:dyDescent="0.45">
      <c r="B595" s="229"/>
      <c r="C595" s="232"/>
      <c r="D595" s="236" t="s">
        <v>1321</v>
      </c>
      <c r="E595" s="194">
        <v>3</v>
      </c>
      <c r="F595" s="58">
        <v>25900</v>
      </c>
      <c r="G595" s="58">
        <v>21900</v>
      </c>
      <c r="H595" s="59">
        <v>197900</v>
      </c>
    </row>
    <row r="596" spans="2:8" x14ac:dyDescent="0.45">
      <c r="B596" s="229"/>
      <c r="C596" s="232"/>
      <c r="D596" s="237"/>
      <c r="E596" s="81">
        <v>5</v>
      </c>
      <c r="F596" s="40">
        <v>23900</v>
      </c>
      <c r="G596" s="40">
        <v>19900</v>
      </c>
      <c r="H596" s="50">
        <v>197900</v>
      </c>
    </row>
    <row r="597" spans="2:8" x14ac:dyDescent="0.45">
      <c r="B597" s="294"/>
      <c r="C597" s="290"/>
      <c r="D597" s="235"/>
      <c r="E597" s="193">
        <v>6</v>
      </c>
      <c r="F597" s="46">
        <v>22900</v>
      </c>
      <c r="G597" s="46">
        <v>18900</v>
      </c>
      <c r="H597" s="49">
        <v>227600</v>
      </c>
    </row>
    <row r="598" spans="2:8" x14ac:dyDescent="0.45">
      <c r="B598" s="228" t="s">
        <v>1322</v>
      </c>
      <c r="C598" s="231" t="s">
        <v>1315</v>
      </c>
      <c r="D598" s="234" t="s">
        <v>1320</v>
      </c>
      <c r="E598" s="85">
        <v>3</v>
      </c>
      <c r="F598" s="39">
        <v>29900</v>
      </c>
      <c r="G598" s="39">
        <v>25900</v>
      </c>
      <c r="H598" s="51">
        <v>220300</v>
      </c>
    </row>
    <row r="599" spans="2:8" x14ac:dyDescent="0.45">
      <c r="B599" s="229"/>
      <c r="C599" s="232"/>
      <c r="D599" s="237"/>
      <c r="E599" s="193">
        <v>5</v>
      </c>
      <c r="F599" s="46">
        <v>27900</v>
      </c>
      <c r="G599" s="46">
        <v>23900</v>
      </c>
      <c r="H599" s="49">
        <v>220300</v>
      </c>
    </row>
    <row r="600" spans="2:8" x14ac:dyDescent="0.45">
      <c r="B600" s="229"/>
      <c r="C600" s="232"/>
      <c r="D600" s="237"/>
      <c r="E600" s="193">
        <v>6</v>
      </c>
      <c r="F600" s="46">
        <v>26900</v>
      </c>
      <c r="G600" s="46">
        <v>22900</v>
      </c>
      <c r="H600" s="49">
        <v>253300</v>
      </c>
    </row>
    <row r="601" spans="2:8" x14ac:dyDescent="0.45">
      <c r="B601" s="229"/>
      <c r="C601" s="232"/>
      <c r="D601" s="236" t="s">
        <v>1321</v>
      </c>
      <c r="E601" s="194">
        <v>3</v>
      </c>
      <c r="F601" s="58">
        <v>27900</v>
      </c>
      <c r="G601" s="58">
        <v>23900</v>
      </c>
      <c r="H601" s="59">
        <v>209100</v>
      </c>
    </row>
    <row r="602" spans="2:8" x14ac:dyDescent="0.45">
      <c r="B602" s="229"/>
      <c r="C602" s="232"/>
      <c r="D602" s="237"/>
      <c r="E602" s="81">
        <v>5</v>
      </c>
      <c r="F602" s="40">
        <v>25900</v>
      </c>
      <c r="G602" s="40">
        <v>21900</v>
      </c>
      <c r="H602" s="50">
        <v>209100</v>
      </c>
    </row>
    <row r="603" spans="2:8" ht="17.5" thickBot="1" x14ac:dyDescent="0.5">
      <c r="B603" s="230"/>
      <c r="C603" s="233"/>
      <c r="D603" s="238"/>
      <c r="E603" s="191">
        <v>6</v>
      </c>
      <c r="F603" s="197">
        <v>24900</v>
      </c>
      <c r="G603" s="197">
        <v>20900</v>
      </c>
      <c r="H603" s="198">
        <v>240500</v>
      </c>
    </row>
    <row r="604" spans="2:8" ht="17.5" thickTop="1" x14ac:dyDescent="0.45"/>
  </sheetData>
  <mergeCells count="566">
    <mergeCell ref="E231:H231"/>
    <mergeCell ref="J231:K232"/>
    <mergeCell ref="C219:C222"/>
    <mergeCell ref="C223:C226"/>
    <mergeCell ref="L245:O245"/>
    <mergeCell ref="B598:B603"/>
    <mergeCell ref="C598:C603"/>
    <mergeCell ref="D598:D600"/>
    <mergeCell ref="D601:D603"/>
    <mergeCell ref="B590:B591"/>
    <mergeCell ref="C590:C591"/>
    <mergeCell ref="D590:E591"/>
    <mergeCell ref="F590:H590"/>
    <mergeCell ref="B592:B597"/>
    <mergeCell ref="C592:C597"/>
    <mergeCell ref="D592:D594"/>
    <mergeCell ref="D595:D597"/>
    <mergeCell ref="H487:H488"/>
    <mergeCell ref="I487:J488"/>
    <mergeCell ref="K487:M487"/>
    <mergeCell ref="B540:B541"/>
    <mergeCell ref="F540:H540"/>
    <mergeCell ref="B426:B428"/>
    <mergeCell ref="H426:H428"/>
    <mergeCell ref="L205:O205"/>
    <mergeCell ref="J207:J210"/>
    <mergeCell ref="J211:J214"/>
    <mergeCell ref="I207:I218"/>
    <mergeCell ref="J215:J218"/>
    <mergeCell ref="I205:I206"/>
    <mergeCell ref="J205:K206"/>
    <mergeCell ref="I231:I232"/>
    <mergeCell ref="I233:I244"/>
    <mergeCell ref="J233:J236"/>
    <mergeCell ref="J237:J240"/>
    <mergeCell ref="J241:J244"/>
    <mergeCell ref="B457:B458"/>
    <mergeCell ref="C457:D458"/>
    <mergeCell ref="E457:G457"/>
    <mergeCell ref="H457:H458"/>
    <mergeCell ref="H524:H526"/>
    <mergeCell ref="H502:H503"/>
    <mergeCell ref="H504:H506"/>
    <mergeCell ref="H509:H511"/>
    <mergeCell ref="H514:H516"/>
    <mergeCell ref="H489:H494"/>
    <mergeCell ref="B459:B464"/>
    <mergeCell ref="B467:B472"/>
    <mergeCell ref="C241:C244"/>
    <mergeCell ref="D548:E549"/>
    <mergeCell ref="F548:H548"/>
    <mergeCell ref="C282:C284"/>
    <mergeCell ref="C301:C303"/>
    <mergeCell ref="C304:C306"/>
    <mergeCell ref="C325:D326"/>
    <mergeCell ref="C310:D311"/>
    <mergeCell ref="C315:C317"/>
    <mergeCell ref="G312:G317"/>
    <mergeCell ref="H517:H518"/>
    <mergeCell ref="H522:H523"/>
    <mergeCell ref="E465:G465"/>
    <mergeCell ref="I502:J503"/>
    <mergeCell ref="E505:G505"/>
    <mergeCell ref="E530:G530"/>
    <mergeCell ref="I479:J480"/>
    <mergeCell ref="H519:H521"/>
    <mergeCell ref="H512:H513"/>
    <mergeCell ref="I512:J513"/>
    <mergeCell ref="I530:J531"/>
    <mergeCell ref="L274:O274"/>
    <mergeCell ref="E274:H274"/>
    <mergeCell ref="K530:M530"/>
    <mergeCell ref="I517:J518"/>
    <mergeCell ref="K517:M517"/>
    <mergeCell ref="I522:J523"/>
    <mergeCell ref="K522:M522"/>
    <mergeCell ref="K502:M502"/>
    <mergeCell ref="E481:G481"/>
    <mergeCell ref="K471:M471"/>
    <mergeCell ref="I507:J508"/>
    <mergeCell ref="B499:B504"/>
    <mergeCell ref="H451:H454"/>
    <mergeCell ref="K418:M418"/>
    <mergeCell ref="K325:M325"/>
    <mergeCell ref="H327:H338"/>
    <mergeCell ref="K449:M449"/>
    <mergeCell ref="E449:G449"/>
    <mergeCell ref="H449:H450"/>
    <mergeCell ref="H507:H508"/>
    <mergeCell ref="K507:M507"/>
    <mergeCell ref="C418:D419"/>
    <mergeCell ref="B377:B378"/>
    <mergeCell ref="C377:D378"/>
    <mergeCell ref="E473:G473"/>
    <mergeCell ref="H440:H442"/>
    <mergeCell ref="B429:B430"/>
    <mergeCell ref="B449:B450"/>
    <mergeCell ref="C449:D450"/>
    <mergeCell ref="B451:B454"/>
    <mergeCell ref="H429:H430"/>
    <mergeCell ref="K512:M512"/>
    <mergeCell ref="H471:H472"/>
    <mergeCell ref="I471:J472"/>
    <mergeCell ref="I377:J378"/>
    <mergeCell ref="K377:M377"/>
    <mergeCell ref="H379:H390"/>
    <mergeCell ref="H391:H402"/>
    <mergeCell ref="H403:H414"/>
    <mergeCell ref="I418:J419"/>
    <mergeCell ref="I457:J458"/>
    <mergeCell ref="H459:H464"/>
    <mergeCell ref="K457:M457"/>
    <mergeCell ref="K429:M429"/>
    <mergeCell ref="K479:M479"/>
    <mergeCell ref="H481:H486"/>
    <mergeCell ref="H497:H498"/>
    <mergeCell ref="I497:J498"/>
    <mergeCell ref="K497:M497"/>
    <mergeCell ref="H479:H480"/>
    <mergeCell ref="H499:H501"/>
    <mergeCell ref="H418:H419"/>
    <mergeCell ref="H431:H433"/>
    <mergeCell ref="H434:H436"/>
    <mergeCell ref="H437:H439"/>
    <mergeCell ref="B320:B322"/>
    <mergeCell ref="C320:C322"/>
    <mergeCell ref="G320:G322"/>
    <mergeCell ref="E325:G325"/>
    <mergeCell ref="B327:B338"/>
    <mergeCell ref="H325:H326"/>
    <mergeCell ref="B418:B419"/>
    <mergeCell ref="B379:B390"/>
    <mergeCell ref="B391:B402"/>
    <mergeCell ref="B403:B414"/>
    <mergeCell ref="E418:G418"/>
    <mergeCell ref="H377:H378"/>
    <mergeCell ref="E377:G377"/>
    <mergeCell ref="B325:B326"/>
    <mergeCell ref="L195:O195"/>
    <mergeCell ref="I219:I220"/>
    <mergeCell ref="J219:K220"/>
    <mergeCell ref="L219:O219"/>
    <mergeCell ref="I221:I226"/>
    <mergeCell ref="J221:J223"/>
    <mergeCell ref="J224:J226"/>
    <mergeCell ref="N221:N226"/>
    <mergeCell ref="I325:J326"/>
    <mergeCell ref="L310:O310"/>
    <mergeCell ref="I312:I317"/>
    <mergeCell ref="J312:J314"/>
    <mergeCell ref="N312:N317"/>
    <mergeCell ref="J315:J317"/>
    <mergeCell ref="I310:I311"/>
    <mergeCell ref="J310:K311"/>
    <mergeCell ref="L296:O296"/>
    <mergeCell ref="I247:I258"/>
    <mergeCell ref="J247:J250"/>
    <mergeCell ref="J251:J254"/>
    <mergeCell ref="J255:J258"/>
    <mergeCell ref="L231:O231"/>
    <mergeCell ref="L285:O285"/>
    <mergeCell ref="I285:I286"/>
    <mergeCell ref="J195:K196"/>
    <mergeCell ref="I274:I275"/>
    <mergeCell ref="J274:K275"/>
    <mergeCell ref="J279:J281"/>
    <mergeCell ref="J282:J284"/>
    <mergeCell ref="I276:I284"/>
    <mergeCell ref="J287:J289"/>
    <mergeCell ref="J285:K286"/>
    <mergeCell ref="J290:J292"/>
    <mergeCell ref="I287:I295"/>
    <mergeCell ref="J276:J278"/>
    <mergeCell ref="J298:J300"/>
    <mergeCell ref="J301:J303"/>
    <mergeCell ref="B312:B317"/>
    <mergeCell ref="C312:C314"/>
    <mergeCell ref="I245:I246"/>
    <mergeCell ref="J245:K246"/>
    <mergeCell ref="I298:I303"/>
    <mergeCell ref="B285:B286"/>
    <mergeCell ref="C285:D286"/>
    <mergeCell ref="E285:H285"/>
    <mergeCell ref="B287:B295"/>
    <mergeCell ref="E310:H310"/>
    <mergeCell ref="B310:B311"/>
    <mergeCell ref="I296:I297"/>
    <mergeCell ref="J296:K297"/>
    <mergeCell ref="J293:J295"/>
    <mergeCell ref="C245:D246"/>
    <mergeCell ref="E245:H245"/>
    <mergeCell ref="C247:C250"/>
    <mergeCell ref="C251:C254"/>
    <mergeCell ref="C255:C258"/>
    <mergeCell ref="C151:D152"/>
    <mergeCell ref="I162:I167"/>
    <mergeCell ref="J162:J164"/>
    <mergeCell ref="J165:J167"/>
    <mergeCell ref="G153:G155"/>
    <mergeCell ref="B164:B166"/>
    <mergeCell ref="B158:B160"/>
    <mergeCell ref="C158:C163"/>
    <mergeCell ref="B161:B163"/>
    <mergeCell ref="E151:H151"/>
    <mergeCell ref="B156:B157"/>
    <mergeCell ref="C156:D157"/>
    <mergeCell ref="E156:H156"/>
    <mergeCell ref="B153:B155"/>
    <mergeCell ref="J157:J159"/>
    <mergeCell ref="I157:I159"/>
    <mergeCell ref="C164:C169"/>
    <mergeCell ref="B167:B169"/>
    <mergeCell ref="J160:K161"/>
    <mergeCell ref="J155:K156"/>
    <mergeCell ref="I149:I154"/>
    <mergeCell ref="J149:J151"/>
    <mergeCell ref="G148:G150"/>
    <mergeCell ref="B170:B171"/>
    <mergeCell ref="C170:D171"/>
    <mergeCell ref="B245:B246"/>
    <mergeCell ref="B247:B258"/>
    <mergeCell ref="B172:B177"/>
    <mergeCell ref="C172:C174"/>
    <mergeCell ref="C175:C177"/>
    <mergeCell ref="B298:B306"/>
    <mergeCell ref="C298:C300"/>
    <mergeCell ref="C287:C289"/>
    <mergeCell ref="C290:C292"/>
    <mergeCell ref="C293:C295"/>
    <mergeCell ref="C227:C230"/>
    <mergeCell ref="B233:B244"/>
    <mergeCell ref="C233:C236"/>
    <mergeCell ref="C237:C240"/>
    <mergeCell ref="B231:B232"/>
    <mergeCell ref="C231:D232"/>
    <mergeCell ref="B276:B284"/>
    <mergeCell ref="C276:C278"/>
    <mergeCell ref="C279:C281"/>
    <mergeCell ref="B195:B206"/>
    <mergeCell ref="C195:C198"/>
    <mergeCell ref="C199:C202"/>
    <mergeCell ref="C203:C206"/>
    <mergeCell ref="B259:B260"/>
    <mergeCell ref="C259:D260"/>
    <mergeCell ref="B261:B272"/>
    <mergeCell ref="C261:C264"/>
    <mergeCell ref="C265:C268"/>
    <mergeCell ref="C269:C272"/>
    <mergeCell ref="L181:O181"/>
    <mergeCell ref="I183:I194"/>
    <mergeCell ref="J183:J186"/>
    <mergeCell ref="J187:J190"/>
    <mergeCell ref="J191:J194"/>
    <mergeCell ref="I259:I260"/>
    <mergeCell ref="J259:K260"/>
    <mergeCell ref="L259:O259"/>
    <mergeCell ref="J261:J264"/>
    <mergeCell ref="J265:J268"/>
    <mergeCell ref="I261:I268"/>
    <mergeCell ref="I195:I196"/>
    <mergeCell ref="I181:I182"/>
    <mergeCell ref="J181:K182"/>
    <mergeCell ref="J197:J200"/>
    <mergeCell ref="J201:J204"/>
    <mergeCell ref="I197:I204"/>
    <mergeCell ref="L155:O155"/>
    <mergeCell ref="L160:O160"/>
    <mergeCell ref="N162:N167"/>
    <mergeCell ref="I147:I148"/>
    <mergeCell ref="J147:K148"/>
    <mergeCell ref="L147:O147"/>
    <mergeCell ref="I155:I156"/>
    <mergeCell ref="J152:J154"/>
    <mergeCell ref="I102:I103"/>
    <mergeCell ref="I133:I135"/>
    <mergeCell ref="J133:J138"/>
    <mergeCell ref="I136:I138"/>
    <mergeCell ref="I139:I140"/>
    <mergeCell ref="J139:K140"/>
    <mergeCell ref="L139:O139"/>
    <mergeCell ref="I141:I146"/>
    <mergeCell ref="J144:J146"/>
    <mergeCell ref="J141:J143"/>
    <mergeCell ref="N141:N146"/>
    <mergeCell ref="B102:B103"/>
    <mergeCell ref="C102:D103"/>
    <mergeCell ref="I160:I161"/>
    <mergeCell ref="I2:I3"/>
    <mergeCell ref="J102:K103"/>
    <mergeCell ref="I112:I113"/>
    <mergeCell ref="J112:K113"/>
    <mergeCell ref="L112:O112"/>
    <mergeCell ref="I114:I121"/>
    <mergeCell ref="J114:J117"/>
    <mergeCell ref="N114:N121"/>
    <mergeCell ref="J118:J121"/>
    <mergeCell ref="L102:O102"/>
    <mergeCell ref="I104:I111"/>
    <mergeCell ref="N104:N111"/>
    <mergeCell ref="I76:I79"/>
    <mergeCell ref="J2:K3"/>
    <mergeCell ref="L2:O2"/>
    <mergeCell ref="C153:C155"/>
    <mergeCell ref="B151:B152"/>
    <mergeCell ref="B148:B150"/>
    <mergeCell ref="B140:B145"/>
    <mergeCell ref="B32:B39"/>
    <mergeCell ref="B30:B31"/>
    <mergeCell ref="E30:H30"/>
    <mergeCell ref="I38:I39"/>
    <mergeCell ref="J38:K39"/>
    <mergeCell ref="L38:O38"/>
    <mergeCell ref="I40:I43"/>
    <mergeCell ref="B70:B72"/>
    <mergeCell ref="C70:C72"/>
    <mergeCell ref="J56:J59"/>
    <mergeCell ref="L60:O60"/>
    <mergeCell ref="I62:I69"/>
    <mergeCell ref="I72:I75"/>
    <mergeCell ref="B42:B49"/>
    <mergeCell ref="B60:B63"/>
    <mergeCell ref="B64:B67"/>
    <mergeCell ref="B52:B55"/>
    <mergeCell ref="B56:B59"/>
    <mergeCell ref="B50:B51"/>
    <mergeCell ref="C50:D51"/>
    <mergeCell ref="B68:B69"/>
    <mergeCell ref="C68:D69"/>
    <mergeCell ref="E68:H68"/>
    <mergeCell ref="B73:B74"/>
    <mergeCell ref="C73:D74"/>
    <mergeCell ref="B4:B11"/>
    <mergeCell ref="B12:B19"/>
    <mergeCell ref="I70:I71"/>
    <mergeCell ref="J70:K71"/>
    <mergeCell ref="C2:D3"/>
    <mergeCell ref="B2:B3"/>
    <mergeCell ref="E2:H2"/>
    <mergeCell ref="I80:I83"/>
    <mergeCell ref="I84:I87"/>
    <mergeCell ref="J72:J79"/>
    <mergeCell ref="J80:J87"/>
    <mergeCell ref="B20:B21"/>
    <mergeCell ref="C20:D21"/>
    <mergeCell ref="E20:H20"/>
    <mergeCell ref="B22:B29"/>
    <mergeCell ref="C22:C25"/>
    <mergeCell ref="C26:C29"/>
    <mergeCell ref="B40:B41"/>
    <mergeCell ref="I22:I25"/>
    <mergeCell ref="J22:J29"/>
    <mergeCell ref="I26:I29"/>
    <mergeCell ref="I30:I33"/>
    <mergeCell ref="J30:J37"/>
    <mergeCell ref="I34:I37"/>
    <mergeCell ref="C4:C19"/>
    <mergeCell ref="C30:D31"/>
    <mergeCell ref="L70:O70"/>
    <mergeCell ref="J40:J43"/>
    <mergeCell ref="N40:N43"/>
    <mergeCell ref="C40:D41"/>
    <mergeCell ref="E40:H40"/>
    <mergeCell ref="C42:C45"/>
    <mergeCell ref="I44:I45"/>
    <mergeCell ref="J66:J69"/>
    <mergeCell ref="N62:N69"/>
    <mergeCell ref="J62:J65"/>
    <mergeCell ref="L20:O20"/>
    <mergeCell ref="C32:C39"/>
    <mergeCell ref="I20:I21"/>
    <mergeCell ref="J20:K21"/>
    <mergeCell ref="I56:I59"/>
    <mergeCell ref="I4:I11"/>
    <mergeCell ref="J4:J19"/>
    <mergeCell ref="I12:I19"/>
    <mergeCell ref="C46:C49"/>
    <mergeCell ref="C60:C67"/>
    <mergeCell ref="E50:H50"/>
    <mergeCell ref="C52:C59"/>
    <mergeCell ref="C146:D147"/>
    <mergeCell ref="E102:H102"/>
    <mergeCell ref="J44:K45"/>
    <mergeCell ref="L44:O44"/>
    <mergeCell ref="I46:I49"/>
    <mergeCell ref="J46:J49"/>
    <mergeCell ref="N46:N49"/>
    <mergeCell ref="L50:O50"/>
    <mergeCell ref="I130:I132"/>
    <mergeCell ref="J127:J132"/>
    <mergeCell ref="I127:I129"/>
    <mergeCell ref="L125:O125"/>
    <mergeCell ref="J125:K126"/>
    <mergeCell ref="I125:I126"/>
    <mergeCell ref="J104:J107"/>
    <mergeCell ref="J108:J111"/>
    <mergeCell ref="I60:I61"/>
    <mergeCell ref="J60:K61"/>
    <mergeCell ref="I50:I51"/>
    <mergeCell ref="J50:K51"/>
    <mergeCell ref="I52:I55"/>
    <mergeCell ref="J52:J55"/>
    <mergeCell ref="C135:C137"/>
    <mergeCell ref="E138:H138"/>
    <mergeCell ref="E73:H73"/>
    <mergeCell ref="B75:B82"/>
    <mergeCell ref="C75:C78"/>
    <mergeCell ref="E146:H146"/>
    <mergeCell ref="B146:B147"/>
    <mergeCell ref="C79:C82"/>
    <mergeCell ref="C148:C150"/>
    <mergeCell ref="B83:B84"/>
    <mergeCell ref="C83:D84"/>
    <mergeCell ref="E83:H83"/>
    <mergeCell ref="B85:B92"/>
    <mergeCell ref="C85:C100"/>
    <mergeCell ref="B93:B100"/>
    <mergeCell ref="C127:C129"/>
    <mergeCell ref="C130:C132"/>
    <mergeCell ref="B133:B134"/>
    <mergeCell ref="C133:D134"/>
    <mergeCell ref="B104:B106"/>
    <mergeCell ref="C104:C106"/>
    <mergeCell ref="G104:G106"/>
    <mergeCell ref="B107:B108"/>
    <mergeCell ref="C107:D108"/>
    <mergeCell ref="E107:H107"/>
    <mergeCell ref="B109:B116"/>
    <mergeCell ref="C109:C112"/>
    <mergeCell ref="C113:C116"/>
    <mergeCell ref="G140:G145"/>
    <mergeCell ref="C143:C145"/>
    <mergeCell ref="B125:B126"/>
    <mergeCell ref="C125:D126"/>
    <mergeCell ref="E125:H125"/>
    <mergeCell ref="B135:B137"/>
    <mergeCell ref="B127:B132"/>
    <mergeCell ref="E133:H133"/>
    <mergeCell ref="B138:B139"/>
    <mergeCell ref="C138:D139"/>
    <mergeCell ref="C140:C142"/>
    <mergeCell ref="B557:B565"/>
    <mergeCell ref="D557:D559"/>
    <mergeCell ref="D563:D565"/>
    <mergeCell ref="C557:C565"/>
    <mergeCell ref="B219:B230"/>
    <mergeCell ref="D540:E541"/>
    <mergeCell ref="B296:B297"/>
    <mergeCell ref="C296:D297"/>
    <mergeCell ref="E296:H296"/>
    <mergeCell ref="B274:B275"/>
    <mergeCell ref="C274:D275"/>
    <mergeCell ref="H339:H350"/>
    <mergeCell ref="H351:H362"/>
    <mergeCell ref="H363:H374"/>
    <mergeCell ref="B339:B350"/>
    <mergeCell ref="B351:B362"/>
    <mergeCell ref="B363:B374"/>
    <mergeCell ref="B318:B319"/>
    <mergeCell ref="C318:D319"/>
    <mergeCell ref="E318:H318"/>
    <mergeCell ref="B420:B422"/>
    <mergeCell ref="H420:H422"/>
    <mergeCell ref="B423:B425"/>
    <mergeCell ref="H423:H425"/>
    <mergeCell ref="B465:B466"/>
    <mergeCell ref="C465:D466"/>
    <mergeCell ref="B532:B537"/>
    <mergeCell ref="H532:H537"/>
    <mergeCell ref="B550:B552"/>
    <mergeCell ref="C550:C552"/>
    <mergeCell ref="B548:B549"/>
    <mergeCell ref="C548:C549"/>
    <mergeCell ref="B514:B519"/>
    <mergeCell ref="B475:B480"/>
    <mergeCell ref="H473:H478"/>
    <mergeCell ref="B530:B531"/>
    <mergeCell ref="C530:D531"/>
    <mergeCell ref="H530:H531"/>
    <mergeCell ref="B483:B488"/>
    <mergeCell ref="B497:B498"/>
    <mergeCell ref="C497:D498"/>
    <mergeCell ref="E497:G497"/>
    <mergeCell ref="E170:H170"/>
    <mergeCell ref="E259:H259"/>
    <mergeCell ref="B505:B506"/>
    <mergeCell ref="C505:D506"/>
    <mergeCell ref="B207:B218"/>
    <mergeCell ref="C207:C210"/>
    <mergeCell ref="C211:C214"/>
    <mergeCell ref="C215:C218"/>
    <mergeCell ref="C191:C194"/>
    <mergeCell ref="B181:B182"/>
    <mergeCell ref="C181:D182"/>
    <mergeCell ref="E181:H181"/>
    <mergeCell ref="B183:B194"/>
    <mergeCell ref="C183:C186"/>
    <mergeCell ref="C187:C190"/>
    <mergeCell ref="H465:H470"/>
    <mergeCell ref="B473:B474"/>
    <mergeCell ref="C473:D474"/>
    <mergeCell ref="C429:D430"/>
    <mergeCell ref="E429:G429"/>
    <mergeCell ref="B431:B433"/>
    <mergeCell ref="B437:B439"/>
    <mergeCell ref="B440:B442"/>
    <mergeCell ref="B434:B436"/>
    <mergeCell ref="I429:J430"/>
    <mergeCell ref="J580:J587"/>
    <mergeCell ref="D560:D562"/>
    <mergeCell ref="F578:H578"/>
    <mergeCell ref="I578:I579"/>
    <mergeCell ref="J578:J579"/>
    <mergeCell ref="B542:B545"/>
    <mergeCell ref="C540:C541"/>
    <mergeCell ref="D542:D545"/>
    <mergeCell ref="I449:J450"/>
    <mergeCell ref="B512:B513"/>
    <mergeCell ref="C512:D513"/>
    <mergeCell ref="E512:G512"/>
    <mergeCell ref="B520:B521"/>
    <mergeCell ref="C520:D521"/>
    <mergeCell ref="E520:G520"/>
    <mergeCell ref="B507:B511"/>
    <mergeCell ref="B555:B556"/>
    <mergeCell ref="C555:C556"/>
    <mergeCell ref="D555:E556"/>
    <mergeCell ref="F555:H555"/>
    <mergeCell ref="B522:B527"/>
    <mergeCell ref="B481:B482"/>
    <mergeCell ref="C481:D482"/>
    <mergeCell ref="K580:K581"/>
    <mergeCell ref="D582:D583"/>
    <mergeCell ref="K582:K583"/>
    <mergeCell ref="D584:D585"/>
    <mergeCell ref="K584:K585"/>
    <mergeCell ref="D586:D587"/>
    <mergeCell ref="K586:K587"/>
    <mergeCell ref="D576:D577"/>
    <mergeCell ref="B568:B569"/>
    <mergeCell ref="C568:C569"/>
    <mergeCell ref="D568:E569"/>
    <mergeCell ref="F568:H568"/>
    <mergeCell ref="D574:D575"/>
    <mergeCell ref="B580:B587"/>
    <mergeCell ref="C580:C587"/>
    <mergeCell ref="D580:D581"/>
    <mergeCell ref="I580:I587"/>
    <mergeCell ref="D570:D571"/>
    <mergeCell ref="D572:D573"/>
    <mergeCell ref="C570:C577"/>
    <mergeCell ref="B570:B577"/>
    <mergeCell ref="B578:B579"/>
    <mergeCell ref="C578:C579"/>
    <mergeCell ref="D578:E579"/>
    <mergeCell ref="K578:L579"/>
    <mergeCell ref="M578:O578"/>
    <mergeCell ref="I568:I569"/>
    <mergeCell ref="J568:J569"/>
    <mergeCell ref="K568:L569"/>
    <mergeCell ref="M568:O568"/>
    <mergeCell ref="I570:I577"/>
    <mergeCell ref="J570:J577"/>
    <mergeCell ref="K570:K571"/>
    <mergeCell ref="K572:K573"/>
    <mergeCell ref="K574:K575"/>
    <mergeCell ref="K576:K577"/>
  </mergeCells>
  <phoneticPr fontId="1" type="noConversion"/>
  <pageMargins left="0.25" right="0.25" top="0.75" bottom="0.75" header="0.3" footer="0.3"/>
  <pageSetup paperSize="9" scale="36" fitToHeight="0" orientation="landscape" verticalDpi="0" r:id="rId1"/>
  <rowBreaks count="10" manualBreakCount="10">
    <brk id="49" min="1" max="14" man="1"/>
    <brk id="100" min="1" max="14" man="1"/>
    <brk id="177" min="1" max="14" man="1"/>
    <brk id="230" min="1" max="14" man="1"/>
    <brk id="272" min="1" max="14" man="1"/>
    <brk id="323" min="1" max="14" man="1"/>
    <brk id="375" min="1" max="14" man="1"/>
    <brk id="446" min="1" max="14" man="1"/>
    <brk id="511" min="1" max="14" man="1"/>
    <brk id="567" min="1" max="14" man="1"/>
  </rowBreaks>
  <customProperties>
    <customPr name="_pios_id" r:id="rId2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1:M482"/>
  <sheetViews>
    <sheetView zoomScale="115" zoomScaleNormal="115" workbookViewId="0">
      <selection activeCell="M14" sqref="M14"/>
    </sheetView>
  </sheetViews>
  <sheetFormatPr defaultRowHeight="17" x14ac:dyDescent="0.45"/>
  <cols>
    <col min="3" max="3" width="17.25" bestFit="1" customWidth="1"/>
    <col min="5" max="5" width="34.25" bestFit="1" customWidth="1"/>
  </cols>
  <sheetData>
    <row r="1" spans="2:13" s="3" customFormat="1" ht="17.5" thickBot="1" x14ac:dyDescent="0.5">
      <c r="B1" s="29" t="s">
        <v>448</v>
      </c>
      <c r="C1" s="29" t="s">
        <v>477</v>
      </c>
      <c r="D1" s="29" t="s">
        <v>449</v>
      </c>
      <c r="E1" s="29" t="s">
        <v>450</v>
      </c>
      <c r="F1" s="13" t="s">
        <v>458</v>
      </c>
      <c r="G1" s="14" t="s">
        <v>451</v>
      </c>
      <c r="L1" s="14" t="s">
        <v>451</v>
      </c>
    </row>
    <row r="2" spans="2:13" ht="17.5" thickTop="1" x14ac:dyDescent="0.45">
      <c r="B2" s="30" t="s">
        <v>2</v>
      </c>
      <c r="C2" s="30" t="s">
        <v>524</v>
      </c>
      <c r="D2" s="30">
        <v>111146</v>
      </c>
      <c r="E2" s="30" t="s">
        <v>46</v>
      </c>
      <c r="F2" s="23">
        <v>3</v>
      </c>
      <c r="G2" s="24" t="s">
        <v>452</v>
      </c>
      <c r="L2" s="24" t="s">
        <v>452</v>
      </c>
      <c r="M2" t="s">
        <v>721</v>
      </c>
    </row>
    <row r="3" spans="2:13" x14ac:dyDescent="0.45">
      <c r="B3" s="31" t="s">
        <v>143</v>
      </c>
      <c r="C3" s="31" t="s">
        <v>525</v>
      </c>
      <c r="D3" s="31">
        <v>112396</v>
      </c>
      <c r="E3" s="31" t="s">
        <v>99</v>
      </c>
      <c r="F3" s="19">
        <v>5</v>
      </c>
      <c r="G3" s="20" t="s">
        <v>454</v>
      </c>
      <c r="L3" s="20" t="s">
        <v>454</v>
      </c>
      <c r="M3" t="s">
        <v>721</v>
      </c>
    </row>
    <row r="4" spans="2:13" x14ac:dyDescent="0.45">
      <c r="B4" s="31" t="s">
        <v>602</v>
      </c>
      <c r="C4" s="31" t="s">
        <v>526</v>
      </c>
      <c r="D4" s="31">
        <v>112397</v>
      </c>
      <c r="E4" s="31" t="s">
        <v>100</v>
      </c>
      <c r="F4" s="19">
        <v>6</v>
      </c>
      <c r="G4" s="20" t="s">
        <v>3</v>
      </c>
      <c r="L4" s="20" t="s">
        <v>3</v>
      </c>
      <c r="M4" t="s">
        <v>722</v>
      </c>
    </row>
    <row r="5" spans="2:13" x14ac:dyDescent="0.45">
      <c r="B5" s="31" t="s">
        <v>137</v>
      </c>
      <c r="C5" s="31" t="s">
        <v>517</v>
      </c>
      <c r="D5" s="31">
        <v>112415</v>
      </c>
      <c r="E5" s="31" t="s">
        <v>47</v>
      </c>
      <c r="F5" s="19">
        <v>7</v>
      </c>
      <c r="G5" s="20" t="s">
        <v>453</v>
      </c>
      <c r="L5" s="20" t="s">
        <v>453</v>
      </c>
      <c r="M5" t="s">
        <v>721</v>
      </c>
    </row>
    <row r="6" spans="2:13" x14ac:dyDescent="0.45">
      <c r="B6" s="31" t="s">
        <v>117</v>
      </c>
      <c r="C6" s="31" t="s">
        <v>555</v>
      </c>
      <c r="D6" s="31">
        <v>112764</v>
      </c>
      <c r="E6" s="31" t="s">
        <v>586</v>
      </c>
      <c r="F6" s="19">
        <v>9</v>
      </c>
      <c r="G6" s="20" t="s">
        <v>183</v>
      </c>
      <c r="L6" s="20" t="s">
        <v>183</v>
      </c>
      <c r="M6" t="s">
        <v>722</v>
      </c>
    </row>
    <row r="7" spans="2:13" x14ac:dyDescent="0.45">
      <c r="B7" s="31" t="s">
        <v>488</v>
      </c>
      <c r="C7" s="31" t="s">
        <v>527</v>
      </c>
      <c r="D7" s="31">
        <v>112765</v>
      </c>
      <c r="E7" s="31" t="s">
        <v>587</v>
      </c>
      <c r="G7" s="20" t="s">
        <v>596</v>
      </c>
      <c r="L7" s="20" t="s">
        <v>596</v>
      </c>
      <c r="M7" t="s">
        <v>721</v>
      </c>
    </row>
    <row r="8" spans="2:13" x14ac:dyDescent="0.45">
      <c r="B8" s="31" t="s">
        <v>486</v>
      </c>
      <c r="C8" s="31" t="s">
        <v>528</v>
      </c>
      <c r="D8" s="31">
        <v>112751</v>
      </c>
      <c r="E8" s="31" t="s">
        <v>101</v>
      </c>
      <c r="G8" s="20" t="s">
        <v>456</v>
      </c>
      <c r="L8" s="20" t="s">
        <v>456</v>
      </c>
      <c r="M8" t="s">
        <v>721</v>
      </c>
    </row>
    <row r="9" spans="2:13" x14ac:dyDescent="0.45">
      <c r="B9" s="31" t="s">
        <v>228</v>
      </c>
      <c r="C9" s="31" t="s">
        <v>529</v>
      </c>
      <c r="D9" s="31">
        <v>112753</v>
      </c>
      <c r="E9" s="31" t="s">
        <v>102</v>
      </c>
      <c r="G9" s="20" t="s">
        <v>457</v>
      </c>
      <c r="L9" s="20" t="s">
        <v>457</v>
      </c>
      <c r="M9" t="s">
        <v>721</v>
      </c>
    </row>
    <row r="10" spans="2:13" x14ac:dyDescent="0.45">
      <c r="B10" s="31" t="s">
        <v>485</v>
      </c>
      <c r="C10" s="31" t="s">
        <v>530</v>
      </c>
      <c r="D10" s="31">
        <v>112768</v>
      </c>
      <c r="E10" s="31" t="s">
        <v>48</v>
      </c>
      <c r="G10" s="20" t="s">
        <v>455</v>
      </c>
      <c r="L10" s="20" t="s">
        <v>455</v>
      </c>
      <c r="M10" t="s">
        <v>721</v>
      </c>
    </row>
    <row r="11" spans="2:13" ht="17.5" thickBot="1" x14ac:dyDescent="0.5">
      <c r="B11" s="32" t="s">
        <v>487</v>
      </c>
      <c r="C11" s="31" t="s">
        <v>531</v>
      </c>
      <c r="D11" s="31">
        <v>112840</v>
      </c>
      <c r="E11" s="31" t="s">
        <v>4</v>
      </c>
      <c r="G11" s="26" t="s">
        <v>13</v>
      </c>
      <c r="L11" s="26" t="s">
        <v>13</v>
      </c>
      <c r="M11" t="s">
        <v>721</v>
      </c>
    </row>
    <row r="12" spans="2:13" x14ac:dyDescent="0.45">
      <c r="C12" s="31" t="s">
        <v>548</v>
      </c>
      <c r="D12" s="31">
        <v>113033</v>
      </c>
      <c r="E12" s="31" t="s">
        <v>116</v>
      </c>
      <c r="G12" s="20" t="s">
        <v>608</v>
      </c>
      <c r="L12" s="20" t="s">
        <v>608</v>
      </c>
      <c r="M12" t="s">
        <v>721</v>
      </c>
    </row>
    <row r="13" spans="2:13" x14ac:dyDescent="0.45">
      <c r="C13" s="31" t="s">
        <v>518</v>
      </c>
      <c r="D13" s="31">
        <v>113164</v>
      </c>
      <c r="E13" s="31" t="s">
        <v>5</v>
      </c>
      <c r="G13" s="20" t="s">
        <v>609</v>
      </c>
      <c r="L13" s="20" t="s">
        <v>609</v>
      </c>
      <c r="M13" t="s">
        <v>721</v>
      </c>
    </row>
    <row r="14" spans="2:13" x14ac:dyDescent="0.45">
      <c r="C14" s="31" t="s">
        <v>549</v>
      </c>
      <c r="D14" s="31">
        <v>113202</v>
      </c>
      <c r="E14" s="31" t="s">
        <v>103</v>
      </c>
    </row>
    <row r="15" spans="2:13" x14ac:dyDescent="0.45">
      <c r="C15" s="31" t="s">
        <v>556</v>
      </c>
      <c r="D15" s="31">
        <v>113203</v>
      </c>
      <c r="E15" s="31" t="s">
        <v>104</v>
      </c>
    </row>
    <row r="16" spans="2:13" x14ac:dyDescent="0.45">
      <c r="C16" s="31" t="s">
        <v>490</v>
      </c>
      <c r="D16" s="31">
        <v>113232</v>
      </c>
      <c r="E16" s="31" t="s">
        <v>49</v>
      </c>
    </row>
    <row r="17" spans="3:5" x14ac:dyDescent="0.45">
      <c r="C17" s="31" t="s">
        <v>491</v>
      </c>
      <c r="D17" s="31">
        <v>113233</v>
      </c>
      <c r="E17" s="31" t="s">
        <v>15</v>
      </c>
    </row>
    <row r="18" spans="3:5" x14ac:dyDescent="0.45">
      <c r="C18" s="31" t="s">
        <v>506</v>
      </c>
      <c r="D18" s="31">
        <v>113264</v>
      </c>
      <c r="E18" s="31" t="s">
        <v>50</v>
      </c>
    </row>
    <row r="19" spans="3:5" x14ac:dyDescent="0.45">
      <c r="C19" s="31" t="s">
        <v>516</v>
      </c>
      <c r="D19" s="31">
        <v>113265</v>
      </c>
      <c r="E19" s="31" t="s">
        <v>16</v>
      </c>
    </row>
    <row r="20" spans="3:5" x14ac:dyDescent="0.45">
      <c r="C20" s="31" t="s">
        <v>507</v>
      </c>
      <c r="D20" s="31">
        <v>113266</v>
      </c>
      <c r="E20" s="31" t="s">
        <v>51</v>
      </c>
    </row>
    <row r="21" spans="3:5" x14ac:dyDescent="0.45">
      <c r="C21" s="31" t="s">
        <v>550</v>
      </c>
      <c r="D21" s="31">
        <v>113267</v>
      </c>
      <c r="E21" s="31" t="s">
        <v>52</v>
      </c>
    </row>
    <row r="22" spans="3:5" x14ac:dyDescent="0.45">
      <c r="C22" s="31" t="s">
        <v>571</v>
      </c>
      <c r="D22" s="31">
        <v>113283</v>
      </c>
      <c r="E22" s="31" t="s">
        <v>53</v>
      </c>
    </row>
    <row r="23" spans="3:5" x14ac:dyDescent="0.45">
      <c r="C23" s="31" t="s">
        <v>572</v>
      </c>
      <c r="D23" s="31">
        <v>113284</v>
      </c>
      <c r="E23" s="31" t="s">
        <v>17</v>
      </c>
    </row>
    <row r="24" spans="3:5" x14ac:dyDescent="0.45">
      <c r="C24" s="31" t="s">
        <v>557</v>
      </c>
      <c r="D24" s="31">
        <v>113291</v>
      </c>
      <c r="E24" s="31" t="s">
        <v>54</v>
      </c>
    </row>
    <row r="25" spans="3:5" x14ac:dyDescent="0.45">
      <c r="C25" s="31" t="s">
        <v>558</v>
      </c>
      <c r="D25" s="31">
        <v>113297</v>
      </c>
      <c r="E25" s="31" t="s">
        <v>18</v>
      </c>
    </row>
    <row r="26" spans="3:5" x14ac:dyDescent="0.45">
      <c r="C26" s="31" t="s">
        <v>573</v>
      </c>
      <c r="D26" s="31">
        <v>113326</v>
      </c>
      <c r="E26" s="31" t="s">
        <v>55</v>
      </c>
    </row>
    <row r="27" spans="3:5" x14ac:dyDescent="0.45">
      <c r="C27" s="31" t="s">
        <v>574</v>
      </c>
      <c r="D27" s="31">
        <v>113331</v>
      </c>
      <c r="E27" s="31" t="s">
        <v>56</v>
      </c>
    </row>
    <row r="28" spans="3:5" x14ac:dyDescent="0.45">
      <c r="C28" s="31" t="s">
        <v>482</v>
      </c>
      <c r="D28" s="31">
        <v>113332</v>
      </c>
      <c r="E28" s="31" t="s">
        <v>19</v>
      </c>
    </row>
    <row r="29" spans="3:5" x14ac:dyDescent="0.45">
      <c r="C29" s="31" t="s">
        <v>492</v>
      </c>
      <c r="D29" s="31">
        <v>113333</v>
      </c>
      <c r="E29" s="31" t="s">
        <v>57</v>
      </c>
    </row>
    <row r="30" spans="3:5" x14ac:dyDescent="0.45">
      <c r="C30" s="31" t="s">
        <v>559</v>
      </c>
      <c r="D30" s="31">
        <v>113334</v>
      </c>
      <c r="E30" s="31" t="s">
        <v>20</v>
      </c>
    </row>
    <row r="31" spans="3:5" x14ac:dyDescent="0.45">
      <c r="C31" s="31" t="s">
        <v>551</v>
      </c>
      <c r="D31" s="31">
        <v>113335</v>
      </c>
      <c r="E31" s="31" t="s">
        <v>58</v>
      </c>
    </row>
    <row r="32" spans="3:5" x14ac:dyDescent="0.45">
      <c r="C32" s="31" t="s">
        <v>560</v>
      </c>
      <c r="D32" s="31">
        <v>113336</v>
      </c>
      <c r="E32" s="31" t="s">
        <v>21</v>
      </c>
    </row>
    <row r="33" spans="3:5" x14ac:dyDescent="0.45">
      <c r="C33" s="31" t="s">
        <v>481</v>
      </c>
      <c r="D33" s="31">
        <v>113337</v>
      </c>
      <c r="E33" s="31" t="s">
        <v>59</v>
      </c>
    </row>
    <row r="34" spans="3:5" x14ac:dyDescent="0.45">
      <c r="C34" s="31" t="s">
        <v>532</v>
      </c>
      <c r="D34" s="31">
        <v>113338</v>
      </c>
      <c r="E34" s="31" t="s">
        <v>60</v>
      </c>
    </row>
    <row r="35" spans="3:5" x14ac:dyDescent="0.45">
      <c r="C35" s="31" t="s">
        <v>561</v>
      </c>
      <c r="D35" s="31">
        <v>113339</v>
      </c>
      <c r="E35" s="31" t="s">
        <v>61</v>
      </c>
    </row>
    <row r="36" spans="3:5" x14ac:dyDescent="0.45">
      <c r="C36" s="31" t="s">
        <v>562</v>
      </c>
      <c r="D36" s="31">
        <v>113340</v>
      </c>
      <c r="E36" s="31" t="s">
        <v>62</v>
      </c>
    </row>
    <row r="37" spans="3:5" x14ac:dyDescent="0.45">
      <c r="C37" s="31" t="s">
        <v>493</v>
      </c>
      <c r="D37" s="31">
        <v>113341</v>
      </c>
      <c r="E37" s="31" t="s">
        <v>63</v>
      </c>
    </row>
    <row r="38" spans="3:5" x14ac:dyDescent="0.45">
      <c r="C38" s="31" t="s">
        <v>494</v>
      </c>
      <c r="D38" s="31">
        <v>113343</v>
      </c>
      <c r="E38" s="31" t="s">
        <v>22</v>
      </c>
    </row>
    <row r="39" spans="3:5" x14ac:dyDescent="0.45">
      <c r="C39" s="31" t="s">
        <v>508</v>
      </c>
      <c r="D39" s="31">
        <v>113344</v>
      </c>
      <c r="E39" s="31" t="s">
        <v>23</v>
      </c>
    </row>
    <row r="40" spans="3:5" x14ac:dyDescent="0.45">
      <c r="C40" s="31" t="s">
        <v>509</v>
      </c>
      <c r="D40" s="31">
        <v>113345</v>
      </c>
      <c r="E40" s="31" t="s">
        <v>24</v>
      </c>
    </row>
    <row r="41" spans="3:5" x14ac:dyDescent="0.45">
      <c r="C41" s="31" t="s">
        <v>510</v>
      </c>
      <c r="D41" s="31">
        <v>113346</v>
      </c>
      <c r="E41" s="31" t="s">
        <v>25</v>
      </c>
    </row>
    <row r="42" spans="3:5" x14ac:dyDescent="0.45">
      <c r="C42" s="31" t="s">
        <v>511</v>
      </c>
      <c r="D42" s="31">
        <v>113347</v>
      </c>
      <c r="E42" s="31" t="s">
        <v>26</v>
      </c>
    </row>
    <row r="43" spans="3:5" x14ac:dyDescent="0.45">
      <c r="C43" s="31" t="s">
        <v>533</v>
      </c>
      <c r="D43" s="31">
        <v>113359</v>
      </c>
      <c r="E43" s="31" t="s">
        <v>6</v>
      </c>
    </row>
    <row r="44" spans="3:5" x14ac:dyDescent="0.45">
      <c r="C44" s="31" t="s">
        <v>515</v>
      </c>
      <c r="D44" s="31">
        <v>113360</v>
      </c>
      <c r="E44" s="31" t="s">
        <v>7</v>
      </c>
    </row>
    <row r="45" spans="3:5" x14ac:dyDescent="0.45">
      <c r="C45" s="31" t="s">
        <v>512</v>
      </c>
      <c r="D45" s="31">
        <v>113361</v>
      </c>
      <c r="E45" s="31" t="s">
        <v>8</v>
      </c>
    </row>
    <row r="46" spans="3:5" x14ac:dyDescent="0.45">
      <c r="C46" s="31" t="s">
        <v>534</v>
      </c>
      <c r="D46" s="31">
        <v>113362</v>
      </c>
      <c r="E46" s="31" t="s">
        <v>64</v>
      </c>
    </row>
    <row r="47" spans="3:5" x14ac:dyDescent="0.45">
      <c r="C47" s="31" t="s">
        <v>495</v>
      </c>
      <c r="D47" s="31">
        <v>113363</v>
      </c>
      <c r="E47" s="31" t="s">
        <v>27</v>
      </c>
    </row>
    <row r="48" spans="3:5" x14ac:dyDescent="0.45">
      <c r="C48" s="31" t="s">
        <v>496</v>
      </c>
      <c r="D48" s="31">
        <v>113364</v>
      </c>
      <c r="E48" s="31" t="s">
        <v>65</v>
      </c>
    </row>
    <row r="49" spans="3:5" x14ac:dyDescent="0.45">
      <c r="C49" s="31" t="s">
        <v>563</v>
      </c>
      <c r="D49" s="31">
        <v>113365</v>
      </c>
      <c r="E49" s="31" t="s">
        <v>28</v>
      </c>
    </row>
    <row r="50" spans="3:5" x14ac:dyDescent="0.45">
      <c r="C50" s="31" t="s">
        <v>535</v>
      </c>
      <c r="D50" s="31">
        <v>113366</v>
      </c>
      <c r="E50" s="31" t="s">
        <v>66</v>
      </c>
    </row>
    <row r="51" spans="3:5" x14ac:dyDescent="0.45">
      <c r="C51" s="31" t="s">
        <v>536</v>
      </c>
      <c r="D51" s="31">
        <v>113367</v>
      </c>
      <c r="E51" s="31" t="s">
        <v>29</v>
      </c>
    </row>
    <row r="52" spans="3:5" x14ac:dyDescent="0.45">
      <c r="C52" s="31" t="s">
        <v>552</v>
      </c>
      <c r="D52" s="31">
        <v>113368</v>
      </c>
      <c r="E52" s="31" t="s">
        <v>67</v>
      </c>
    </row>
    <row r="53" spans="3:5" x14ac:dyDescent="0.45">
      <c r="C53" s="31" t="s">
        <v>537</v>
      </c>
      <c r="D53" s="31">
        <v>113370</v>
      </c>
      <c r="E53" s="31" t="s">
        <v>30</v>
      </c>
    </row>
    <row r="54" spans="3:5" x14ac:dyDescent="0.45">
      <c r="C54" s="31" t="s">
        <v>538</v>
      </c>
      <c r="D54" s="31">
        <v>113371</v>
      </c>
      <c r="E54" s="31" t="s">
        <v>68</v>
      </c>
    </row>
    <row r="55" spans="3:5" x14ac:dyDescent="0.45">
      <c r="C55" s="31" t="s">
        <v>483</v>
      </c>
      <c r="D55" s="31">
        <v>113372</v>
      </c>
      <c r="E55" s="31" t="s">
        <v>31</v>
      </c>
    </row>
    <row r="56" spans="3:5" x14ac:dyDescent="0.45">
      <c r="C56" s="31" t="s">
        <v>539</v>
      </c>
      <c r="D56" s="31">
        <v>113373</v>
      </c>
      <c r="E56" s="31" t="s">
        <v>69</v>
      </c>
    </row>
    <row r="57" spans="3:5" x14ac:dyDescent="0.45">
      <c r="C57" s="31" t="s">
        <v>575</v>
      </c>
      <c r="D57" s="31">
        <v>113374</v>
      </c>
      <c r="E57" s="31" t="s">
        <v>32</v>
      </c>
    </row>
    <row r="58" spans="3:5" x14ac:dyDescent="0.45">
      <c r="C58" s="31" t="s">
        <v>540</v>
      </c>
      <c r="D58" s="31">
        <v>113375</v>
      </c>
      <c r="E58" s="31" t="s">
        <v>70</v>
      </c>
    </row>
    <row r="59" spans="3:5" x14ac:dyDescent="0.45">
      <c r="C59" s="31" t="s">
        <v>497</v>
      </c>
      <c r="D59" s="31">
        <v>113376</v>
      </c>
      <c r="E59" s="31" t="s">
        <v>33</v>
      </c>
    </row>
    <row r="60" spans="3:5" x14ac:dyDescent="0.45">
      <c r="C60" s="31" t="s">
        <v>541</v>
      </c>
      <c r="D60" s="31">
        <v>113377</v>
      </c>
      <c r="E60" s="31" t="s">
        <v>71</v>
      </c>
    </row>
    <row r="61" spans="3:5" x14ac:dyDescent="0.45">
      <c r="C61" s="31" t="s">
        <v>542</v>
      </c>
      <c r="D61" s="31">
        <v>113378</v>
      </c>
      <c r="E61" s="31" t="s">
        <v>34</v>
      </c>
    </row>
    <row r="62" spans="3:5" x14ac:dyDescent="0.45">
      <c r="C62" s="31" t="s">
        <v>137</v>
      </c>
      <c r="D62" s="31">
        <v>113379</v>
      </c>
      <c r="E62" s="31" t="s">
        <v>72</v>
      </c>
    </row>
    <row r="63" spans="3:5" x14ac:dyDescent="0.45">
      <c r="C63" s="31" t="s">
        <v>564</v>
      </c>
      <c r="D63" s="31">
        <v>113380</v>
      </c>
      <c r="E63" s="31" t="s">
        <v>35</v>
      </c>
    </row>
    <row r="64" spans="3:5" x14ac:dyDescent="0.45">
      <c r="C64" s="31" t="s">
        <v>543</v>
      </c>
      <c r="D64" s="31">
        <v>113381</v>
      </c>
      <c r="E64" s="31" t="s">
        <v>73</v>
      </c>
    </row>
    <row r="65" spans="3:5" x14ac:dyDescent="0.45">
      <c r="C65" s="31" t="s">
        <v>565</v>
      </c>
      <c r="D65" s="31">
        <v>113382</v>
      </c>
      <c r="E65" s="31" t="s">
        <v>36</v>
      </c>
    </row>
    <row r="66" spans="3:5" x14ac:dyDescent="0.45">
      <c r="C66" s="31" t="s">
        <v>566</v>
      </c>
      <c r="D66" s="31">
        <v>113383</v>
      </c>
      <c r="E66" s="31" t="s">
        <v>74</v>
      </c>
    </row>
    <row r="67" spans="3:5" x14ac:dyDescent="0.45">
      <c r="C67" s="31" t="s">
        <v>498</v>
      </c>
      <c r="D67" s="31">
        <v>113384</v>
      </c>
      <c r="E67" s="31" t="s">
        <v>37</v>
      </c>
    </row>
    <row r="68" spans="3:5" x14ac:dyDescent="0.45">
      <c r="C68" s="31" t="s">
        <v>567</v>
      </c>
      <c r="D68" s="31">
        <v>113385</v>
      </c>
      <c r="E68" s="31" t="s">
        <v>75</v>
      </c>
    </row>
    <row r="69" spans="3:5" x14ac:dyDescent="0.45">
      <c r="C69" s="31" t="s">
        <v>480</v>
      </c>
      <c r="D69" s="31">
        <v>113386</v>
      </c>
      <c r="E69" s="31" t="s">
        <v>38</v>
      </c>
    </row>
    <row r="70" spans="3:5" x14ac:dyDescent="0.45">
      <c r="C70" s="31" t="s">
        <v>576</v>
      </c>
      <c r="D70" s="31">
        <v>113402</v>
      </c>
      <c r="E70" s="31" t="s">
        <v>107</v>
      </c>
    </row>
    <row r="71" spans="3:5" x14ac:dyDescent="0.45">
      <c r="C71" s="31" t="s">
        <v>479</v>
      </c>
      <c r="D71" s="31">
        <v>113541</v>
      </c>
      <c r="E71" s="31" t="s">
        <v>82</v>
      </c>
    </row>
    <row r="72" spans="3:5" x14ac:dyDescent="0.45">
      <c r="C72" s="31" t="s">
        <v>568</v>
      </c>
      <c r="D72" s="31">
        <v>113639</v>
      </c>
      <c r="E72" s="31" t="s">
        <v>83</v>
      </c>
    </row>
    <row r="73" spans="3:5" x14ac:dyDescent="0.45">
      <c r="C73" s="31" t="s">
        <v>553</v>
      </c>
      <c r="D73" s="31">
        <v>113640</v>
      </c>
      <c r="E73" s="31" t="s">
        <v>45</v>
      </c>
    </row>
    <row r="74" spans="3:5" x14ac:dyDescent="0.45">
      <c r="C74" s="31" t="s">
        <v>577</v>
      </c>
      <c r="D74" s="31">
        <v>113790</v>
      </c>
      <c r="E74" s="31" t="s">
        <v>84</v>
      </c>
    </row>
    <row r="75" spans="3:5" x14ac:dyDescent="0.45">
      <c r="C75" s="31" t="s">
        <v>594</v>
      </c>
      <c r="D75" s="31">
        <v>113791</v>
      </c>
      <c r="E75" s="31" t="s">
        <v>85</v>
      </c>
    </row>
    <row r="76" spans="3:5" x14ac:dyDescent="0.45">
      <c r="C76" s="31" t="s">
        <v>569</v>
      </c>
      <c r="D76" s="31">
        <v>113315</v>
      </c>
      <c r="E76" s="31" t="s">
        <v>105</v>
      </c>
    </row>
    <row r="77" spans="3:5" x14ac:dyDescent="0.45">
      <c r="C77" s="31" t="s">
        <v>554</v>
      </c>
      <c r="D77" s="31">
        <v>113513</v>
      </c>
      <c r="E77" s="31" t="s">
        <v>112</v>
      </c>
    </row>
    <row r="78" spans="3:5" x14ac:dyDescent="0.45">
      <c r="C78" s="31" t="s">
        <v>570</v>
      </c>
      <c r="D78" s="31">
        <v>113509</v>
      </c>
      <c r="E78" s="31" t="s">
        <v>108</v>
      </c>
    </row>
    <row r="79" spans="3:5" x14ac:dyDescent="0.45">
      <c r="C79" s="31" t="s">
        <v>578</v>
      </c>
      <c r="D79" s="31">
        <v>113839</v>
      </c>
      <c r="E79" s="31" t="s">
        <v>460</v>
      </c>
    </row>
    <row r="80" spans="3:5" x14ac:dyDescent="0.45">
      <c r="C80" s="31" t="s">
        <v>544</v>
      </c>
      <c r="D80" s="31">
        <v>113842</v>
      </c>
      <c r="E80" s="31" t="s">
        <v>461</v>
      </c>
    </row>
    <row r="81" spans="3:5" x14ac:dyDescent="0.45">
      <c r="C81" s="31" t="s">
        <v>595</v>
      </c>
      <c r="D81" s="31">
        <v>113840</v>
      </c>
      <c r="E81" s="31" t="s">
        <v>462</v>
      </c>
    </row>
    <row r="82" spans="3:5" x14ac:dyDescent="0.45">
      <c r="C82" s="31" t="s">
        <v>499</v>
      </c>
      <c r="D82" s="31">
        <v>113841</v>
      </c>
      <c r="E82" s="31" t="s">
        <v>463</v>
      </c>
    </row>
    <row r="83" spans="3:5" x14ac:dyDescent="0.45">
      <c r="C83" s="31" t="s">
        <v>545</v>
      </c>
      <c r="D83" s="31">
        <v>113511</v>
      </c>
      <c r="E83" s="31" t="s">
        <v>110</v>
      </c>
    </row>
    <row r="84" spans="3:5" x14ac:dyDescent="0.45">
      <c r="C84" s="31" t="s">
        <v>513</v>
      </c>
      <c r="D84" s="31">
        <v>113316</v>
      </c>
      <c r="E84" s="31" t="s">
        <v>106</v>
      </c>
    </row>
    <row r="85" spans="3:5" x14ac:dyDescent="0.45">
      <c r="C85" s="31" t="s">
        <v>514</v>
      </c>
      <c r="D85" s="31">
        <v>113514</v>
      </c>
      <c r="E85" s="31" t="s">
        <v>113</v>
      </c>
    </row>
    <row r="86" spans="3:5" x14ac:dyDescent="0.45">
      <c r="C86" s="31" t="s">
        <v>546</v>
      </c>
      <c r="D86" s="31">
        <v>113510</v>
      </c>
      <c r="E86" s="31" t="s">
        <v>109</v>
      </c>
    </row>
    <row r="87" spans="3:5" x14ac:dyDescent="0.45">
      <c r="C87" s="31" t="s">
        <v>547</v>
      </c>
      <c r="D87" s="31">
        <v>113843</v>
      </c>
      <c r="E87" s="31" t="s">
        <v>464</v>
      </c>
    </row>
    <row r="88" spans="3:5" x14ac:dyDescent="0.45">
      <c r="C88" s="31" t="s">
        <v>519</v>
      </c>
      <c r="D88" s="31">
        <v>113846</v>
      </c>
      <c r="E88" s="31" t="s">
        <v>465</v>
      </c>
    </row>
    <row r="89" spans="3:5" x14ac:dyDescent="0.45">
      <c r="C89" s="31" t="s">
        <v>500</v>
      </c>
      <c r="D89" s="31">
        <v>113844</v>
      </c>
      <c r="E89" s="31" t="s">
        <v>466</v>
      </c>
    </row>
    <row r="90" spans="3:5" x14ac:dyDescent="0.45">
      <c r="C90" s="31" t="s">
        <v>520</v>
      </c>
      <c r="D90" s="31">
        <v>113845</v>
      </c>
      <c r="E90" s="31" t="s">
        <v>467</v>
      </c>
    </row>
    <row r="91" spans="3:5" x14ac:dyDescent="0.45">
      <c r="C91" s="31" t="s">
        <v>501</v>
      </c>
      <c r="D91" s="31">
        <v>113512</v>
      </c>
      <c r="E91" s="31" t="s">
        <v>111</v>
      </c>
    </row>
    <row r="92" spans="3:5" x14ac:dyDescent="0.45">
      <c r="C92" s="31" t="s">
        <v>521</v>
      </c>
      <c r="D92" s="31">
        <v>113417</v>
      </c>
      <c r="E92" s="31" t="s">
        <v>76</v>
      </c>
    </row>
    <row r="93" spans="3:5" x14ac:dyDescent="0.45">
      <c r="C93" s="31" t="s">
        <v>522</v>
      </c>
      <c r="D93" s="31">
        <v>113418</v>
      </c>
      <c r="E93" s="31" t="s">
        <v>39</v>
      </c>
    </row>
    <row r="94" spans="3:5" x14ac:dyDescent="0.45">
      <c r="C94" s="31" t="s">
        <v>523</v>
      </c>
      <c r="D94" s="31">
        <v>113462</v>
      </c>
      <c r="E94" s="31" t="s">
        <v>77</v>
      </c>
    </row>
    <row r="95" spans="3:5" x14ac:dyDescent="0.45">
      <c r="C95" s="31" t="s">
        <v>502</v>
      </c>
      <c r="D95" s="31">
        <v>113463</v>
      </c>
      <c r="E95" s="31" t="s">
        <v>40</v>
      </c>
    </row>
    <row r="96" spans="3:5" x14ac:dyDescent="0.45">
      <c r="C96" s="31" t="s">
        <v>503</v>
      </c>
      <c r="D96" s="31">
        <v>113464</v>
      </c>
      <c r="E96" s="31" t="s">
        <v>78</v>
      </c>
    </row>
    <row r="97" spans="3:5" x14ac:dyDescent="0.45">
      <c r="C97" s="31" t="s">
        <v>504</v>
      </c>
      <c r="D97" s="31">
        <v>113465</v>
      </c>
      <c r="E97" s="31" t="s">
        <v>41</v>
      </c>
    </row>
    <row r="98" spans="3:5" x14ac:dyDescent="0.45">
      <c r="C98" s="31" t="s">
        <v>505</v>
      </c>
      <c r="D98" s="31">
        <v>113466</v>
      </c>
      <c r="E98" s="31" t="s">
        <v>79</v>
      </c>
    </row>
    <row r="99" spans="3:5" x14ac:dyDescent="0.45">
      <c r="C99" s="31" t="s">
        <v>610</v>
      </c>
      <c r="D99" s="31">
        <v>113467</v>
      </c>
      <c r="E99" s="31" t="s">
        <v>42</v>
      </c>
    </row>
    <row r="100" spans="3:5" x14ac:dyDescent="0.45">
      <c r="C100" s="31" t="s">
        <v>597</v>
      </c>
      <c r="D100" s="31">
        <v>113468</v>
      </c>
      <c r="E100" s="31" t="s">
        <v>80</v>
      </c>
    </row>
    <row r="101" spans="3:5" x14ac:dyDescent="0.45">
      <c r="C101" s="31"/>
      <c r="D101" s="31">
        <v>113469</v>
      </c>
      <c r="E101" s="31" t="s">
        <v>43</v>
      </c>
    </row>
    <row r="102" spans="3:5" x14ac:dyDescent="0.45">
      <c r="C102" s="31"/>
      <c r="D102" s="31">
        <v>113470</v>
      </c>
      <c r="E102" s="31" t="s">
        <v>81</v>
      </c>
    </row>
    <row r="103" spans="3:5" ht="17.5" thickBot="1" x14ac:dyDescent="0.5">
      <c r="C103" s="32"/>
      <c r="D103" s="31">
        <v>113471</v>
      </c>
      <c r="E103" s="31" t="s">
        <v>44</v>
      </c>
    </row>
    <row r="104" spans="3:5" x14ac:dyDescent="0.45">
      <c r="D104" s="31">
        <v>112742</v>
      </c>
      <c r="E104" s="31" t="s">
        <v>144</v>
      </c>
    </row>
    <row r="105" spans="3:5" x14ac:dyDescent="0.45">
      <c r="D105" s="31">
        <v>112984</v>
      </c>
      <c r="E105" s="31" t="s">
        <v>145</v>
      </c>
    </row>
    <row r="106" spans="3:5" x14ac:dyDescent="0.45">
      <c r="D106" s="31">
        <v>112996</v>
      </c>
      <c r="E106" s="31" t="s">
        <v>146</v>
      </c>
    </row>
    <row r="107" spans="3:5" x14ac:dyDescent="0.45">
      <c r="D107" s="31">
        <v>113034</v>
      </c>
      <c r="E107" s="31" t="s">
        <v>178</v>
      </c>
    </row>
    <row r="108" spans="3:5" x14ac:dyDescent="0.45">
      <c r="D108" s="31">
        <v>113037</v>
      </c>
      <c r="E108" s="31" t="s">
        <v>147</v>
      </c>
    </row>
    <row r="109" spans="3:5" x14ac:dyDescent="0.45">
      <c r="D109" s="31">
        <v>113073</v>
      </c>
      <c r="E109" s="31" t="s">
        <v>148</v>
      </c>
    </row>
    <row r="110" spans="3:5" x14ac:dyDescent="0.45">
      <c r="D110" s="31">
        <v>113209</v>
      </c>
      <c r="E110" s="31" t="s">
        <v>149</v>
      </c>
    </row>
    <row r="111" spans="3:5" x14ac:dyDescent="0.45">
      <c r="D111" s="31">
        <v>113268</v>
      </c>
      <c r="E111" s="31" t="s">
        <v>150</v>
      </c>
    </row>
    <row r="112" spans="3:5" x14ac:dyDescent="0.45">
      <c r="D112" s="31">
        <v>113269</v>
      </c>
      <c r="E112" s="31" t="s">
        <v>151</v>
      </c>
    </row>
    <row r="113" spans="4:5" x14ac:dyDescent="0.45">
      <c r="D113" s="31">
        <v>113270</v>
      </c>
      <c r="E113" s="31" t="s">
        <v>152</v>
      </c>
    </row>
    <row r="114" spans="4:5" x14ac:dyDescent="0.45">
      <c r="D114" s="31">
        <v>113589</v>
      </c>
      <c r="E114" s="31" t="s">
        <v>154</v>
      </c>
    </row>
    <row r="115" spans="4:5" x14ac:dyDescent="0.45">
      <c r="D115" s="31">
        <v>113592</v>
      </c>
      <c r="E115" s="31" t="s">
        <v>155</v>
      </c>
    </row>
    <row r="116" spans="4:5" x14ac:dyDescent="0.45">
      <c r="D116" s="31">
        <v>113603</v>
      </c>
      <c r="E116" s="31" t="s">
        <v>179</v>
      </c>
    </row>
    <row r="117" spans="4:5" x14ac:dyDescent="0.45">
      <c r="D117" s="31">
        <v>113630</v>
      </c>
      <c r="E117" s="31" t="s">
        <v>156</v>
      </c>
    </row>
    <row r="118" spans="4:5" x14ac:dyDescent="0.45">
      <c r="D118" s="31">
        <v>113638</v>
      </c>
      <c r="E118" s="31" t="s">
        <v>157</v>
      </c>
    </row>
    <row r="119" spans="4:5" x14ac:dyDescent="0.45">
      <c r="D119" s="31">
        <v>113694</v>
      </c>
      <c r="E119" s="31" t="s">
        <v>158</v>
      </c>
    </row>
    <row r="120" spans="4:5" x14ac:dyDescent="0.45">
      <c r="D120" s="31">
        <v>113695</v>
      </c>
      <c r="E120" s="31" t="s">
        <v>159</v>
      </c>
    </row>
    <row r="121" spans="4:5" x14ac:dyDescent="0.45">
      <c r="D121" s="31">
        <v>113696</v>
      </c>
      <c r="E121" s="31" t="s">
        <v>160</v>
      </c>
    </row>
    <row r="122" spans="4:5" x14ac:dyDescent="0.45">
      <c r="D122" s="31">
        <v>113697</v>
      </c>
      <c r="E122" s="31" t="s">
        <v>161</v>
      </c>
    </row>
    <row r="123" spans="4:5" x14ac:dyDescent="0.45">
      <c r="D123" s="31">
        <v>113698</v>
      </c>
      <c r="E123" s="31" t="s">
        <v>162</v>
      </c>
    </row>
    <row r="124" spans="4:5" x14ac:dyDescent="0.45">
      <c r="D124" s="31">
        <v>113699</v>
      </c>
      <c r="E124" s="31" t="s">
        <v>163</v>
      </c>
    </row>
    <row r="125" spans="4:5" x14ac:dyDescent="0.45">
      <c r="D125" s="31">
        <v>113700</v>
      </c>
      <c r="E125" s="31" t="s">
        <v>164</v>
      </c>
    </row>
    <row r="126" spans="4:5" x14ac:dyDescent="0.45">
      <c r="D126" s="31">
        <v>113701</v>
      </c>
      <c r="E126" s="31" t="s">
        <v>165</v>
      </c>
    </row>
    <row r="127" spans="4:5" x14ac:dyDescent="0.45">
      <c r="D127" s="31">
        <v>113823</v>
      </c>
      <c r="E127" s="31" t="s">
        <v>153</v>
      </c>
    </row>
    <row r="128" spans="4:5" x14ac:dyDescent="0.45">
      <c r="D128" s="31">
        <v>113948</v>
      </c>
      <c r="E128" s="31" t="s">
        <v>468</v>
      </c>
    </row>
    <row r="129" spans="4:5" x14ac:dyDescent="0.45">
      <c r="D129" s="31">
        <v>113889</v>
      </c>
      <c r="E129" s="31" t="s">
        <v>469</v>
      </c>
    </row>
    <row r="130" spans="4:5" x14ac:dyDescent="0.45">
      <c r="D130" s="31">
        <v>113891</v>
      </c>
      <c r="E130" s="31" t="s">
        <v>167</v>
      </c>
    </row>
    <row r="131" spans="4:5" x14ac:dyDescent="0.45">
      <c r="D131" s="31">
        <v>113892</v>
      </c>
      <c r="E131" s="31" t="s">
        <v>168</v>
      </c>
    </row>
    <row r="132" spans="4:5" x14ac:dyDescent="0.45">
      <c r="D132" s="31">
        <v>113890</v>
      </c>
      <c r="E132" s="31" t="s">
        <v>166</v>
      </c>
    </row>
    <row r="133" spans="4:5" x14ac:dyDescent="0.45">
      <c r="D133" s="31">
        <v>113893</v>
      </c>
      <c r="E133" s="31" t="s">
        <v>169</v>
      </c>
    </row>
    <row r="134" spans="4:5" x14ac:dyDescent="0.45">
      <c r="D134" s="31">
        <v>113949</v>
      </c>
      <c r="E134" s="31" t="s">
        <v>173</v>
      </c>
    </row>
    <row r="135" spans="4:5" x14ac:dyDescent="0.45">
      <c r="D135" s="31">
        <v>113950</v>
      </c>
      <c r="E135" s="31" t="s">
        <v>174</v>
      </c>
    </row>
    <row r="136" spans="4:5" x14ac:dyDescent="0.45">
      <c r="D136" s="31">
        <v>113952</v>
      </c>
      <c r="E136" s="31" t="s">
        <v>176</v>
      </c>
    </row>
    <row r="137" spans="4:5" x14ac:dyDescent="0.45">
      <c r="D137" s="31">
        <v>113953</v>
      </c>
      <c r="E137" s="31" t="s">
        <v>177</v>
      </c>
    </row>
    <row r="138" spans="4:5" x14ac:dyDescent="0.45">
      <c r="D138" s="31">
        <v>113951</v>
      </c>
      <c r="E138" s="31" t="s">
        <v>175</v>
      </c>
    </row>
    <row r="139" spans="4:5" x14ac:dyDescent="0.45">
      <c r="D139" s="31">
        <v>113260</v>
      </c>
      <c r="E139" s="31" t="s">
        <v>182</v>
      </c>
    </row>
    <row r="140" spans="4:5" x14ac:dyDescent="0.45">
      <c r="D140" s="31">
        <v>112689</v>
      </c>
      <c r="E140" s="31" t="s">
        <v>138</v>
      </c>
    </row>
    <row r="141" spans="4:5" x14ac:dyDescent="0.45">
      <c r="D141" s="31">
        <v>113413</v>
      </c>
      <c r="E141" s="31" t="s">
        <v>139</v>
      </c>
    </row>
    <row r="142" spans="4:5" x14ac:dyDescent="0.45">
      <c r="D142" s="31">
        <v>113414</v>
      </c>
      <c r="E142" s="31" t="s">
        <v>140</v>
      </c>
    </row>
    <row r="143" spans="4:5" x14ac:dyDescent="0.45">
      <c r="D143" s="31">
        <v>113522</v>
      </c>
      <c r="E143" s="31" t="s">
        <v>141</v>
      </c>
    </row>
    <row r="144" spans="4:5" x14ac:dyDescent="0.45">
      <c r="D144" s="31">
        <v>113523</v>
      </c>
      <c r="E144" s="31" t="s">
        <v>142</v>
      </c>
    </row>
    <row r="145" spans="4:5" x14ac:dyDescent="0.45">
      <c r="D145" s="31">
        <v>112825</v>
      </c>
      <c r="E145" s="31" t="s">
        <v>118</v>
      </c>
    </row>
    <row r="146" spans="4:5" x14ac:dyDescent="0.45">
      <c r="D146" s="31">
        <v>113633</v>
      </c>
      <c r="E146" s="31" t="s">
        <v>120</v>
      </c>
    </row>
    <row r="147" spans="4:5" x14ac:dyDescent="0.45">
      <c r="D147" s="31">
        <v>113652</v>
      </c>
      <c r="E147" s="31" t="s">
        <v>121</v>
      </c>
    </row>
    <row r="148" spans="4:5" x14ac:dyDescent="0.45">
      <c r="D148" s="31">
        <v>113711</v>
      </c>
      <c r="E148" s="31" t="s">
        <v>122</v>
      </c>
    </row>
    <row r="149" spans="4:5" x14ac:dyDescent="0.45">
      <c r="D149" s="31">
        <v>113714</v>
      </c>
      <c r="E149" s="31" t="s">
        <v>123</v>
      </c>
    </row>
    <row r="150" spans="4:5" x14ac:dyDescent="0.45">
      <c r="D150" s="31">
        <v>113717</v>
      </c>
      <c r="E150" s="31" t="s">
        <v>124</v>
      </c>
    </row>
    <row r="151" spans="4:5" x14ac:dyDescent="0.45">
      <c r="D151" s="31">
        <v>113744</v>
      </c>
      <c r="E151" s="31" t="s">
        <v>125</v>
      </c>
    </row>
    <row r="152" spans="4:5" x14ac:dyDescent="0.45">
      <c r="D152" s="31">
        <v>113745</v>
      </c>
      <c r="E152" s="31" t="s">
        <v>126</v>
      </c>
    </row>
    <row r="153" spans="4:5" x14ac:dyDescent="0.45">
      <c r="D153" s="31">
        <v>113768</v>
      </c>
      <c r="E153" s="31" t="s">
        <v>127</v>
      </c>
    </row>
    <row r="154" spans="4:5" x14ac:dyDescent="0.45">
      <c r="D154" s="31">
        <v>113769</v>
      </c>
      <c r="E154" s="31" t="s">
        <v>119</v>
      </c>
    </row>
    <row r="155" spans="4:5" x14ac:dyDescent="0.45">
      <c r="D155" s="31">
        <v>113851</v>
      </c>
      <c r="E155" s="31" t="s">
        <v>128</v>
      </c>
    </row>
    <row r="156" spans="4:5" x14ac:dyDescent="0.45">
      <c r="D156" s="31">
        <v>113852</v>
      </c>
      <c r="E156" s="31" t="s">
        <v>129</v>
      </c>
    </row>
    <row r="157" spans="4:5" x14ac:dyDescent="0.45">
      <c r="D157" s="31">
        <v>4100527</v>
      </c>
      <c r="E157" s="31" t="s">
        <v>197</v>
      </c>
    </row>
    <row r="158" spans="4:5" x14ac:dyDescent="0.45">
      <c r="D158" s="31">
        <v>4100528</v>
      </c>
      <c r="E158" s="31" t="s">
        <v>198</v>
      </c>
    </row>
    <row r="159" spans="4:5" x14ac:dyDescent="0.45">
      <c r="D159" s="31">
        <v>4100556</v>
      </c>
      <c r="E159" s="31" t="s">
        <v>199</v>
      </c>
    </row>
    <row r="160" spans="4:5" x14ac:dyDescent="0.45">
      <c r="D160" s="31">
        <v>4100668</v>
      </c>
      <c r="E160" s="31" t="s">
        <v>200</v>
      </c>
    </row>
    <row r="161" spans="4:5" x14ac:dyDescent="0.45">
      <c r="D161" s="31">
        <v>4100669</v>
      </c>
      <c r="E161" s="31" t="s">
        <v>201</v>
      </c>
    </row>
    <row r="162" spans="4:5" x14ac:dyDescent="0.45">
      <c r="D162" s="31">
        <v>4100670</v>
      </c>
      <c r="E162" s="31" t="s">
        <v>202</v>
      </c>
    </row>
    <row r="163" spans="4:5" x14ac:dyDescent="0.45">
      <c r="D163" s="31">
        <v>4100717</v>
      </c>
      <c r="E163" s="31" t="s">
        <v>203</v>
      </c>
    </row>
    <row r="164" spans="4:5" x14ac:dyDescent="0.45">
      <c r="D164" s="31">
        <v>4100718</v>
      </c>
      <c r="E164" s="31" t="s">
        <v>204</v>
      </c>
    </row>
    <row r="165" spans="4:5" x14ac:dyDescent="0.45">
      <c r="D165" s="31">
        <v>4100719</v>
      </c>
      <c r="E165" s="31" t="s">
        <v>205</v>
      </c>
    </row>
    <row r="166" spans="4:5" x14ac:dyDescent="0.45">
      <c r="D166" s="31">
        <v>4100720</v>
      </c>
      <c r="E166" s="31" t="s">
        <v>206</v>
      </c>
    </row>
    <row r="167" spans="4:5" x14ac:dyDescent="0.45">
      <c r="D167" s="31">
        <v>4100722</v>
      </c>
      <c r="E167" s="31" t="s">
        <v>207</v>
      </c>
    </row>
    <row r="168" spans="4:5" x14ac:dyDescent="0.45">
      <c r="D168" s="31">
        <v>4100725</v>
      </c>
      <c r="E168" s="31" t="s">
        <v>208</v>
      </c>
    </row>
    <row r="169" spans="4:5" x14ac:dyDescent="0.45">
      <c r="D169" s="31">
        <v>4100726</v>
      </c>
      <c r="E169" s="31" t="s">
        <v>209</v>
      </c>
    </row>
    <row r="170" spans="4:5" x14ac:dyDescent="0.45">
      <c r="D170" s="31">
        <v>4100727</v>
      </c>
      <c r="E170" s="31" t="s">
        <v>210</v>
      </c>
    </row>
    <row r="171" spans="4:5" x14ac:dyDescent="0.45">
      <c r="D171" s="31">
        <v>4100849</v>
      </c>
      <c r="E171" s="31" t="s">
        <v>211</v>
      </c>
    </row>
    <row r="172" spans="4:5" x14ac:dyDescent="0.45">
      <c r="D172" s="31">
        <v>4100858</v>
      </c>
      <c r="E172" s="31" t="s">
        <v>212</v>
      </c>
    </row>
    <row r="173" spans="4:5" x14ac:dyDescent="0.45">
      <c r="D173" s="31">
        <v>4100859</v>
      </c>
      <c r="E173" s="31" t="s">
        <v>213</v>
      </c>
    </row>
    <row r="174" spans="4:5" x14ac:dyDescent="0.45">
      <c r="D174" s="31">
        <v>4100860</v>
      </c>
      <c r="E174" s="31" t="s">
        <v>214</v>
      </c>
    </row>
    <row r="175" spans="4:5" x14ac:dyDescent="0.45">
      <c r="D175" s="31">
        <v>4100861</v>
      </c>
      <c r="E175" s="31" t="s">
        <v>215</v>
      </c>
    </row>
    <row r="176" spans="4:5" x14ac:dyDescent="0.45">
      <c r="D176" s="31">
        <v>4100862</v>
      </c>
      <c r="E176" s="31" t="s">
        <v>216</v>
      </c>
    </row>
    <row r="177" spans="4:5" x14ac:dyDescent="0.45">
      <c r="D177" s="31">
        <v>4100863</v>
      </c>
      <c r="E177" s="31" t="s">
        <v>217</v>
      </c>
    </row>
    <row r="178" spans="4:5" x14ac:dyDescent="0.45">
      <c r="D178" s="31">
        <v>4100864</v>
      </c>
      <c r="E178" s="31" t="s">
        <v>218</v>
      </c>
    </row>
    <row r="179" spans="4:5" x14ac:dyDescent="0.45">
      <c r="D179" s="31">
        <v>4100865</v>
      </c>
      <c r="E179" s="31" t="s">
        <v>219</v>
      </c>
    </row>
    <row r="180" spans="4:5" x14ac:dyDescent="0.45">
      <c r="D180" s="31">
        <v>4100866</v>
      </c>
      <c r="E180" s="31" t="s">
        <v>220</v>
      </c>
    </row>
    <row r="181" spans="4:5" x14ac:dyDescent="0.45">
      <c r="D181" s="31">
        <v>4100878</v>
      </c>
      <c r="E181" s="31" t="s">
        <v>221</v>
      </c>
    </row>
    <row r="182" spans="4:5" x14ac:dyDescent="0.45">
      <c r="D182" s="31">
        <v>4100879</v>
      </c>
      <c r="E182" s="31" t="s">
        <v>222</v>
      </c>
    </row>
    <row r="183" spans="4:5" x14ac:dyDescent="0.45">
      <c r="D183" s="31">
        <v>4100914</v>
      </c>
      <c r="E183" s="31" t="s">
        <v>581</v>
      </c>
    </row>
    <row r="184" spans="4:5" x14ac:dyDescent="0.45">
      <c r="D184" s="31">
        <v>4100915</v>
      </c>
      <c r="E184" s="31" t="s">
        <v>583</v>
      </c>
    </row>
    <row r="185" spans="4:5" x14ac:dyDescent="0.45">
      <c r="D185" s="31">
        <v>4100916</v>
      </c>
      <c r="E185" s="31" t="s">
        <v>582</v>
      </c>
    </row>
    <row r="186" spans="4:5" x14ac:dyDescent="0.45">
      <c r="D186" s="31">
        <v>4100917</v>
      </c>
      <c r="E186" s="31" t="s">
        <v>584</v>
      </c>
    </row>
    <row r="187" spans="4:5" x14ac:dyDescent="0.45">
      <c r="D187" s="31">
        <v>4100918</v>
      </c>
      <c r="E187" s="31" t="s">
        <v>585</v>
      </c>
    </row>
    <row r="188" spans="4:5" x14ac:dyDescent="0.45">
      <c r="D188" s="31">
        <v>4101039</v>
      </c>
      <c r="E188" s="31" t="s">
        <v>223</v>
      </c>
    </row>
    <row r="189" spans="4:5" x14ac:dyDescent="0.45">
      <c r="D189" s="31">
        <v>4101040</v>
      </c>
      <c r="E189" s="31" t="s">
        <v>224</v>
      </c>
    </row>
    <row r="190" spans="4:5" x14ac:dyDescent="0.45">
      <c r="D190" s="31">
        <v>4101041</v>
      </c>
      <c r="E190" s="31" t="s">
        <v>225</v>
      </c>
    </row>
    <row r="191" spans="4:5" x14ac:dyDescent="0.45">
      <c r="D191" s="31">
        <v>4101042</v>
      </c>
      <c r="E191" s="31" t="s">
        <v>226</v>
      </c>
    </row>
    <row r="192" spans="4:5" x14ac:dyDescent="0.45">
      <c r="D192" s="31">
        <v>4101043</v>
      </c>
      <c r="E192" s="31" t="s">
        <v>227</v>
      </c>
    </row>
    <row r="193" spans="4:5" x14ac:dyDescent="0.45">
      <c r="D193" s="31">
        <v>4101078</v>
      </c>
      <c r="E193" s="31" t="s">
        <v>588</v>
      </c>
    </row>
    <row r="194" spans="4:5" x14ac:dyDescent="0.45">
      <c r="D194" s="31">
        <v>4101079</v>
      </c>
      <c r="E194" s="31" t="s">
        <v>589</v>
      </c>
    </row>
    <row r="195" spans="4:5" x14ac:dyDescent="0.45">
      <c r="D195" s="31">
        <v>4101080</v>
      </c>
      <c r="E195" s="31" t="s">
        <v>590</v>
      </c>
    </row>
    <row r="196" spans="4:5" x14ac:dyDescent="0.45">
      <c r="D196" s="31">
        <v>4101081</v>
      </c>
      <c r="E196" s="31" t="s">
        <v>591</v>
      </c>
    </row>
    <row r="197" spans="4:5" x14ac:dyDescent="0.45">
      <c r="D197" s="31">
        <v>4101082</v>
      </c>
      <c r="E197" s="31" t="s">
        <v>592</v>
      </c>
    </row>
    <row r="198" spans="4:5" x14ac:dyDescent="0.45">
      <c r="D198" s="31">
        <v>113259</v>
      </c>
      <c r="E198" s="31" t="s">
        <v>184</v>
      </c>
    </row>
    <row r="199" spans="4:5" x14ac:dyDescent="0.45">
      <c r="D199" s="31">
        <v>113278</v>
      </c>
      <c r="E199" s="31" t="s">
        <v>185</v>
      </c>
    </row>
    <row r="200" spans="4:5" x14ac:dyDescent="0.45">
      <c r="D200" s="31">
        <v>113352</v>
      </c>
      <c r="E200" s="31" t="s">
        <v>186</v>
      </c>
    </row>
    <row r="201" spans="4:5" x14ac:dyDescent="0.45">
      <c r="D201" s="31">
        <v>113486</v>
      </c>
      <c r="E201" s="31" t="s">
        <v>187</v>
      </c>
    </row>
    <row r="202" spans="4:5" x14ac:dyDescent="0.45">
      <c r="D202" s="31">
        <v>113706</v>
      </c>
      <c r="E202" s="31" t="s">
        <v>188</v>
      </c>
    </row>
    <row r="203" spans="4:5" x14ac:dyDescent="0.45">
      <c r="D203" s="31">
        <v>113707</v>
      </c>
      <c r="E203" s="31" t="s">
        <v>189</v>
      </c>
    </row>
    <row r="204" spans="4:5" x14ac:dyDescent="0.45">
      <c r="D204" s="31">
        <v>113708</v>
      </c>
      <c r="E204" s="31" t="s">
        <v>190</v>
      </c>
    </row>
    <row r="205" spans="4:5" x14ac:dyDescent="0.45">
      <c r="D205" s="31">
        <v>113709</v>
      </c>
      <c r="E205" s="31" t="s">
        <v>191</v>
      </c>
    </row>
    <row r="206" spans="4:5" x14ac:dyDescent="0.45">
      <c r="D206" s="31">
        <v>113710</v>
      </c>
      <c r="E206" s="31" t="s">
        <v>192</v>
      </c>
    </row>
    <row r="207" spans="4:5" x14ac:dyDescent="0.45">
      <c r="D207" s="31">
        <v>4100730</v>
      </c>
      <c r="E207" s="31" t="s">
        <v>193</v>
      </c>
    </row>
    <row r="208" spans="4:5" x14ac:dyDescent="0.45">
      <c r="D208" s="31">
        <v>4100731</v>
      </c>
      <c r="E208" s="31" t="s">
        <v>194</v>
      </c>
    </row>
    <row r="209" spans="4:5" x14ac:dyDescent="0.45">
      <c r="D209" s="31">
        <v>4100732</v>
      </c>
      <c r="E209" s="31" t="s">
        <v>195</v>
      </c>
    </row>
    <row r="210" spans="4:5" x14ac:dyDescent="0.45">
      <c r="D210" s="31">
        <v>4100733</v>
      </c>
      <c r="E210" s="31" t="s">
        <v>196</v>
      </c>
    </row>
    <row r="211" spans="4:5" x14ac:dyDescent="0.45">
      <c r="D211" s="31">
        <v>4100311</v>
      </c>
      <c r="E211" s="31" t="s">
        <v>229</v>
      </c>
    </row>
    <row r="212" spans="4:5" x14ac:dyDescent="0.45">
      <c r="D212" s="31">
        <v>4100312</v>
      </c>
      <c r="E212" s="31" t="s">
        <v>230</v>
      </c>
    </row>
    <row r="213" spans="4:5" x14ac:dyDescent="0.45">
      <c r="D213" s="31">
        <v>4100313</v>
      </c>
      <c r="E213" s="31" t="s">
        <v>231</v>
      </c>
    </row>
    <row r="214" spans="4:5" x14ac:dyDescent="0.45">
      <c r="D214" s="31">
        <v>4100375</v>
      </c>
      <c r="E214" s="31" t="s">
        <v>232</v>
      </c>
    </row>
    <row r="215" spans="4:5" x14ac:dyDescent="0.45">
      <c r="D215" s="31">
        <v>4100376</v>
      </c>
      <c r="E215" s="31" t="s">
        <v>233</v>
      </c>
    </row>
    <row r="216" spans="4:5" x14ac:dyDescent="0.45">
      <c r="D216" s="31">
        <v>4100386</v>
      </c>
      <c r="E216" s="31" t="s">
        <v>234</v>
      </c>
    </row>
    <row r="217" spans="4:5" x14ac:dyDescent="0.45">
      <c r="D217" s="31">
        <v>4100387</v>
      </c>
      <c r="E217" s="31" t="s">
        <v>235</v>
      </c>
    </row>
    <row r="218" spans="4:5" x14ac:dyDescent="0.45">
      <c r="D218" s="31">
        <v>4100388</v>
      </c>
      <c r="E218" s="31" t="s">
        <v>236</v>
      </c>
    </row>
    <row r="219" spans="4:5" x14ac:dyDescent="0.45">
      <c r="D219" s="31">
        <v>4100389</v>
      </c>
      <c r="E219" s="31" t="s">
        <v>237</v>
      </c>
    </row>
    <row r="220" spans="4:5" x14ac:dyDescent="0.45">
      <c r="D220" s="31">
        <v>4100390</v>
      </c>
      <c r="E220" s="31" t="s">
        <v>238</v>
      </c>
    </row>
    <row r="221" spans="4:5" x14ac:dyDescent="0.45">
      <c r="D221" s="31">
        <v>4100391</v>
      </c>
      <c r="E221" s="31" t="s">
        <v>239</v>
      </c>
    </row>
    <row r="222" spans="4:5" x14ac:dyDescent="0.45">
      <c r="D222" s="31">
        <v>4100398</v>
      </c>
      <c r="E222" s="31" t="s">
        <v>240</v>
      </c>
    </row>
    <row r="223" spans="4:5" x14ac:dyDescent="0.45">
      <c r="D223" s="31">
        <v>4100399</v>
      </c>
      <c r="E223" s="31" t="s">
        <v>241</v>
      </c>
    </row>
    <row r="224" spans="4:5" x14ac:dyDescent="0.45">
      <c r="D224" s="31">
        <v>4100420</v>
      </c>
      <c r="E224" s="31" t="s">
        <v>242</v>
      </c>
    </row>
    <row r="225" spans="4:5" x14ac:dyDescent="0.45">
      <c r="D225" s="31">
        <v>4100495</v>
      </c>
      <c r="E225" s="31" t="s">
        <v>243</v>
      </c>
    </row>
    <row r="226" spans="4:5" x14ac:dyDescent="0.45">
      <c r="D226" s="31">
        <v>4100496</v>
      </c>
      <c r="E226" s="31" t="s">
        <v>244</v>
      </c>
    </row>
    <row r="227" spans="4:5" x14ac:dyDescent="0.45">
      <c r="D227" s="31">
        <v>4100497</v>
      </c>
      <c r="E227" s="31" t="s">
        <v>245</v>
      </c>
    </row>
    <row r="228" spans="4:5" x14ac:dyDescent="0.45">
      <c r="D228" s="31">
        <v>4100508</v>
      </c>
      <c r="E228" s="31" t="s">
        <v>246</v>
      </c>
    </row>
    <row r="229" spans="4:5" x14ac:dyDescent="0.45">
      <c r="D229" s="31">
        <v>4100509</v>
      </c>
      <c r="E229" s="31" t="s">
        <v>247</v>
      </c>
    </row>
    <row r="230" spans="4:5" x14ac:dyDescent="0.45">
      <c r="D230" s="31">
        <v>4100532</v>
      </c>
      <c r="E230" s="31" t="s">
        <v>470</v>
      </c>
    </row>
    <row r="231" spans="4:5" x14ac:dyDescent="0.45">
      <c r="D231" s="31">
        <v>4100533</v>
      </c>
      <c r="E231" s="31" t="s">
        <v>471</v>
      </c>
    </row>
    <row r="232" spans="4:5" x14ac:dyDescent="0.45">
      <c r="D232" s="31">
        <v>4100543</v>
      </c>
      <c r="E232" s="31" t="s">
        <v>248</v>
      </c>
    </row>
    <row r="233" spans="4:5" x14ac:dyDescent="0.45">
      <c r="D233" s="31">
        <v>4100544</v>
      </c>
      <c r="E233" s="31" t="s">
        <v>249</v>
      </c>
    </row>
    <row r="234" spans="4:5" x14ac:dyDescent="0.45">
      <c r="D234" s="31">
        <v>4100545</v>
      </c>
      <c r="E234" s="31" t="s">
        <v>250</v>
      </c>
    </row>
    <row r="235" spans="4:5" x14ac:dyDescent="0.45">
      <c r="D235" s="31">
        <v>4100546</v>
      </c>
      <c r="E235" s="31" t="s">
        <v>251</v>
      </c>
    </row>
    <row r="236" spans="4:5" x14ac:dyDescent="0.45">
      <c r="D236" s="31">
        <v>4100547</v>
      </c>
      <c r="E236" s="31" t="s">
        <v>252</v>
      </c>
    </row>
    <row r="237" spans="4:5" x14ac:dyDescent="0.45">
      <c r="D237" s="31">
        <v>4100548</v>
      </c>
      <c r="E237" s="31" t="s">
        <v>253</v>
      </c>
    </row>
    <row r="238" spans="4:5" x14ac:dyDescent="0.45">
      <c r="D238" s="31">
        <v>4100550</v>
      </c>
      <c r="E238" s="31" t="s">
        <v>254</v>
      </c>
    </row>
    <row r="239" spans="4:5" x14ac:dyDescent="0.45">
      <c r="D239" s="31">
        <v>4100551</v>
      </c>
      <c r="E239" s="31" t="s">
        <v>255</v>
      </c>
    </row>
    <row r="240" spans="4:5" x14ac:dyDescent="0.45">
      <c r="D240" s="31">
        <v>4100552</v>
      </c>
      <c r="E240" s="31" t="s">
        <v>256</v>
      </c>
    </row>
    <row r="241" spans="4:5" x14ac:dyDescent="0.45">
      <c r="D241" s="31">
        <v>4100639</v>
      </c>
      <c r="E241" s="31" t="s">
        <v>263</v>
      </c>
    </row>
    <row r="242" spans="4:5" x14ac:dyDescent="0.45">
      <c r="D242" s="31">
        <v>4100640</v>
      </c>
      <c r="E242" s="31" t="s">
        <v>264</v>
      </c>
    </row>
    <row r="243" spans="4:5" x14ac:dyDescent="0.45">
      <c r="D243" s="31">
        <v>4100641</v>
      </c>
      <c r="E243" s="31" t="s">
        <v>265</v>
      </c>
    </row>
    <row r="244" spans="4:5" x14ac:dyDescent="0.45">
      <c r="D244" s="31">
        <v>4100646</v>
      </c>
      <c r="E244" s="31" t="s">
        <v>266</v>
      </c>
    </row>
    <row r="245" spans="4:5" x14ac:dyDescent="0.45">
      <c r="D245" s="31">
        <v>4100647</v>
      </c>
      <c r="E245" s="31" t="s">
        <v>267</v>
      </c>
    </row>
    <row r="246" spans="4:5" x14ac:dyDescent="0.45">
      <c r="D246" s="31">
        <v>4100648</v>
      </c>
      <c r="E246" s="31" t="s">
        <v>268</v>
      </c>
    </row>
    <row r="247" spans="4:5" x14ac:dyDescent="0.45">
      <c r="D247" s="31">
        <v>4100649</v>
      </c>
      <c r="E247" s="31" t="s">
        <v>269</v>
      </c>
    </row>
    <row r="248" spans="4:5" x14ac:dyDescent="0.45">
      <c r="D248" s="31">
        <v>4100650</v>
      </c>
      <c r="E248" s="31" t="s">
        <v>270</v>
      </c>
    </row>
    <row r="249" spans="4:5" x14ac:dyDescent="0.45">
      <c r="D249" s="31">
        <v>4100651</v>
      </c>
      <c r="E249" s="31" t="s">
        <v>271</v>
      </c>
    </row>
    <row r="250" spans="4:5" x14ac:dyDescent="0.45">
      <c r="D250" s="31">
        <v>4100652</v>
      </c>
      <c r="E250" s="31" t="s">
        <v>272</v>
      </c>
    </row>
    <row r="251" spans="4:5" x14ac:dyDescent="0.45">
      <c r="D251" s="31">
        <v>4100653</v>
      </c>
      <c r="E251" s="31" t="s">
        <v>273</v>
      </c>
    </row>
    <row r="252" spans="4:5" x14ac:dyDescent="0.45">
      <c r="D252" s="31">
        <v>4100787</v>
      </c>
      <c r="E252" s="31" t="s">
        <v>274</v>
      </c>
    </row>
    <row r="253" spans="4:5" x14ac:dyDescent="0.45">
      <c r="D253" s="31">
        <v>4100788</v>
      </c>
      <c r="E253" s="31" t="s">
        <v>275</v>
      </c>
    </row>
    <row r="254" spans="4:5" x14ac:dyDescent="0.45">
      <c r="D254" s="31">
        <v>4100789</v>
      </c>
      <c r="E254" s="31" t="s">
        <v>276</v>
      </c>
    </row>
    <row r="255" spans="4:5" x14ac:dyDescent="0.45">
      <c r="D255" s="31">
        <v>4100793</v>
      </c>
      <c r="E255" s="31" t="s">
        <v>277</v>
      </c>
    </row>
    <row r="256" spans="4:5" x14ac:dyDescent="0.45">
      <c r="D256" s="31">
        <v>4100794</v>
      </c>
      <c r="E256" s="31" t="s">
        <v>278</v>
      </c>
    </row>
    <row r="257" spans="4:5" x14ac:dyDescent="0.45">
      <c r="D257" s="31">
        <v>4100795</v>
      </c>
      <c r="E257" s="31" t="s">
        <v>279</v>
      </c>
    </row>
    <row r="258" spans="4:5" x14ac:dyDescent="0.45">
      <c r="D258" s="31">
        <v>4100810</v>
      </c>
      <c r="E258" s="31" t="s">
        <v>280</v>
      </c>
    </row>
    <row r="259" spans="4:5" x14ac:dyDescent="0.45">
      <c r="D259" s="31">
        <v>4100811</v>
      </c>
      <c r="E259" s="31" t="s">
        <v>281</v>
      </c>
    </row>
    <row r="260" spans="4:5" x14ac:dyDescent="0.45">
      <c r="D260" s="31">
        <v>4100812</v>
      </c>
      <c r="E260" s="31" t="s">
        <v>282</v>
      </c>
    </row>
    <row r="261" spans="4:5" x14ac:dyDescent="0.45">
      <c r="D261" s="31">
        <v>4100813</v>
      </c>
      <c r="E261" s="31" t="s">
        <v>283</v>
      </c>
    </row>
    <row r="262" spans="4:5" x14ac:dyDescent="0.45">
      <c r="D262" s="31">
        <v>4100814</v>
      </c>
      <c r="E262" s="31" t="s">
        <v>284</v>
      </c>
    </row>
    <row r="263" spans="4:5" x14ac:dyDescent="0.45">
      <c r="D263" s="31">
        <v>4100815</v>
      </c>
      <c r="E263" s="31" t="s">
        <v>285</v>
      </c>
    </row>
    <row r="264" spans="4:5" x14ac:dyDescent="0.45">
      <c r="D264" s="31">
        <v>4100816</v>
      </c>
      <c r="E264" s="31" t="s">
        <v>286</v>
      </c>
    </row>
    <row r="265" spans="4:5" x14ac:dyDescent="0.45">
      <c r="D265" s="31">
        <v>4100817</v>
      </c>
      <c r="E265" s="31" t="s">
        <v>287</v>
      </c>
    </row>
    <row r="266" spans="4:5" x14ac:dyDescent="0.45">
      <c r="D266" s="31">
        <v>4100821</v>
      </c>
      <c r="E266" s="31" t="s">
        <v>288</v>
      </c>
    </row>
    <row r="267" spans="4:5" x14ac:dyDescent="0.45">
      <c r="D267" s="31">
        <v>4100822</v>
      </c>
      <c r="E267" s="31" t="s">
        <v>289</v>
      </c>
    </row>
    <row r="268" spans="4:5" x14ac:dyDescent="0.45">
      <c r="D268" s="31">
        <v>4100823</v>
      </c>
      <c r="E268" s="31" t="s">
        <v>290</v>
      </c>
    </row>
    <row r="269" spans="4:5" x14ac:dyDescent="0.45">
      <c r="D269" s="31">
        <v>4100824</v>
      </c>
      <c r="E269" s="31" t="s">
        <v>291</v>
      </c>
    </row>
    <row r="270" spans="4:5" x14ac:dyDescent="0.45">
      <c r="D270" s="31">
        <v>4100825</v>
      </c>
      <c r="E270" s="31" t="s">
        <v>292</v>
      </c>
    </row>
    <row r="271" spans="4:5" x14ac:dyDescent="0.45">
      <c r="D271" s="31">
        <v>4100826</v>
      </c>
      <c r="E271" s="31" t="s">
        <v>293</v>
      </c>
    </row>
    <row r="272" spans="4:5" x14ac:dyDescent="0.45">
      <c r="D272" s="31">
        <v>4100827</v>
      </c>
      <c r="E272" s="31" t="s">
        <v>294</v>
      </c>
    </row>
    <row r="273" spans="4:5" x14ac:dyDescent="0.45">
      <c r="D273" s="31">
        <v>4100828</v>
      </c>
      <c r="E273" s="31" t="s">
        <v>295</v>
      </c>
    </row>
    <row r="274" spans="4:5" x14ac:dyDescent="0.45">
      <c r="D274" s="31">
        <v>4100829</v>
      </c>
      <c r="E274" s="31" t="s">
        <v>296</v>
      </c>
    </row>
    <row r="275" spans="4:5" x14ac:dyDescent="0.45">
      <c r="D275" s="31">
        <v>4100830</v>
      </c>
      <c r="E275" s="31" t="s">
        <v>297</v>
      </c>
    </row>
    <row r="276" spans="4:5" x14ac:dyDescent="0.45">
      <c r="D276" s="31">
        <v>4100831</v>
      </c>
      <c r="E276" s="31" t="s">
        <v>298</v>
      </c>
    </row>
    <row r="277" spans="4:5" x14ac:dyDescent="0.45">
      <c r="D277" s="31">
        <v>4100832</v>
      </c>
      <c r="E277" s="31" t="s">
        <v>299</v>
      </c>
    </row>
    <row r="278" spans="4:5" x14ac:dyDescent="0.45">
      <c r="D278" s="31">
        <v>4100850</v>
      </c>
      <c r="E278" s="31" t="s">
        <v>300</v>
      </c>
    </row>
    <row r="279" spans="4:5" x14ac:dyDescent="0.45">
      <c r="D279" s="31">
        <v>4100851</v>
      </c>
      <c r="E279" s="31" t="s">
        <v>301</v>
      </c>
    </row>
    <row r="280" spans="4:5" x14ac:dyDescent="0.45">
      <c r="D280" s="31">
        <v>4100852</v>
      </c>
      <c r="E280" s="31" t="s">
        <v>302</v>
      </c>
    </row>
    <row r="281" spans="4:5" x14ac:dyDescent="0.45">
      <c r="D281" s="31">
        <v>4100853</v>
      </c>
      <c r="E281" s="31" t="s">
        <v>303</v>
      </c>
    </row>
    <row r="282" spans="4:5" x14ac:dyDescent="0.45">
      <c r="D282" s="31">
        <v>4100418</v>
      </c>
      <c r="E282" s="31" t="s">
        <v>446</v>
      </c>
    </row>
    <row r="283" spans="4:5" x14ac:dyDescent="0.45">
      <c r="D283" s="31">
        <v>4100419</v>
      </c>
      <c r="E283" s="31" t="s">
        <v>447</v>
      </c>
    </row>
    <row r="284" spans="4:5" x14ac:dyDescent="0.45">
      <c r="D284" s="31">
        <v>4100919</v>
      </c>
      <c r="E284" s="31" t="s">
        <v>428</v>
      </c>
    </row>
    <row r="285" spans="4:5" x14ac:dyDescent="0.45">
      <c r="D285" s="31">
        <v>4100920</v>
      </c>
      <c r="E285" s="31" t="s">
        <v>429</v>
      </c>
    </row>
    <row r="286" spans="4:5" x14ac:dyDescent="0.45">
      <c r="D286" s="31">
        <v>4100921</v>
      </c>
      <c r="E286" s="31" t="s">
        <v>430</v>
      </c>
    </row>
    <row r="287" spans="4:5" x14ac:dyDescent="0.45">
      <c r="D287" s="31">
        <v>4100922</v>
      </c>
      <c r="E287" s="31" t="s">
        <v>431</v>
      </c>
    </row>
    <row r="288" spans="4:5" x14ac:dyDescent="0.45">
      <c r="D288" s="31">
        <v>4100923</v>
      </c>
      <c r="E288" s="31" t="s">
        <v>432</v>
      </c>
    </row>
    <row r="289" spans="4:5" x14ac:dyDescent="0.45">
      <c r="D289" s="31">
        <v>4100924</v>
      </c>
      <c r="E289" s="31" t="s">
        <v>433</v>
      </c>
    </row>
    <row r="290" spans="4:5" x14ac:dyDescent="0.45">
      <c r="D290" s="31">
        <v>4100925</v>
      </c>
      <c r="E290" s="31" t="s">
        <v>434</v>
      </c>
    </row>
    <row r="291" spans="4:5" x14ac:dyDescent="0.45">
      <c r="D291" s="31">
        <v>4100926</v>
      </c>
      <c r="E291" s="31" t="s">
        <v>435</v>
      </c>
    </row>
    <row r="292" spans="4:5" x14ac:dyDescent="0.45">
      <c r="D292" s="31">
        <v>4100927</v>
      </c>
      <c r="E292" s="31" t="s">
        <v>436</v>
      </c>
    </row>
    <row r="293" spans="4:5" x14ac:dyDescent="0.45">
      <c r="D293" s="31">
        <v>4100134</v>
      </c>
      <c r="E293" s="31" t="s">
        <v>304</v>
      </c>
    </row>
    <row r="294" spans="4:5" x14ac:dyDescent="0.45">
      <c r="D294" s="31">
        <v>4100189</v>
      </c>
      <c r="E294" s="31" t="s">
        <v>305</v>
      </c>
    </row>
    <row r="295" spans="4:5" x14ac:dyDescent="0.45">
      <c r="D295" s="31">
        <v>4100234</v>
      </c>
      <c r="E295" s="31" t="s">
        <v>306</v>
      </c>
    </row>
    <row r="296" spans="4:5" x14ac:dyDescent="0.45">
      <c r="D296" s="31">
        <v>4100237</v>
      </c>
      <c r="E296" s="31" t="s">
        <v>307</v>
      </c>
    </row>
    <row r="297" spans="4:5" x14ac:dyDescent="0.45">
      <c r="D297" s="31">
        <v>4100309</v>
      </c>
      <c r="E297" s="31" t="s">
        <v>308</v>
      </c>
    </row>
    <row r="298" spans="4:5" x14ac:dyDescent="0.45">
      <c r="D298" s="31">
        <v>4100310</v>
      </c>
      <c r="E298" s="31" t="s">
        <v>309</v>
      </c>
    </row>
    <row r="299" spans="4:5" x14ac:dyDescent="0.45">
      <c r="D299" s="31">
        <v>4100377</v>
      </c>
      <c r="E299" s="31" t="s">
        <v>310</v>
      </c>
    </row>
    <row r="300" spans="4:5" x14ac:dyDescent="0.45">
      <c r="D300" s="31">
        <v>4100378</v>
      </c>
      <c r="E300" s="31" t="s">
        <v>311</v>
      </c>
    </row>
    <row r="301" spans="4:5" x14ac:dyDescent="0.45">
      <c r="D301" s="31">
        <v>4100379</v>
      </c>
      <c r="E301" s="31" t="s">
        <v>312</v>
      </c>
    </row>
    <row r="302" spans="4:5" x14ac:dyDescent="0.45">
      <c r="D302" s="31">
        <v>4100412</v>
      </c>
      <c r="E302" s="31" t="s">
        <v>313</v>
      </c>
    </row>
    <row r="303" spans="4:5" x14ac:dyDescent="0.45">
      <c r="D303" s="31">
        <v>4100413</v>
      </c>
      <c r="E303" s="31" t="s">
        <v>314</v>
      </c>
    </row>
    <row r="304" spans="4:5" x14ac:dyDescent="0.45">
      <c r="D304" s="31">
        <v>4100414</v>
      </c>
      <c r="E304" s="31" t="s">
        <v>315</v>
      </c>
    </row>
    <row r="305" spans="4:5" x14ac:dyDescent="0.45">
      <c r="D305" s="31">
        <v>4100415</v>
      </c>
      <c r="E305" s="31" t="s">
        <v>316</v>
      </c>
    </row>
    <row r="306" spans="4:5" x14ac:dyDescent="0.45">
      <c r="D306" s="31">
        <v>4100422</v>
      </c>
      <c r="E306" s="31" t="s">
        <v>317</v>
      </c>
    </row>
    <row r="307" spans="4:5" x14ac:dyDescent="0.45">
      <c r="D307" s="31">
        <v>4100423</v>
      </c>
      <c r="E307" s="31" t="s">
        <v>318</v>
      </c>
    </row>
    <row r="308" spans="4:5" x14ac:dyDescent="0.45">
      <c r="D308" s="31">
        <v>4100424</v>
      </c>
      <c r="E308" s="31" t="s">
        <v>319</v>
      </c>
    </row>
    <row r="309" spans="4:5" x14ac:dyDescent="0.45">
      <c r="D309" s="31">
        <v>4100425</v>
      </c>
      <c r="E309" s="31" t="s">
        <v>320</v>
      </c>
    </row>
    <row r="310" spans="4:5" x14ac:dyDescent="0.45">
      <c r="D310" s="31">
        <v>4100477</v>
      </c>
      <c r="E310" s="31" t="s">
        <v>321</v>
      </c>
    </row>
    <row r="311" spans="4:5" x14ac:dyDescent="0.45">
      <c r="D311" s="31">
        <v>4100478</v>
      </c>
      <c r="E311" s="31" t="s">
        <v>322</v>
      </c>
    </row>
    <row r="312" spans="4:5" x14ac:dyDescent="0.45">
      <c r="D312" s="31">
        <v>4100479</v>
      </c>
      <c r="E312" s="31" t="s">
        <v>323</v>
      </c>
    </row>
    <row r="313" spans="4:5" x14ac:dyDescent="0.45">
      <c r="D313" s="31">
        <v>4100480</v>
      </c>
      <c r="E313" s="31" t="s">
        <v>324</v>
      </c>
    </row>
    <row r="314" spans="4:5" x14ac:dyDescent="0.45">
      <c r="D314" s="31">
        <v>4100482</v>
      </c>
      <c r="E314" s="31" t="s">
        <v>325</v>
      </c>
    </row>
    <row r="315" spans="4:5" x14ac:dyDescent="0.45">
      <c r="D315" s="31">
        <v>4100483</v>
      </c>
      <c r="E315" s="31" t="s">
        <v>326</v>
      </c>
    </row>
    <row r="316" spans="4:5" x14ac:dyDescent="0.45">
      <c r="D316" s="31">
        <v>4100484</v>
      </c>
      <c r="E316" s="31" t="s">
        <v>327</v>
      </c>
    </row>
    <row r="317" spans="4:5" x14ac:dyDescent="0.45">
      <c r="D317" s="31">
        <v>4100485</v>
      </c>
      <c r="E317" s="31" t="s">
        <v>328</v>
      </c>
    </row>
    <row r="318" spans="4:5" x14ac:dyDescent="0.45">
      <c r="D318" s="31">
        <v>4100488</v>
      </c>
      <c r="E318" s="31" t="s">
        <v>329</v>
      </c>
    </row>
    <row r="319" spans="4:5" x14ac:dyDescent="0.45">
      <c r="D319" s="31">
        <v>4100489</v>
      </c>
      <c r="E319" s="31" t="s">
        <v>472</v>
      </c>
    </row>
    <row r="320" spans="4:5" x14ac:dyDescent="0.45">
      <c r="D320" s="31">
        <v>4100490</v>
      </c>
      <c r="E320" s="31" t="s">
        <v>330</v>
      </c>
    </row>
    <row r="321" spans="4:5" x14ac:dyDescent="0.45">
      <c r="D321" s="31">
        <v>4100491</v>
      </c>
      <c r="E321" s="31" t="s">
        <v>331</v>
      </c>
    </row>
    <row r="322" spans="4:5" x14ac:dyDescent="0.45">
      <c r="D322" s="31">
        <v>4100498</v>
      </c>
      <c r="E322" s="31" t="s">
        <v>332</v>
      </c>
    </row>
    <row r="323" spans="4:5" x14ac:dyDescent="0.45">
      <c r="D323" s="31">
        <v>4100500</v>
      </c>
      <c r="E323" s="31" t="s">
        <v>333</v>
      </c>
    </row>
    <row r="324" spans="4:5" x14ac:dyDescent="0.45">
      <c r="D324" s="31">
        <v>4100576</v>
      </c>
      <c r="E324" s="31" t="s">
        <v>334</v>
      </c>
    </row>
    <row r="325" spans="4:5" x14ac:dyDescent="0.45">
      <c r="D325" s="31">
        <v>4100577</v>
      </c>
      <c r="E325" s="31" t="s">
        <v>335</v>
      </c>
    </row>
    <row r="326" spans="4:5" x14ac:dyDescent="0.45">
      <c r="D326" s="31">
        <v>4100578</v>
      </c>
      <c r="E326" s="31" t="s">
        <v>336</v>
      </c>
    </row>
    <row r="327" spans="4:5" x14ac:dyDescent="0.45">
      <c r="D327" s="31">
        <v>4100579</v>
      </c>
      <c r="E327" s="31" t="s">
        <v>337</v>
      </c>
    </row>
    <row r="328" spans="4:5" x14ac:dyDescent="0.45">
      <c r="D328" s="31">
        <v>4100580</v>
      </c>
      <c r="E328" s="31" t="s">
        <v>338</v>
      </c>
    </row>
    <row r="329" spans="4:5" x14ac:dyDescent="0.45">
      <c r="D329" s="31">
        <v>4100581</v>
      </c>
      <c r="E329" s="31" t="s">
        <v>339</v>
      </c>
    </row>
    <row r="330" spans="4:5" x14ac:dyDescent="0.45">
      <c r="D330" s="31">
        <v>4100582</v>
      </c>
      <c r="E330" s="31" t="s">
        <v>340</v>
      </c>
    </row>
    <row r="331" spans="4:5" x14ac:dyDescent="0.45">
      <c r="D331" s="31">
        <v>4100583</v>
      </c>
      <c r="E331" s="31" t="s">
        <v>341</v>
      </c>
    </row>
    <row r="332" spans="4:5" x14ac:dyDescent="0.45">
      <c r="D332" s="31">
        <v>4100584</v>
      </c>
      <c r="E332" s="31" t="s">
        <v>342</v>
      </c>
    </row>
    <row r="333" spans="4:5" x14ac:dyDescent="0.45">
      <c r="D333" s="31">
        <v>4100585</v>
      </c>
      <c r="E333" s="31" t="s">
        <v>343</v>
      </c>
    </row>
    <row r="334" spans="4:5" x14ac:dyDescent="0.45">
      <c r="D334" s="31">
        <v>4100586</v>
      </c>
      <c r="E334" s="31" t="s">
        <v>344</v>
      </c>
    </row>
    <row r="335" spans="4:5" x14ac:dyDescent="0.45">
      <c r="D335" s="31">
        <v>4100587</v>
      </c>
      <c r="E335" s="31" t="s">
        <v>345</v>
      </c>
    </row>
    <row r="336" spans="4:5" x14ac:dyDescent="0.45">
      <c r="D336" s="31">
        <v>4100588</v>
      </c>
      <c r="E336" s="31" t="s">
        <v>346</v>
      </c>
    </row>
    <row r="337" spans="4:5" x14ac:dyDescent="0.45">
      <c r="D337" s="31">
        <v>4100589</v>
      </c>
      <c r="E337" s="31" t="s">
        <v>347</v>
      </c>
    </row>
    <row r="338" spans="4:5" x14ac:dyDescent="0.45">
      <c r="D338" s="31">
        <v>4100590</v>
      </c>
      <c r="E338" s="31" t="s">
        <v>348</v>
      </c>
    </row>
    <row r="339" spans="4:5" x14ac:dyDescent="0.45">
      <c r="D339" s="31">
        <v>4100591</v>
      </c>
      <c r="E339" s="31" t="s">
        <v>349</v>
      </c>
    </row>
    <row r="340" spans="4:5" x14ac:dyDescent="0.45">
      <c r="D340" s="31">
        <v>4100592</v>
      </c>
      <c r="E340" s="31" t="s">
        <v>350</v>
      </c>
    </row>
    <row r="341" spans="4:5" x14ac:dyDescent="0.45">
      <c r="D341" s="31">
        <v>4100593</v>
      </c>
      <c r="E341" s="31" t="s">
        <v>351</v>
      </c>
    </row>
    <row r="342" spans="4:5" x14ac:dyDescent="0.45">
      <c r="D342" s="31">
        <v>4100594</v>
      </c>
      <c r="E342" s="31" t="s">
        <v>352</v>
      </c>
    </row>
    <row r="343" spans="4:5" x14ac:dyDescent="0.45">
      <c r="D343" s="31">
        <v>4100595</v>
      </c>
      <c r="E343" s="31" t="s">
        <v>353</v>
      </c>
    </row>
    <row r="344" spans="4:5" x14ac:dyDescent="0.45">
      <c r="D344" s="31">
        <v>4100596</v>
      </c>
      <c r="E344" s="31" t="s">
        <v>354</v>
      </c>
    </row>
    <row r="345" spans="4:5" x14ac:dyDescent="0.45">
      <c r="D345" s="31">
        <v>4100597</v>
      </c>
      <c r="E345" s="31" t="s">
        <v>355</v>
      </c>
    </row>
    <row r="346" spans="4:5" x14ac:dyDescent="0.45">
      <c r="D346" s="31">
        <v>4100598</v>
      </c>
      <c r="E346" s="31" t="s">
        <v>356</v>
      </c>
    </row>
    <row r="347" spans="4:5" x14ac:dyDescent="0.45">
      <c r="D347" s="31">
        <v>4100599</v>
      </c>
      <c r="E347" s="31" t="s">
        <v>357</v>
      </c>
    </row>
    <row r="348" spans="4:5" x14ac:dyDescent="0.45">
      <c r="D348" s="31">
        <v>4100600</v>
      </c>
      <c r="E348" s="31" t="s">
        <v>358</v>
      </c>
    </row>
    <row r="349" spans="4:5" x14ac:dyDescent="0.45">
      <c r="D349" s="31">
        <v>4100601</v>
      </c>
      <c r="E349" s="31" t="s">
        <v>359</v>
      </c>
    </row>
    <row r="350" spans="4:5" x14ac:dyDescent="0.45">
      <c r="D350" s="31">
        <v>4100602</v>
      </c>
      <c r="E350" s="31" t="s">
        <v>360</v>
      </c>
    </row>
    <row r="351" spans="4:5" x14ac:dyDescent="0.45">
      <c r="D351" s="31">
        <v>4100603</v>
      </c>
      <c r="E351" s="31" t="s">
        <v>361</v>
      </c>
    </row>
    <row r="352" spans="4:5" x14ac:dyDescent="0.45">
      <c r="D352" s="31">
        <v>4100604</v>
      </c>
      <c r="E352" s="31" t="s">
        <v>362</v>
      </c>
    </row>
    <row r="353" spans="4:5" x14ac:dyDescent="0.45">
      <c r="D353" s="31">
        <v>4100605</v>
      </c>
      <c r="E353" s="31" t="s">
        <v>363</v>
      </c>
    </row>
    <row r="354" spans="4:5" x14ac:dyDescent="0.45">
      <c r="D354" s="31">
        <v>4100606</v>
      </c>
      <c r="E354" s="31" t="s">
        <v>473</v>
      </c>
    </row>
    <row r="355" spans="4:5" x14ac:dyDescent="0.45">
      <c r="D355" s="31">
        <v>4100607</v>
      </c>
      <c r="E355" s="31" t="s">
        <v>364</v>
      </c>
    </row>
    <row r="356" spans="4:5" x14ac:dyDescent="0.45">
      <c r="D356" s="31">
        <v>4100608</v>
      </c>
      <c r="E356" s="31" t="s">
        <v>365</v>
      </c>
    </row>
    <row r="357" spans="4:5" x14ac:dyDescent="0.45">
      <c r="D357" s="31">
        <v>4100609</v>
      </c>
      <c r="E357" s="31" t="s">
        <v>366</v>
      </c>
    </row>
    <row r="358" spans="4:5" x14ac:dyDescent="0.45">
      <c r="D358" s="31">
        <v>4100610</v>
      </c>
      <c r="E358" s="31" t="s">
        <v>367</v>
      </c>
    </row>
    <row r="359" spans="4:5" x14ac:dyDescent="0.45">
      <c r="D359" s="31">
        <v>4100611</v>
      </c>
      <c r="E359" s="31" t="s">
        <v>368</v>
      </c>
    </row>
    <row r="360" spans="4:5" x14ac:dyDescent="0.45">
      <c r="D360" s="31">
        <v>4100678</v>
      </c>
      <c r="E360" s="31" t="s">
        <v>369</v>
      </c>
    </row>
    <row r="361" spans="4:5" x14ac:dyDescent="0.45">
      <c r="D361" s="31">
        <v>4100679</v>
      </c>
      <c r="E361" s="31" t="s">
        <v>370</v>
      </c>
    </row>
    <row r="362" spans="4:5" x14ac:dyDescent="0.45">
      <c r="D362" s="31">
        <v>4100680</v>
      </c>
      <c r="E362" s="31" t="s">
        <v>371</v>
      </c>
    </row>
    <row r="363" spans="4:5" x14ac:dyDescent="0.45">
      <c r="D363" s="31">
        <v>4100681</v>
      </c>
      <c r="E363" s="31" t="s">
        <v>372</v>
      </c>
    </row>
    <row r="364" spans="4:5" x14ac:dyDescent="0.45">
      <c r="D364" s="31">
        <v>4100682</v>
      </c>
      <c r="E364" s="31" t="s">
        <v>373</v>
      </c>
    </row>
    <row r="365" spans="4:5" x14ac:dyDescent="0.45">
      <c r="D365" s="31">
        <v>4100683</v>
      </c>
      <c r="E365" s="31" t="s">
        <v>374</v>
      </c>
    </row>
    <row r="366" spans="4:5" x14ac:dyDescent="0.45">
      <c r="D366" s="31">
        <v>4100684</v>
      </c>
      <c r="E366" s="31" t="s">
        <v>375</v>
      </c>
    </row>
    <row r="367" spans="4:5" x14ac:dyDescent="0.45">
      <c r="D367" s="31">
        <v>4100685</v>
      </c>
      <c r="E367" s="31" t="s">
        <v>376</v>
      </c>
    </row>
    <row r="368" spans="4:5" x14ac:dyDescent="0.45">
      <c r="D368" s="31">
        <v>4100686</v>
      </c>
      <c r="E368" s="31" t="s">
        <v>377</v>
      </c>
    </row>
    <row r="369" spans="4:5" x14ac:dyDescent="0.45">
      <c r="D369" s="31">
        <v>4100687</v>
      </c>
      <c r="E369" s="31" t="s">
        <v>378</v>
      </c>
    </row>
    <row r="370" spans="4:5" x14ac:dyDescent="0.45">
      <c r="D370" s="31">
        <v>4100688</v>
      </c>
      <c r="E370" s="31" t="s">
        <v>379</v>
      </c>
    </row>
    <row r="371" spans="4:5" x14ac:dyDescent="0.45">
      <c r="D371" s="31">
        <v>4100689</v>
      </c>
      <c r="E371" s="31" t="s">
        <v>380</v>
      </c>
    </row>
    <row r="372" spans="4:5" x14ac:dyDescent="0.45">
      <c r="D372" s="31">
        <v>4100690</v>
      </c>
      <c r="E372" s="31" t="s">
        <v>381</v>
      </c>
    </row>
    <row r="373" spans="4:5" x14ac:dyDescent="0.45">
      <c r="D373" s="31">
        <v>4100691</v>
      </c>
      <c r="E373" s="31" t="s">
        <v>382</v>
      </c>
    </row>
    <row r="374" spans="4:5" x14ac:dyDescent="0.45">
      <c r="D374" s="31">
        <v>4100692</v>
      </c>
      <c r="E374" s="31" t="s">
        <v>383</v>
      </c>
    </row>
    <row r="375" spans="4:5" x14ac:dyDescent="0.45">
      <c r="D375" s="31">
        <v>4100693</v>
      </c>
      <c r="E375" s="31" t="s">
        <v>384</v>
      </c>
    </row>
    <row r="376" spans="4:5" x14ac:dyDescent="0.45">
      <c r="D376" s="31">
        <v>4100694</v>
      </c>
      <c r="E376" s="31" t="s">
        <v>385</v>
      </c>
    </row>
    <row r="377" spans="4:5" x14ac:dyDescent="0.45">
      <c r="D377" s="31">
        <v>4100695</v>
      </c>
      <c r="E377" s="31" t="s">
        <v>386</v>
      </c>
    </row>
    <row r="378" spans="4:5" x14ac:dyDescent="0.45">
      <c r="D378" s="31">
        <v>4100696</v>
      </c>
      <c r="E378" s="31" t="s">
        <v>387</v>
      </c>
    </row>
    <row r="379" spans="4:5" x14ac:dyDescent="0.45">
      <c r="D379" s="31">
        <v>4100697</v>
      </c>
      <c r="E379" s="31" t="s">
        <v>388</v>
      </c>
    </row>
    <row r="380" spans="4:5" x14ac:dyDescent="0.45">
      <c r="D380" s="31">
        <v>4100698</v>
      </c>
      <c r="E380" s="31" t="s">
        <v>389</v>
      </c>
    </row>
    <row r="381" spans="4:5" x14ac:dyDescent="0.45">
      <c r="D381" s="31">
        <v>4100699</v>
      </c>
      <c r="E381" s="31" t="s">
        <v>390</v>
      </c>
    </row>
    <row r="382" spans="4:5" x14ac:dyDescent="0.45">
      <c r="D382" s="31">
        <v>4100700</v>
      </c>
      <c r="E382" s="31" t="s">
        <v>391</v>
      </c>
    </row>
    <row r="383" spans="4:5" x14ac:dyDescent="0.45">
      <c r="D383" s="31">
        <v>4100701</v>
      </c>
      <c r="E383" s="31" t="s">
        <v>392</v>
      </c>
    </row>
    <row r="384" spans="4:5" x14ac:dyDescent="0.45">
      <c r="D384" s="31">
        <v>4100747</v>
      </c>
      <c r="E384" s="31" t="s">
        <v>393</v>
      </c>
    </row>
    <row r="385" spans="4:5" x14ac:dyDescent="0.45">
      <c r="D385" s="31">
        <v>4100748</v>
      </c>
      <c r="E385" s="31" t="s">
        <v>394</v>
      </c>
    </row>
    <row r="386" spans="4:5" x14ac:dyDescent="0.45">
      <c r="D386" s="31">
        <v>4100749</v>
      </c>
      <c r="E386" s="31" t="s">
        <v>395</v>
      </c>
    </row>
    <row r="387" spans="4:5" x14ac:dyDescent="0.45">
      <c r="D387" s="31">
        <v>4100750</v>
      </c>
      <c r="E387" s="31" t="s">
        <v>396</v>
      </c>
    </row>
    <row r="388" spans="4:5" x14ac:dyDescent="0.45">
      <c r="D388" s="31">
        <v>4100751</v>
      </c>
      <c r="E388" s="31" t="s">
        <v>397</v>
      </c>
    </row>
    <row r="389" spans="4:5" x14ac:dyDescent="0.45">
      <c r="D389" s="31">
        <v>4100752</v>
      </c>
      <c r="E389" s="31" t="s">
        <v>398</v>
      </c>
    </row>
    <row r="390" spans="4:5" x14ac:dyDescent="0.45">
      <c r="D390" s="31">
        <v>4100753</v>
      </c>
      <c r="E390" s="31" t="s">
        <v>399</v>
      </c>
    </row>
    <row r="391" spans="4:5" x14ac:dyDescent="0.45">
      <c r="D391" s="31">
        <v>4100770</v>
      </c>
      <c r="E391" s="31" t="s">
        <v>400</v>
      </c>
    </row>
    <row r="392" spans="4:5" x14ac:dyDescent="0.45">
      <c r="D392" s="31">
        <v>4100771</v>
      </c>
      <c r="E392" s="31" t="s">
        <v>401</v>
      </c>
    </row>
    <row r="393" spans="4:5" x14ac:dyDescent="0.45">
      <c r="D393" s="31">
        <v>4100772</v>
      </c>
      <c r="E393" s="31" t="s">
        <v>402</v>
      </c>
    </row>
    <row r="394" spans="4:5" x14ac:dyDescent="0.45">
      <c r="D394" s="31">
        <v>4100773</v>
      </c>
      <c r="E394" s="31" t="s">
        <v>403</v>
      </c>
    </row>
    <row r="395" spans="4:5" x14ac:dyDescent="0.45">
      <c r="D395" s="31">
        <v>4100774</v>
      </c>
      <c r="E395" s="31" t="s">
        <v>404</v>
      </c>
    </row>
    <row r="396" spans="4:5" x14ac:dyDescent="0.45">
      <c r="D396" s="31">
        <v>4100775</v>
      </c>
      <c r="E396" s="31" t="s">
        <v>405</v>
      </c>
    </row>
    <row r="397" spans="4:5" x14ac:dyDescent="0.45">
      <c r="D397" s="31">
        <v>4100776</v>
      </c>
      <c r="E397" s="31" t="s">
        <v>406</v>
      </c>
    </row>
    <row r="398" spans="4:5" x14ac:dyDescent="0.45">
      <c r="D398" s="31">
        <v>4100777</v>
      </c>
      <c r="E398" s="31" t="s">
        <v>407</v>
      </c>
    </row>
    <row r="399" spans="4:5" x14ac:dyDescent="0.45">
      <c r="D399" s="31">
        <v>4100778</v>
      </c>
      <c r="E399" s="31" t="s">
        <v>408</v>
      </c>
    </row>
    <row r="400" spans="4:5" x14ac:dyDescent="0.45">
      <c r="D400" s="31">
        <v>4100779</v>
      </c>
      <c r="E400" s="31" t="s">
        <v>409</v>
      </c>
    </row>
    <row r="401" spans="4:5" x14ac:dyDescent="0.45">
      <c r="D401" s="31">
        <v>4100780</v>
      </c>
      <c r="E401" s="31" t="s">
        <v>410</v>
      </c>
    </row>
    <row r="402" spans="4:5" x14ac:dyDescent="0.45">
      <c r="D402" s="31">
        <v>4100781</v>
      </c>
      <c r="E402" s="31" t="s">
        <v>411</v>
      </c>
    </row>
    <row r="403" spans="4:5" x14ac:dyDescent="0.45">
      <c r="D403" s="31">
        <v>4100785</v>
      </c>
      <c r="E403" s="31" t="s">
        <v>412</v>
      </c>
    </row>
    <row r="404" spans="4:5" x14ac:dyDescent="0.45">
      <c r="D404" s="31">
        <v>4100786</v>
      </c>
      <c r="E404" s="31" t="s">
        <v>413</v>
      </c>
    </row>
    <row r="405" spans="4:5" x14ac:dyDescent="0.45">
      <c r="D405" s="31">
        <v>4100835</v>
      </c>
      <c r="E405" s="31" t="s">
        <v>414</v>
      </c>
    </row>
    <row r="406" spans="4:5" x14ac:dyDescent="0.45">
      <c r="D406" s="31">
        <v>4100836</v>
      </c>
      <c r="E406" s="31" t="s">
        <v>415</v>
      </c>
    </row>
    <row r="407" spans="4:5" x14ac:dyDescent="0.45">
      <c r="D407" s="31">
        <v>4100837</v>
      </c>
      <c r="E407" s="31" t="s">
        <v>416</v>
      </c>
    </row>
    <row r="408" spans="4:5" x14ac:dyDescent="0.45">
      <c r="D408" s="31">
        <v>4100838</v>
      </c>
      <c r="E408" s="31" t="s">
        <v>417</v>
      </c>
    </row>
    <row r="409" spans="4:5" x14ac:dyDescent="0.45">
      <c r="D409" s="31">
        <v>4100839</v>
      </c>
      <c r="E409" s="31" t="s">
        <v>418</v>
      </c>
    </row>
    <row r="410" spans="4:5" x14ac:dyDescent="0.45">
      <c r="D410" s="31">
        <v>4100840</v>
      </c>
      <c r="E410" s="31" t="s">
        <v>419</v>
      </c>
    </row>
    <row r="411" spans="4:5" x14ac:dyDescent="0.45">
      <c r="D411" s="31">
        <v>4100841</v>
      </c>
      <c r="E411" s="31" t="s">
        <v>420</v>
      </c>
    </row>
    <row r="412" spans="4:5" x14ac:dyDescent="0.45">
      <c r="D412" s="31">
        <v>4100842</v>
      </c>
      <c r="E412" s="31" t="s">
        <v>421</v>
      </c>
    </row>
    <row r="413" spans="4:5" x14ac:dyDescent="0.45">
      <c r="D413" s="31">
        <v>4100843</v>
      </c>
      <c r="E413" s="31" t="s">
        <v>422</v>
      </c>
    </row>
    <row r="414" spans="4:5" x14ac:dyDescent="0.45">
      <c r="D414" s="31">
        <v>4100928</v>
      </c>
      <c r="E414" s="31" t="s">
        <v>437</v>
      </c>
    </row>
    <row r="415" spans="4:5" x14ac:dyDescent="0.45">
      <c r="D415" s="31">
        <v>4100929</v>
      </c>
      <c r="E415" s="31" t="s">
        <v>438</v>
      </c>
    </row>
    <row r="416" spans="4:5" x14ac:dyDescent="0.45">
      <c r="D416" s="31">
        <v>4100930</v>
      </c>
      <c r="E416" s="31" t="s">
        <v>439</v>
      </c>
    </row>
    <row r="417" spans="4:5" x14ac:dyDescent="0.45">
      <c r="D417" s="31">
        <v>4100931</v>
      </c>
      <c r="E417" s="31" t="s">
        <v>440</v>
      </c>
    </row>
    <row r="418" spans="4:5" x14ac:dyDescent="0.45">
      <c r="D418" s="31">
        <v>4100932</v>
      </c>
      <c r="E418" s="31" t="s">
        <v>441</v>
      </c>
    </row>
    <row r="419" spans="4:5" x14ac:dyDescent="0.45">
      <c r="D419" s="31">
        <v>4100933</v>
      </c>
      <c r="E419" s="31" t="s">
        <v>442</v>
      </c>
    </row>
    <row r="420" spans="4:5" x14ac:dyDescent="0.45">
      <c r="D420" s="31">
        <v>4100934</v>
      </c>
      <c r="E420" s="31" t="s">
        <v>443</v>
      </c>
    </row>
    <row r="421" spans="4:5" x14ac:dyDescent="0.45">
      <c r="D421" s="31">
        <v>4100935</v>
      </c>
      <c r="E421" s="31" t="s">
        <v>444</v>
      </c>
    </row>
    <row r="422" spans="4:5" x14ac:dyDescent="0.45">
      <c r="D422" s="31">
        <v>4100936</v>
      </c>
      <c r="E422" s="31" t="s">
        <v>445</v>
      </c>
    </row>
    <row r="423" spans="4:5" x14ac:dyDescent="0.45">
      <c r="D423" s="31">
        <v>4100848</v>
      </c>
      <c r="E423" s="31" t="s">
        <v>427</v>
      </c>
    </row>
    <row r="424" spans="4:5" x14ac:dyDescent="0.45">
      <c r="D424" s="31">
        <v>4100847</v>
      </c>
      <c r="E424" s="31" t="s">
        <v>426</v>
      </c>
    </row>
    <row r="425" spans="4:5" x14ac:dyDescent="0.45">
      <c r="D425" s="31">
        <v>4100846</v>
      </c>
      <c r="E425" s="31" t="s">
        <v>425</v>
      </c>
    </row>
    <row r="426" spans="4:5" x14ac:dyDescent="0.45">
      <c r="D426" s="31">
        <v>4100845</v>
      </c>
      <c r="E426" s="31" t="s">
        <v>424</v>
      </c>
    </row>
    <row r="427" spans="4:5" x14ac:dyDescent="0.45">
      <c r="D427" s="31">
        <v>4100844</v>
      </c>
      <c r="E427" s="31" t="s">
        <v>423</v>
      </c>
    </row>
    <row r="428" spans="4:5" x14ac:dyDescent="0.45">
      <c r="D428" s="31">
        <v>113976</v>
      </c>
      <c r="E428" s="31" t="s">
        <v>114</v>
      </c>
    </row>
    <row r="429" spans="4:5" x14ac:dyDescent="0.45">
      <c r="D429" s="31">
        <v>113977</v>
      </c>
      <c r="E429" s="31" t="s">
        <v>115</v>
      </c>
    </row>
    <row r="430" spans="4:5" x14ac:dyDescent="0.45">
      <c r="D430" s="31">
        <v>113916</v>
      </c>
      <c r="E430" s="31" t="s">
        <v>9</v>
      </c>
    </row>
    <row r="431" spans="4:5" x14ac:dyDescent="0.45">
      <c r="D431" s="31">
        <v>114026</v>
      </c>
      <c r="E431" s="31" t="s">
        <v>10</v>
      </c>
    </row>
    <row r="432" spans="4:5" x14ac:dyDescent="0.45">
      <c r="D432" s="31">
        <v>114030</v>
      </c>
      <c r="E432" s="31" t="s">
        <v>11</v>
      </c>
    </row>
    <row r="433" spans="4:5" x14ac:dyDescent="0.45">
      <c r="D433" s="31">
        <v>114031</v>
      </c>
      <c r="E433" s="31" t="s">
        <v>12</v>
      </c>
    </row>
    <row r="434" spans="4:5" x14ac:dyDescent="0.45">
      <c r="D434" s="31">
        <v>4101075</v>
      </c>
      <c r="E434" s="31" t="s">
        <v>474</v>
      </c>
    </row>
    <row r="435" spans="4:5" x14ac:dyDescent="0.45">
      <c r="D435" s="31">
        <v>4101076</v>
      </c>
      <c r="E435" s="31" t="s">
        <v>475</v>
      </c>
    </row>
    <row r="436" spans="4:5" x14ac:dyDescent="0.45">
      <c r="D436" s="31">
        <v>113933</v>
      </c>
      <c r="E436" s="31" t="s">
        <v>170</v>
      </c>
    </row>
    <row r="437" spans="4:5" x14ac:dyDescent="0.45">
      <c r="D437" s="31">
        <v>113934</v>
      </c>
      <c r="E437" s="31" t="s">
        <v>171</v>
      </c>
    </row>
    <row r="438" spans="4:5" x14ac:dyDescent="0.45">
      <c r="D438" s="31">
        <v>113936</v>
      </c>
      <c r="E438" s="31" t="s">
        <v>172</v>
      </c>
    </row>
    <row r="439" spans="4:5" x14ac:dyDescent="0.45">
      <c r="D439" s="31">
        <v>113879</v>
      </c>
      <c r="E439" s="31" t="s">
        <v>130</v>
      </c>
    </row>
    <row r="440" spans="4:5" x14ac:dyDescent="0.45">
      <c r="D440" s="31">
        <v>113880</v>
      </c>
      <c r="E440" s="31" t="s">
        <v>131</v>
      </c>
    </row>
    <row r="441" spans="4:5" x14ac:dyDescent="0.45">
      <c r="D441" s="31">
        <v>113906</v>
      </c>
      <c r="E441" s="31" t="s">
        <v>91</v>
      </c>
    </row>
    <row r="442" spans="4:5" x14ac:dyDescent="0.45">
      <c r="D442" s="31">
        <v>113907</v>
      </c>
      <c r="E442" s="31" t="s">
        <v>92</v>
      </c>
    </row>
    <row r="443" spans="4:5" x14ac:dyDescent="0.45">
      <c r="D443" s="31">
        <v>113908</v>
      </c>
      <c r="E443" s="31" t="s">
        <v>93</v>
      </c>
    </row>
    <row r="444" spans="4:5" x14ac:dyDescent="0.45">
      <c r="D444" s="31">
        <v>113909</v>
      </c>
      <c r="E444" s="31" t="s">
        <v>94</v>
      </c>
    </row>
    <row r="445" spans="4:5" x14ac:dyDescent="0.45">
      <c r="D445" s="31">
        <v>113987</v>
      </c>
      <c r="E445" s="31" t="s">
        <v>95</v>
      </c>
    </row>
    <row r="446" spans="4:5" x14ac:dyDescent="0.45">
      <c r="D446" s="31">
        <v>113988</v>
      </c>
      <c r="E446" s="31" t="s">
        <v>96</v>
      </c>
    </row>
    <row r="447" spans="4:5" x14ac:dyDescent="0.45">
      <c r="D447" s="31">
        <v>113989</v>
      </c>
      <c r="E447" s="31" t="s">
        <v>97</v>
      </c>
    </row>
    <row r="448" spans="4:5" x14ac:dyDescent="0.45">
      <c r="D448" s="31">
        <v>113990</v>
      </c>
      <c r="E448" s="31" t="s">
        <v>98</v>
      </c>
    </row>
    <row r="449" spans="4:5" x14ac:dyDescent="0.45">
      <c r="D449" s="31">
        <v>113838</v>
      </c>
      <c r="E449" s="31" t="s">
        <v>86</v>
      </c>
    </row>
    <row r="450" spans="4:5" x14ac:dyDescent="0.45">
      <c r="D450" s="31">
        <v>113853</v>
      </c>
      <c r="E450" s="31" t="s">
        <v>87</v>
      </c>
    </row>
    <row r="451" spans="4:5" x14ac:dyDescent="0.45">
      <c r="D451" s="31">
        <v>113854</v>
      </c>
      <c r="E451" s="31" t="s">
        <v>88</v>
      </c>
    </row>
    <row r="452" spans="4:5" x14ac:dyDescent="0.45">
      <c r="D452" s="31">
        <v>113855</v>
      </c>
      <c r="E452" s="31" t="s">
        <v>89</v>
      </c>
    </row>
    <row r="453" spans="4:5" x14ac:dyDescent="0.45">
      <c r="D453" s="31">
        <v>113856</v>
      </c>
      <c r="E453" s="31" t="s">
        <v>90</v>
      </c>
    </row>
    <row r="454" spans="4:5" x14ac:dyDescent="0.45">
      <c r="D454" s="31">
        <v>4101065</v>
      </c>
      <c r="E454" s="31" t="s">
        <v>598</v>
      </c>
    </row>
    <row r="455" spans="4:5" x14ac:dyDescent="0.45">
      <c r="D455" s="31">
        <v>114004</v>
      </c>
      <c r="E455" s="31" t="s">
        <v>599</v>
      </c>
    </row>
    <row r="456" spans="4:5" x14ac:dyDescent="0.45">
      <c r="D456" s="31">
        <v>114097</v>
      </c>
      <c r="E456" s="31" t="s">
        <v>600</v>
      </c>
    </row>
    <row r="457" spans="4:5" x14ac:dyDescent="0.45">
      <c r="D457" s="31">
        <v>114098</v>
      </c>
      <c r="E457" s="31" t="s">
        <v>601</v>
      </c>
    </row>
    <row r="458" spans="4:5" x14ac:dyDescent="0.45">
      <c r="D458" s="31">
        <v>113051</v>
      </c>
      <c r="E458" s="31" t="s">
        <v>180</v>
      </c>
    </row>
    <row r="459" spans="4:5" x14ac:dyDescent="0.45">
      <c r="D459" s="31">
        <v>113825</v>
      </c>
      <c r="E459" s="31" t="s">
        <v>181</v>
      </c>
    </row>
    <row r="460" spans="4:5" x14ac:dyDescent="0.45">
      <c r="D460" s="31">
        <v>113944</v>
      </c>
      <c r="E460" s="31" t="s">
        <v>157</v>
      </c>
    </row>
    <row r="461" spans="4:5" x14ac:dyDescent="0.45">
      <c r="D461" s="31">
        <v>113945</v>
      </c>
      <c r="E461" s="31" t="s">
        <v>157</v>
      </c>
    </row>
    <row r="462" spans="4:5" x14ac:dyDescent="0.45">
      <c r="D462" s="31">
        <v>113946</v>
      </c>
      <c r="E462" s="31" t="s">
        <v>156</v>
      </c>
    </row>
    <row r="463" spans="4:5" x14ac:dyDescent="0.45">
      <c r="D463" s="31">
        <v>113947</v>
      </c>
      <c r="E463" s="31" t="s">
        <v>156</v>
      </c>
    </row>
    <row r="464" spans="4:5" x14ac:dyDescent="0.45">
      <c r="D464" s="31">
        <v>113961</v>
      </c>
      <c r="E464" s="31" t="s">
        <v>154</v>
      </c>
    </row>
    <row r="465" spans="4:5" x14ac:dyDescent="0.45">
      <c r="D465" s="31">
        <v>113962</v>
      </c>
      <c r="E465" s="31" t="s">
        <v>154</v>
      </c>
    </row>
    <row r="466" spans="4:5" x14ac:dyDescent="0.45">
      <c r="D466" s="31">
        <v>113088</v>
      </c>
      <c r="E466" s="31" t="s">
        <v>579</v>
      </c>
    </row>
    <row r="467" spans="4:5" x14ac:dyDescent="0.45">
      <c r="D467" s="31">
        <v>113089</v>
      </c>
      <c r="E467" s="31" t="s">
        <v>14</v>
      </c>
    </row>
    <row r="468" spans="4:5" x14ac:dyDescent="0.45">
      <c r="D468" s="31">
        <v>113720</v>
      </c>
      <c r="E468" s="31" t="s">
        <v>580</v>
      </c>
    </row>
    <row r="469" spans="4:5" x14ac:dyDescent="0.45">
      <c r="D469" s="31">
        <v>113026</v>
      </c>
      <c r="E469" s="31" t="s">
        <v>132</v>
      </c>
    </row>
    <row r="470" spans="4:5" x14ac:dyDescent="0.45">
      <c r="D470" s="31">
        <v>113027</v>
      </c>
      <c r="E470" s="31" t="s">
        <v>133</v>
      </c>
    </row>
    <row r="471" spans="4:5" x14ac:dyDescent="0.45">
      <c r="D471" s="31">
        <v>113730</v>
      </c>
      <c r="E471" s="31" t="s">
        <v>134</v>
      </c>
    </row>
    <row r="472" spans="4:5" x14ac:dyDescent="0.45">
      <c r="D472" s="31">
        <v>113911</v>
      </c>
      <c r="E472" s="31" t="s">
        <v>135</v>
      </c>
    </row>
    <row r="473" spans="4:5" x14ac:dyDescent="0.45">
      <c r="D473" s="31">
        <v>113912</v>
      </c>
      <c r="E473" s="31" t="s">
        <v>136</v>
      </c>
    </row>
    <row r="474" spans="4:5" x14ac:dyDescent="0.45">
      <c r="D474" s="31">
        <v>113931</v>
      </c>
      <c r="E474" s="31" t="s">
        <v>122</v>
      </c>
    </row>
    <row r="475" spans="4:5" x14ac:dyDescent="0.45">
      <c r="D475" s="31">
        <v>113932</v>
      </c>
      <c r="E475" s="31" t="s">
        <v>122</v>
      </c>
    </row>
    <row r="476" spans="4:5" x14ac:dyDescent="0.45">
      <c r="D476" s="31">
        <v>113940</v>
      </c>
      <c r="E476" s="31" t="s">
        <v>123</v>
      </c>
    </row>
    <row r="477" spans="4:5" x14ac:dyDescent="0.45">
      <c r="D477" s="31">
        <v>4100631</v>
      </c>
      <c r="E477" s="31" t="s">
        <v>257</v>
      </c>
    </row>
    <row r="478" spans="4:5" x14ac:dyDescent="0.45">
      <c r="D478" s="31">
        <v>4100632</v>
      </c>
      <c r="E478" s="31" t="s">
        <v>258</v>
      </c>
    </row>
    <row r="479" spans="4:5" x14ac:dyDescent="0.45">
      <c r="D479" s="31">
        <v>4100633</v>
      </c>
      <c r="E479" s="31" t="s">
        <v>259</v>
      </c>
    </row>
    <row r="480" spans="4:5" x14ac:dyDescent="0.45">
      <c r="D480" s="31">
        <v>4100634</v>
      </c>
      <c r="E480" s="31" t="s">
        <v>260</v>
      </c>
    </row>
    <row r="481" spans="4:5" x14ac:dyDescent="0.45">
      <c r="D481" s="31">
        <v>4100635</v>
      </c>
      <c r="E481" s="31" t="s">
        <v>261</v>
      </c>
    </row>
    <row r="482" spans="4:5" ht="17.5" thickBot="1" x14ac:dyDescent="0.5">
      <c r="D482" s="32">
        <v>4100636</v>
      </c>
      <c r="E482" s="32" t="s">
        <v>262</v>
      </c>
    </row>
  </sheetData>
  <phoneticPr fontId="1" type="noConversion"/>
  <pageMargins left="0.7" right="0.7" top="0.75" bottom="0.75" header="0.3" footer="0.3"/>
  <customProperties>
    <customPr name="_pios_id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3:A103"/>
  <sheetViews>
    <sheetView topLeftCell="A66" workbookViewId="0">
      <selection activeCell="A4" sqref="A4:A102"/>
    </sheetView>
  </sheetViews>
  <sheetFormatPr defaultRowHeight="17" x14ac:dyDescent="0.45"/>
  <cols>
    <col min="1" max="1" width="19" bestFit="1" customWidth="1"/>
  </cols>
  <sheetData>
    <row r="3" spans="1:1" x14ac:dyDescent="0.45">
      <c r="A3" s="1" t="s">
        <v>484</v>
      </c>
    </row>
    <row r="4" spans="1:1" x14ac:dyDescent="0.45">
      <c r="A4" s="2" t="s">
        <v>524</v>
      </c>
    </row>
    <row r="5" spans="1:1" x14ac:dyDescent="0.45">
      <c r="A5" s="2" t="s">
        <v>525</v>
      </c>
    </row>
    <row r="6" spans="1:1" x14ac:dyDescent="0.45">
      <c r="A6" s="2" t="s">
        <v>526</v>
      </c>
    </row>
    <row r="7" spans="1:1" x14ac:dyDescent="0.45">
      <c r="A7" s="2" t="s">
        <v>517</v>
      </c>
    </row>
    <row r="8" spans="1:1" x14ac:dyDescent="0.45">
      <c r="A8" s="2" t="s">
        <v>555</v>
      </c>
    </row>
    <row r="9" spans="1:1" x14ac:dyDescent="0.45">
      <c r="A9" s="2" t="s">
        <v>527</v>
      </c>
    </row>
    <row r="10" spans="1:1" x14ac:dyDescent="0.45">
      <c r="A10" s="2" t="s">
        <v>528</v>
      </c>
    </row>
    <row r="11" spans="1:1" x14ac:dyDescent="0.45">
      <c r="A11" s="2" t="s">
        <v>529</v>
      </c>
    </row>
    <row r="12" spans="1:1" x14ac:dyDescent="0.45">
      <c r="A12" s="2" t="s">
        <v>530</v>
      </c>
    </row>
    <row r="13" spans="1:1" x14ac:dyDescent="0.45">
      <c r="A13" s="2" t="s">
        <v>531</v>
      </c>
    </row>
    <row r="14" spans="1:1" x14ac:dyDescent="0.45">
      <c r="A14" s="2" t="s">
        <v>548</v>
      </c>
    </row>
    <row r="15" spans="1:1" x14ac:dyDescent="0.45">
      <c r="A15" s="2" t="s">
        <v>518</v>
      </c>
    </row>
    <row r="16" spans="1:1" x14ac:dyDescent="0.45">
      <c r="A16" s="2" t="s">
        <v>549</v>
      </c>
    </row>
    <row r="17" spans="1:1" x14ac:dyDescent="0.45">
      <c r="A17" s="2" t="s">
        <v>556</v>
      </c>
    </row>
    <row r="18" spans="1:1" x14ac:dyDescent="0.45">
      <c r="A18" s="2" t="s">
        <v>490</v>
      </c>
    </row>
    <row r="19" spans="1:1" x14ac:dyDescent="0.45">
      <c r="A19" s="2" t="s">
        <v>491</v>
      </c>
    </row>
    <row r="20" spans="1:1" x14ac:dyDescent="0.45">
      <c r="A20" s="2" t="s">
        <v>506</v>
      </c>
    </row>
    <row r="21" spans="1:1" x14ac:dyDescent="0.45">
      <c r="A21" s="2" t="s">
        <v>516</v>
      </c>
    </row>
    <row r="22" spans="1:1" x14ac:dyDescent="0.45">
      <c r="A22" s="2" t="s">
        <v>507</v>
      </c>
    </row>
    <row r="23" spans="1:1" x14ac:dyDescent="0.45">
      <c r="A23" s="2" t="s">
        <v>550</v>
      </c>
    </row>
    <row r="24" spans="1:1" x14ac:dyDescent="0.45">
      <c r="A24" s="2" t="s">
        <v>571</v>
      </c>
    </row>
    <row r="25" spans="1:1" x14ac:dyDescent="0.45">
      <c r="A25" s="2" t="s">
        <v>572</v>
      </c>
    </row>
    <row r="26" spans="1:1" x14ac:dyDescent="0.45">
      <c r="A26" s="2" t="s">
        <v>557</v>
      </c>
    </row>
    <row r="27" spans="1:1" x14ac:dyDescent="0.45">
      <c r="A27" s="2" t="s">
        <v>558</v>
      </c>
    </row>
    <row r="28" spans="1:1" x14ac:dyDescent="0.45">
      <c r="A28" s="2" t="s">
        <v>573</v>
      </c>
    </row>
    <row r="29" spans="1:1" x14ac:dyDescent="0.45">
      <c r="A29" s="2" t="s">
        <v>574</v>
      </c>
    </row>
    <row r="30" spans="1:1" x14ac:dyDescent="0.45">
      <c r="A30" s="2" t="s">
        <v>482</v>
      </c>
    </row>
    <row r="31" spans="1:1" x14ac:dyDescent="0.45">
      <c r="A31" s="2" t="s">
        <v>492</v>
      </c>
    </row>
    <row r="32" spans="1:1" x14ac:dyDescent="0.45">
      <c r="A32" s="2" t="s">
        <v>559</v>
      </c>
    </row>
    <row r="33" spans="1:1" x14ac:dyDescent="0.45">
      <c r="A33" s="2" t="s">
        <v>551</v>
      </c>
    </row>
    <row r="34" spans="1:1" x14ac:dyDescent="0.45">
      <c r="A34" s="2" t="s">
        <v>560</v>
      </c>
    </row>
    <row r="35" spans="1:1" x14ac:dyDescent="0.45">
      <c r="A35" s="2" t="s">
        <v>481</v>
      </c>
    </row>
    <row r="36" spans="1:1" x14ac:dyDescent="0.45">
      <c r="A36" s="2" t="s">
        <v>532</v>
      </c>
    </row>
    <row r="37" spans="1:1" x14ac:dyDescent="0.45">
      <c r="A37" s="2" t="s">
        <v>561</v>
      </c>
    </row>
    <row r="38" spans="1:1" x14ac:dyDescent="0.45">
      <c r="A38" s="2" t="s">
        <v>562</v>
      </c>
    </row>
    <row r="39" spans="1:1" x14ac:dyDescent="0.45">
      <c r="A39" s="2" t="s">
        <v>493</v>
      </c>
    </row>
    <row r="40" spans="1:1" x14ac:dyDescent="0.45">
      <c r="A40" s="2" t="s">
        <v>494</v>
      </c>
    </row>
    <row r="41" spans="1:1" x14ac:dyDescent="0.45">
      <c r="A41" s="2" t="s">
        <v>508</v>
      </c>
    </row>
    <row r="42" spans="1:1" x14ac:dyDescent="0.45">
      <c r="A42" s="2" t="s">
        <v>509</v>
      </c>
    </row>
    <row r="43" spans="1:1" x14ac:dyDescent="0.45">
      <c r="A43" s="2" t="s">
        <v>510</v>
      </c>
    </row>
    <row r="44" spans="1:1" x14ac:dyDescent="0.45">
      <c r="A44" s="2" t="s">
        <v>511</v>
      </c>
    </row>
    <row r="45" spans="1:1" x14ac:dyDescent="0.45">
      <c r="A45" s="2" t="s">
        <v>533</v>
      </c>
    </row>
    <row r="46" spans="1:1" x14ac:dyDescent="0.45">
      <c r="A46" s="2" t="s">
        <v>515</v>
      </c>
    </row>
    <row r="47" spans="1:1" x14ac:dyDescent="0.45">
      <c r="A47" s="2" t="s">
        <v>512</v>
      </c>
    </row>
    <row r="48" spans="1:1" x14ac:dyDescent="0.45">
      <c r="A48" s="2" t="s">
        <v>534</v>
      </c>
    </row>
    <row r="49" spans="1:1" x14ac:dyDescent="0.45">
      <c r="A49" s="2" t="s">
        <v>495</v>
      </c>
    </row>
    <row r="50" spans="1:1" x14ac:dyDescent="0.45">
      <c r="A50" s="2" t="s">
        <v>496</v>
      </c>
    </row>
    <row r="51" spans="1:1" x14ac:dyDescent="0.45">
      <c r="A51" s="2" t="s">
        <v>563</v>
      </c>
    </row>
    <row r="52" spans="1:1" x14ac:dyDescent="0.45">
      <c r="A52" s="2" t="s">
        <v>535</v>
      </c>
    </row>
    <row r="53" spans="1:1" x14ac:dyDescent="0.45">
      <c r="A53" s="2" t="s">
        <v>536</v>
      </c>
    </row>
    <row r="54" spans="1:1" x14ac:dyDescent="0.45">
      <c r="A54" s="2" t="s">
        <v>552</v>
      </c>
    </row>
    <row r="55" spans="1:1" x14ac:dyDescent="0.45">
      <c r="A55" s="2" t="s">
        <v>537</v>
      </c>
    </row>
    <row r="56" spans="1:1" x14ac:dyDescent="0.45">
      <c r="A56" s="2" t="s">
        <v>538</v>
      </c>
    </row>
    <row r="57" spans="1:1" x14ac:dyDescent="0.45">
      <c r="A57" s="2" t="s">
        <v>483</v>
      </c>
    </row>
    <row r="58" spans="1:1" x14ac:dyDescent="0.45">
      <c r="A58" s="2" t="s">
        <v>539</v>
      </c>
    </row>
    <row r="59" spans="1:1" x14ac:dyDescent="0.45">
      <c r="A59" s="2" t="s">
        <v>575</v>
      </c>
    </row>
    <row r="60" spans="1:1" x14ac:dyDescent="0.45">
      <c r="A60" s="2" t="s">
        <v>540</v>
      </c>
    </row>
    <row r="61" spans="1:1" x14ac:dyDescent="0.45">
      <c r="A61" s="2" t="s">
        <v>497</v>
      </c>
    </row>
    <row r="62" spans="1:1" x14ac:dyDescent="0.45">
      <c r="A62" s="2" t="s">
        <v>541</v>
      </c>
    </row>
    <row r="63" spans="1:1" x14ac:dyDescent="0.45">
      <c r="A63" s="2" t="s">
        <v>542</v>
      </c>
    </row>
    <row r="64" spans="1:1" x14ac:dyDescent="0.45">
      <c r="A64" s="2" t="s">
        <v>137</v>
      </c>
    </row>
    <row r="65" spans="1:1" x14ac:dyDescent="0.45">
      <c r="A65" s="2" t="s">
        <v>564</v>
      </c>
    </row>
    <row r="66" spans="1:1" x14ac:dyDescent="0.45">
      <c r="A66" s="2" t="s">
        <v>543</v>
      </c>
    </row>
    <row r="67" spans="1:1" x14ac:dyDescent="0.45">
      <c r="A67" s="2" t="s">
        <v>565</v>
      </c>
    </row>
    <row r="68" spans="1:1" x14ac:dyDescent="0.45">
      <c r="A68" s="2" t="s">
        <v>566</v>
      </c>
    </row>
    <row r="69" spans="1:1" x14ac:dyDescent="0.45">
      <c r="A69" s="2" t="s">
        <v>498</v>
      </c>
    </row>
    <row r="70" spans="1:1" x14ac:dyDescent="0.45">
      <c r="A70" s="2" t="s">
        <v>567</v>
      </c>
    </row>
    <row r="71" spans="1:1" x14ac:dyDescent="0.45">
      <c r="A71" s="2" t="s">
        <v>480</v>
      </c>
    </row>
    <row r="72" spans="1:1" x14ac:dyDescent="0.45">
      <c r="A72" s="2" t="s">
        <v>576</v>
      </c>
    </row>
    <row r="73" spans="1:1" x14ac:dyDescent="0.45">
      <c r="A73" s="2" t="s">
        <v>479</v>
      </c>
    </row>
    <row r="74" spans="1:1" x14ac:dyDescent="0.45">
      <c r="A74" s="2" t="s">
        <v>568</v>
      </c>
    </row>
    <row r="75" spans="1:1" x14ac:dyDescent="0.45">
      <c r="A75" s="2" t="s">
        <v>553</v>
      </c>
    </row>
    <row r="76" spans="1:1" x14ac:dyDescent="0.45">
      <c r="A76" s="2" t="s">
        <v>577</v>
      </c>
    </row>
    <row r="77" spans="1:1" x14ac:dyDescent="0.45">
      <c r="A77" s="2" t="s">
        <v>594</v>
      </c>
    </row>
    <row r="78" spans="1:1" x14ac:dyDescent="0.45">
      <c r="A78" s="2" t="s">
        <v>569</v>
      </c>
    </row>
    <row r="79" spans="1:1" x14ac:dyDescent="0.45">
      <c r="A79" s="2" t="s">
        <v>554</v>
      </c>
    </row>
    <row r="80" spans="1:1" x14ac:dyDescent="0.45">
      <c r="A80" s="2" t="s">
        <v>570</v>
      </c>
    </row>
    <row r="81" spans="1:1" x14ac:dyDescent="0.45">
      <c r="A81" s="2" t="s">
        <v>578</v>
      </c>
    </row>
    <row r="82" spans="1:1" x14ac:dyDescent="0.45">
      <c r="A82" s="2" t="s">
        <v>544</v>
      </c>
    </row>
    <row r="83" spans="1:1" x14ac:dyDescent="0.45">
      <c r="A83" s="2" t="s">
        <v>595</v>
      </c>
    </row>
    <row r="84" spans="1:1" x14ac:dyDescent="0.45">
      <c r="A84" s="2" t="s">
        <v>499</v>
      </c>
    </row>
    <row r="85" spans="1:1" x14ac:dyDescent="0.45">
      <c r="A85" s="2" t="s">
        <v>545</v>
      </c>
    </row>
    <row r="86" spans="1:1" x14ac:dyDescent="0.45">
      <c r="A86" s="2" t="s">
        <v>513</v>
      </c>
    </row>
    <row r="87" spans="1:1" x14ac:dyDescent="0.45">
      <c r="A87" s="2" t="s">
        <v>514</v>
      </c>
    </row>
    <row r="88" spans="1:1" x14ac:dyDescent="0.45">
      <c r="A88" s="2" t="s">
        <v>546</v>
      </c>
    </row>
    <row r="89" spans="1:1" x14ac:dyDescent="0.45">
      <c r="A89" s="2" t="s">
        <v>547</v>
      </c>
    </row>
    <row r="90" spans="1:1" x14ac:dyDescent="0.45">
      <c r="A90" s="2" t="s">
        <v>519</v>
      </c>
    </row>
    <row r="91" spans="1:1" x14ac:dyDescent="0.45">
      <c r="A91" s="2" t="s">
        <v>500</v>
      </c>
    </row>
    <row r="92" spans="1:1" x14ac:dyDescent="0.45">
      <c r="A92" s="2" t="s">
        <v>520</v>
      </c>
    </row>
    <row r="93" spans="1:1" x14ac:dyDescent="0.45">
      <c r="A93" s="2" t="s">
        <v>501</v>
      </c>
    </row>
    <row r="94" spans="1:1" x14ac:dyDescent="0.45">
      <c r="A94" s="2" t="s">
        <v>521</v>
      </c>
    </row>
    <row r="95" spans="1:1" x14ac:dyDescent="0.45">
      <c r="A95" s="2" t="s">
        <v>522</v>
      </c>
    </row>
    <row r="96" spans="1:1" x14ac:dyDescent="0.45">
      <c r="A96" s="2" t="s">
        <v>523</v>
      </c>
    </row>
    <row r="97" spans="1:1" x14ac:dyDescent="0.45">
      <c r="A97" s="2" t="s">
        <v>502</v>
      </c>
    </row>
    <row r="98" spans="1:1" x14ac:dyDescent="0.45">
      <c r="A98" s="2" t="s">
        <v>503</v>
      </c>
    </row>
    <row r="99" spans="1:1" x14ac:dyDescent="0.45">
      <c r="A99" s="2" t="s">
        <v>504</v>
      </c>
    </row>
    <row r="100" spans="1:1" x14ac:dyDescent="0.45">
      <c r="A100" s="2" t="s">
        <v>505</v>
      </c>
    </row>
    <row r="101" spans="1:1" x14ac:dyDescent="0.45">
      <c r="A101" s="2" t="s">
        <v>610</v>
      </c>
    </row>
    <row r="102" spans="1:1" x14ac:dyDescent="0.45">
      <c r="A102" s="2" t="s">
        <v>597</v>
      </c>
    </row>
    <row r="103" spans="1:1" x14ac:dyDescent="0.45">
      <c r="A103" s="2" t="s">
        <v>489</v>
      </c>
    </row>
  </sheetData>
  <phoneticPr fontId="1" type="noConversion"/>
  <pageMargins left="0.7" right="0.7" top="0.75" bottom="0.75" header="0.3" footer="0.3"/>
  <customProperties>
    <customPr name="_pios_id" r:id="rId2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WorkbookConfiguration xmlns="http://www.sap.com/cof/excel/workbook/configuration"/>
</file>

<file path=customXml/item2.xml><?xml version="1.0" encoding="utf-8"?>
<Application xmlns="http://www.sap.com/cof/excel/application">
  <Version>2</Version>
  <Revision>2.8.1700.0123</Revision>
</Application>
</file>

<file path=customXml/itemProps1.xml><?xml version="1.0" encoding="utf-8"?>
<ds:datastoreItem xmlns:ds="http://schemas.openxmlformats.org/officeDocument/2006/customXml" ds:itemID="{718230EF-1AF1-4646-9E65-5A8D39BC93F6}">
  <ds:schemaRefs>
    <ds:schemaRef ds:uri="http://www.sap.com/cof/excel/workbook/configuration"/>
  </ds:schemaRefs>
</ds:datastoreItem>
</file>

<file path=customXml/itemProps2.xml><?xml version="1.0" encoding="utf-8"?>
<ds:datastoreItem xmlns:ds="http://schemas.openxmlformats.org/officeDocument/2006/customXml" ds:itemID="{C2AE75F1-DAAB-44FE-A282-371878E1F72D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8</vt:i4>
      </vt:variant>
    </vt:vector>
  </HeadingPairs>
  <TitlesOfParts>
    <vt:vector size="14" baseType="lpstr">
      <vt:lpstr>안내사항</vt:lpstr>
      <vt:lpstr>대리점신규렌탈영업수수료</vt:lpstr>
      <vt:lpstr>유상별매수수료</vt:lpstr>
      <vt:lpstr>주요제품_출력용(업데이트)</vt:lpstr>
      <vt:lpstr>드롭다운</vt:lpstr>
      <vt:lpstr>Sheet3</vt:lpstr>
      <vt:lpstr>'주요제품_출력용(업데이트)'!Print_Area</vt:lpstr>
      <vt:lpstr>대리점신규렌탈영업수수료!Print_Titles</vt:lpstr>
      <vt:lpstr>마케팅네임</vt:lpstr>
      <vt:lpstr>소유권</vt:lpstr>
      <vt:lpstr>점검주기</vt:lpstr>
      <vt:lpstr>제품군</vt:lpstr>
      <vt:lpstr>제품명</vt:lpstr>
      <vt:lpstr>제품코드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조아름[DS사업1팀/팀원]</dc:creator>
  <cp:lastModifiedBy>조아름[DS사업1팀/팀원]</cp:lastModifiedBy>
  <cp:lastPrinted>2025-08-04T05:08:22Z</cp:lastPrinted>
  <dcterms:created xsi:type="dcterms:W3CDTF">2025-05-22T06:01:49Z</dcterms:created>
  <dcterms:modified xsi:type="dcterms:W3CDTF">2026-05-29T07:21:28Z</dcterms:modified>
</cp:coreProperties>
</file>